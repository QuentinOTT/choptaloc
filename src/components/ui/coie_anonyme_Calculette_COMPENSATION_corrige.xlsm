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270" firstSheet="2" activeTab="3" autoFilterDateGrouping="1"/>
  </bookViews>
  <sheets>
    <sheet xmlns:r="http://schemas.openxmlformats.org/officeDocument/2006/relationships" name="Tarification LOA BALLON" sheetId="1" state="hidden" r:id="rId1"/>
    <sheet xmlns:r="http://schemas.openxmlformats.org/officeDocument/2006/relationships" name="compensation" sheetId="2" state="visible" r:id="rId2"/>
    <sheet xmlns:r="http://schemas.openxmlformats.org/officeDocument/2006/relationships" name="CALCULETTE" sheetId="3" state="visible" r:id="rId3"/>
    <sheet xmlns:r="http://schemas.openxmlformats.org/officeDocument/2006/relationships" name="CALCULETTE (2)" sheetId="4" state="visible" r:id="rId4"/>
  </sheets>
  <externalReferences>
    <externalReference xmlns:r="http://schemas.openxmlformats.org/officeDocument/2006/relationships" r:id="rId5"/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_1er_Loyer_demandé">[1]Paramètres!$C$9</definedName>
    <definedName name="_Ph2">#REF!</definedName>
    <definedName name="_Ph3">#REF!</definedName>
    <definedName name="AAAA">#REF!</definedName>
    <definedName name="aaaaaaaaa">#REF!</definedName>
    <definedName name="Argus.3">#REF!</definedName>
    <definedName name="Argus2">#REF!</definedName>
    <definedName name="Argus3">#REF!</definedName>
    <definedName name="ARGUS4">#REF!</definedName>
    <definedName name="Durée_totale">[1]Calculs!$C$12</definedName>
    <definedName name="e">#REF!</definedName>
    <definedName name="Edd">#REF!</definedName>
    <definedName name="ee">#REF!</definedName>
    <definedName name="EfficPh2">#REF!</definedName>
    <definedName name="EfficPh3">#REF!</definedName>
    <definedName name="JOURS_FERIES">#REF!</definedName>
    <definedName name="Langage">#REF!</definedName>
    <definedName name="prelevimp">#REF!</definedName>
    <definedName name="prelevp">#REF!</definedName>
    <definedName name="Print_Area_1">#REF!</definedName>
    <definedName name="Print_Area_2">#REF!</definedName>
    <definedName name="Prix_TTC">[1]Calculs!$C$9</definedName>
    <definedName name="ProfilycReport">[2]VAT!#REF!</definedName>
    <definedName name="Taux">[1]Calculs!$C$18</definedName>
    <definedName name="TLITSAV">#REF!</definedName>
    <definedName name="TVA_achat">[1]Paramètres!$C$3</definedName>
    <definedName name="TVA_Détaxe">[1]Paramètres!$C$5</definedName>
    <definedName name="TxDA">#REF!</definedName>
    <definedName name="TxRA_Prod">[2]VAT!#REF!</definedName>
    <definedName name="TxRA_Prod_Nb">[2]VAT!#REF!</definedName>
    <definedName name="TxRef">#REF!</definedName>
    <definedName name="txretimp">#REF!</definedName>
    <definedName name="Txretraite">#REF!</definedName>
    <definedName name="TxsalSOF">#REF!</definedName>
    <definedName name="TxSS">#REF!</definedName>
    <definedName name="TxTransfo">#REF!</definedName>
    <definedName name="zz_LB_PGA">#REF!</definedName>
  </definedNames>
  <calcPr calcId="191028" fullCalcOnLoad="1"/>
</workbook>
</file>

<file path=xl/styles.xml><?xml version="1.0" encoding="utf-8"?>
<styleSheet xmlns="http://schemas.openxmlformats.org/spreadsheetml/2006/main">
  <numFmts count="22">
    <numFmt numFmtId="164" formatCode="#,##0&quot; mois&quot;"/>
    <numFmt numFmtId="165" formatCode="#,##0.0000"/>
    <numFmt numFmtId="166" formatCode="#,##0\ &quot;€&quot;"/>
    <numFmt numFmtId="167" formatCode="#,##0.0000\ &quot;€&quot;"/>
    <numFmt numFmtId="168" formatCode="#,##0.000\ &quot;€&quot;"/>
    <numFmt numFmtId="169" formatCode="#,##0.00\ &quot;€&quot;"/>
    <numFmt numFmtId="170" formatCode="#,##0.000"/>
    <numFmt numFmtId="171" formatCode="#,##0.00\ &quot;€&quot;;[Red]\-#,##0.00\ &quot;€&quot;"/>
    <numFmt numFmtId="172" formatCode="#,##0&quot; months&quot;"/>
    <numFmt numFmtId="173" formatCode="0.0000"/>
    <numFmt numFmtId="174" formatCode="#,##0.00000\ &quot;€&quot;"/>
    <numFmt numFmtId="175" formatCode="#,##0.0000000\ &quot;€&quot;"/>
    <numFmt numFmtId="176" formatCode="0.000%"/>
    <numFmt numFmtId="177" formatCode="#,##0.0"/>
    <numFmt numFmtId="178" formatCode="0.0%"/>
    <numFmt numFmtId="179" formatCode="#,##0.00_ ;[Red]\-#,##0.00\ "/>
    <numFmt numFmtId="180" formatCode="##,##0\€"/>
    <numFmt numFmtId="181" formatCode="_-* #,##0\ &quot;€&quot;_-;\-* #,##0\ &quot;€&quot;_-;_-* &quot;-&quot;??\ &quot;€&quot;_-;_-@_-"/>
    <numFmt numFmtId="182" formatCode="_-* #,##0.0\ &quot;€&quot;_-;\-* #,##0.0\ &quot;€&quot;_-;_-* &quot;-&quot;??\ &quot;€&quot;_-;_-@_-"/>
    <numFmt numFmtId="183" formatCode="0.0000%"/>
    <numFmt numFmtId="184" formatCode="_-* #,##0.00\ &quot;€&quot;_-;\-* #,##0.00\ &quot;€&quot;_-;_-* &quot;-&quot;??\ &quot;€&quot;_-;_-@_-"/>
    <numFmt numFmtId="185" formatCode="_-* #,##0.00\ _€_-;\-* #,##0.00\ _€_-;_-* &quot;-&quot;??\ _€_-;_-@_-"/>
  </numFmts>
  <fonts count="68">
    <font>
      <name val="Arial"/>
      <family val="2"/>
      <color theme="1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9"/>
    </font>
    <font>
      <name val="Arial"/>
      <family val="2"/>
      <b val="1"/>
      <color theme="0"/>
      <sz val="9"/>
    </font>
    <font>
      <name val="Arial"/>
      <family val="2"/>
      <b val="1"/>
      <color theme="1"/>
      <sz val="9"/>
      <u val="single"/>
    </font>
    <font>
      <name val="Arial"/>
      <family val="2"/>
      <color theme="1"/>
      <sz val="9"/>
      <u val="single"/>
    </font>
    <font>
      <name val="Arial"/>
      <family val="2"/>
      <b val="1"/>
      <color theme="0"/>
      <sz val="12"/>
    </font>
    <font>
      <name val="Arial"/>
      <family val="2"/>
      <b val="1"/>
      <color rgb="FF005435"/>
      <sz val="9"/>
    </font>
    <font>
      <name val="Arial"/>
      <family val="2"/>
      <color rgb="FF005435"/>
      <sz val="9"/>
    </font>
    <font>
      <name val="Arial"/>
      <family val="2"/>
      <color theme="1"/>
      <sz val="10"/>
    </font>
    <font>
      <name val="Arial"/>
      <family val="2"/>
      <b val="1"/>
      <color theme="1"/>
      <sz val="9"/>
    </font>
    <font>
      <name val="Arial"/>
      <family val="2"/>
      <sz val="10"/>
    </font>
    <font>
      <name val="Arial"/>
      <family val="2"/>
      <color theme="1" tint="0.3499862666707358"/>
      <sz val="9"/>
    </font>
    <font>
      <name val="Calibri"/>
      <family val="2"/>
      <color theme="1"/>
      <sz val="9"/>
      <scheme val="minor"/>
    </font>
    <font>
      <name val="Arial"/>
      <family val="2"/>
      <b val="1"/>
      <color theme="1"/>
      <sz val="12"/>
    </font>
    <font>
      <name val="Arial"/>
      <family val="2"/>
      <color theme="0" tint="-0.499984740745262"/>
      <sz val="9"/>
    </font>
    <font>
      <name val="Arial"/>
      <family val="2"/>
      <color rgb="FFC00000"/>
      <sz val="9"/>
    </font>
    <font>
      <name val="Calibri"/>
      <family val="2"/>
      <b val="1"/>
      <color theme="1"/>
      <sz val="9"/>
      <scheme val="minor"/>
    </font>
    <font>
      <name val="Arial"/>
      <family val="2"/>
      <color theme="0"/>
      <sz val="9"/>
    </font>
    <font>
      <name val="Arial"/>
      <family val="2"/>
      <b val="1"/>
      <color rgb="FFC00000"/>
      <sz val="9"/>
    </font>
    <font>
      <name val="Arial"/>
      <family val="2"/>
      <sz val="9"/>
    </font>
    <font>
      <name val="Arial"/>
      <family val="2"/>
      <b val="1"/>
      <color rgb="FF002060"/>
      <sz val="10"/>
    </font>
    <font>
      <name val="Calibri"/>
      <family val="2"/>
      <b val="1"/>
      <color rgb="FF002060"/>
      <sz val="11"/>
      <scheme val="minor"/>
    </font>
    <font>
      <name val="Arial"/>
      <family val="2"/>
      <color rgb="FF002060"/>
      <sz val="10"/>
    </font>
    <font>
      <name val="Arial"/>
      <family val="2"/>
      <b val="1"/>
      <color rgb="FF006600"/>
      <sz val="9"/>
    </font>
    <font>
      <name val="Arial"/>
      <family val="2"/>
      <i val="1"/>
      <color theme="1"/>
      <sz val="9"/>
    </font>
    <font>
      <name val="Arial"/>
      <family val="2"/>
      <i val="1"/>
      <color theme="0" tint="-0.499984740745262"/>
      <sz val="9"/>
    </font>
    <font>
      <name val="Arial"/>
      <family val="2"/>
      <i val="1"/>
      <color rgb="FFC00000"/>
      <sz val="9"/>
    </font>
    <font>
      <name val="Arial"/>
      <family val="2"/>
      <color rgb="FFC00000"/>
      <sz val="8"/>
    </font>
    <font>
      <name val="Calibri"/>
      <family val="2"/>
      <color rgb="FF002060"/>
      <sz val="11"/>
      <scheme val="minor"/>
    </font>
    <font>
      <name val="Arial"/>
      <family val="2"/>
      <color rgb="FF002060"/>
      <sz val="9"/>
    </font>
    <font>
      <name val="Calibri"/>
      <family val="2"/>
      <color rgb="FF002060"/>
      <sz val="9"/>
      <scheme val="minor"/>
    </font>
    <font>
      <name val="Arial"/>
      <family val="2"/>
      <color rgb="FFFF0000"/>
      <sz val="9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b val="1"/>
      <color rgb="FFFF0000"/>
      <sz val="9"/>
    </font>
    <font>
      <name val="Arial"/>
      <family val="2"/>
      <strike val="1"/>
      <color theme="1"/>
      <sz val="9"/>
    </font>
    <font>
      <name val="Calibri"/>
      <family val="2"/>
      <color rgb="FFFF000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8"/>
    </font>
    <font>
      <name val="Arial"/>
      <family val="2"/>
      <i val="1"/>
      <color theme="0"/>
      <sz val="9"/>
    </font>
    <font>
      <name val="Cambria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rgb="FF000000"/>
      <sz val="11"/>
    </font>
    <font>
      <name val="Calibri"/>
      <family val="2"/>
      <color rgb="FF000000"/>
      <sz val="11"/>
    </font>
    <font>
      <name val="Times New Roman"/>
      <family val="1"/>
      <color theme="1"/>
      <sz val="10"/>
    </font>
    <font>
      <name val="Arial"/>
      <family val="2"/>
      <b val="1"/>
      <color rgb="FFFFFFFF"/>
      <sz val="10"/>
    </font>
  </fonts>
  <fills count="42">
    <fill>
      <patternFill/>
    </fill>
    <fill>
      <patternFill patternType="gray125"/>
    </fill>
    <fill>
      <patternFill patternType="solid">
        <fgColor rgb="FF66BBA7"/>
        <bgColor indexed="64"/>
      </patternFill>
    </fill>
    <fill>
      <patternFill patternType="solid">
        <fgColor rgb="FF00543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DDD9C4"/>
        <bgColor indexed="64"/>
      </patternFill>
    </fill>
  </fills>
  <borders count="43">
    <border>
      <left/>
      <right/>
      <top/>
      <bottom/>
      <diagonal/>
    </border>
    <border>
      <left style="thin">
        <color rgb="FF66BBA7"/>
      </left>
      <right style="thin">
        <color rgb="FF66BBA7"/>
      </right>
      <top style="thin">
        <color rgb="FF66BBA7"/>
      </top>
      <bottom style="thin">
        <color rgb="FF66BBA7"/>
      </bottom>
      <diagonal/>
    </border>
    <border>
      <left/>
      <right style="thin">
        <color rgb="FF66BBA7"/>
      </right>
      <top style="thin">
        <color rgb="FF66BBA7"/>
      </top>
      <bottom/>
      <diagonal/>
    </border>
    <border>
      <left/>
      <right style="thin">
        <color rgb="FF66BBA7"/>
      </right>
      <top/>
      <bottom/>
      <diagonal/>
    </border>
    <border>
      <left/>
      <right/>
      <top/>
      <bottom style="thin">
        <color rgb="FF66BBA7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66BBA7"/>
      </left>
      <right/>
      <top style="thin">
        <color rgb="FF66BBA7"/>
      </top>
      <bottom/>
      <diagonal/>
    </border>
    <border>
      <left/>
      <right/>
      <top style="thin">
        <color rgb="FF66BBA7"/>
      </top>
      <bottom/>
      <diagonal/>
    </border>
    <border>
      <left style="thin">
        <color rgb="FF66BBA7"/>
      </left>
      <right/>
      <top/>
      <bottom/>
      <diagonal/>
    </border>
    <border>
      <left style="thin">
        <color rgb="FF66BBA7"/>
      </left>
      <right/>
      <top/>
      <bottom style="thin">
        <color rgb="FF66BBA7"/>
      </bottom>
      <diagonal/>
    </border>
    <border>
      <left/>
      <right style="thin">
        <color rgb="FF66BBA7"/>
      </right>
      <top/>
      <bottom style="thin">
        <color rgb="FF66BBA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/>
      <diagonal/>
    </border>
    <border>
      <left style="medium">
        <color theme="1" tint="0.3499862666707358"/>
      </left>
      <right/>
      <top style="medium">
        <color theme="1" tint="0.3499862666707358"/>
      </top>
      <bottom/>
      <diagonal/>
    </border>
    <border>
      <left/>
      <right style="medium">
        <color theme="1" tint="0.3499862666707358"/>
      </right>
      <top style="medium">
        <color theme="1" tint="0.3499862666707358"/>
      </top>
      <bottom/>
      <diagonal/>
    </border>
    <border>
      <left style="medium">
        <color theme="1" tint="0.3499862666707358"/>
      </left>
      <right/>
      <top/>
      <bottom style="medium">
        <color theme="1" tint="0.3499862666707358"/>
      </bottom>
      <diagonal/>
    </border>
    <border>
      <left/>
      <right style="medium">
        <color theme="1" tint="0.3499862666707358"/>
      </right>
      <top/>
      <bottom style="medium">
        <color theme="1" tint="0.3499862666707358"/>
      </bottom>
      <diagonal/>
    </border>
    <border>
      <left style="medium">
        <color theme="1" tint="0.3499862666707358"/>
      </left>
      <right/>
      <top/>
      <bottom/>
      <diagonal/>
    </border>
    <border>
      <left/>
      <right style="medium">
        <color theme="1" tint="0.349986266670735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39">
    <xf numFmtId="0" fontId="8" fillId="0" borderId="0"/>
    <xf numFmtId="9" fontId="8" fillId="0" borderId="0"/>
    <xf numFmtId="0" fontId="15" fillId="0" borderId="0"/>
    <xf numFmtId="0" fontId="7" fillId="0" borderId="0"/>
    <xf numFmtId="9" fontId="7" fillId="0" borderId="0"/>
    <xf numFmtId="0" fontId="17" fillId="0" borderId="0"/>
    <xf numFmtId="44" fontId="1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0" fontId="8" fillId="0" borderId="0"/>
    <xf numFmtId="0" fontId="1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7" fillId="0" borderId="0"/>
    <xf numFmtId="9" fontId="7" fillId="0" borderId="0"/>
    <xf numFmtId="9" fontId="7" fillId="0" borderId="0"/>
    <xf numFmtId="9" fontId="7" fillId="0" borderId="0"/>
    <xf numFmtId="9" fontId="17" fillId="0" borderId="0"/>
    <xf numFmtId="9" fontId="7" fillId="0" borderId="0"/>
    <xf numFmtId="9" fontId="7" fillId="0" borderId="0"/>
    <xf numFmtId="9" fontId="8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44" fontId="7" fillId="0" borderId="0"/>
    <xf numFmtId="43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9" fontId="7" fillId="0" borderId="0"/>
    <xf numFmtId="0" fontId="51" fillId="0" borderId="0"/>
    <xf numFmtId="0" fontId="52" fillId="0" borderId="32"/>
    <xf numFmtId="0" fontId="53" fillId="0" borderId="33"/>
    <xf numFmtId="0" fontId="54" fillId="0" borderId="34"/>
    <xf numFmtId="0" fontId="54" fillId="0" borderId="0"/>
    <xf numFmtId="0" fontId="55" fillId="10" borderId="0"/>
    <xf numFmtId="0" fontId="56" fillId="11" borderId="0"/>
    <xf numFmtId="0" fontId="57" fillId="12" borderId="0"/>
    <xf numFmtId="0" fontId="58" fillId="13" borderId="35"/>
    <xf numFmtId="0" fontId="59" fillId="14" borderId="36"/>
    <xf numFmtId="0" fontId="60" fillId="14" borderId="35"/>
    <xf numFmtId="0" fontId="61" fillId="0" borderId="37"/>
    <xf numFmtId="0" fontId="62" fillId="15" borderId="38"/>
    <xf numFmtId="0" fontId="43" fillId="0" borderId="0"/>
    <xf numFmtId="0" fontId="63" fillId="0" borderId="0"/>
    <xf numFmtId="0" fontId="48" fillId="0" borderId="40"/>
    <xf numFmtId="0" fontId="44" fillId="17" borderId="0"/>
    <xf numFmtId="0" fontId="7" fillId="18" borderId="0"/>
    <xf numFmtId="0" fontId="7" fillId="19" borderId="0"/>
    <xf numFmtId="0" fontId="7" fillId="20" borderId="0"/>
    <xf numFmtId="0" fontId="44" fillId="21" borderId="0"/>
    <xf numFmtId="0" fontId="7" fillId="22" borderId="0"/>
    <xf numFmtId="0" fontId="7" fillId="23" borderId="0"/>
    <xf numFmtId="0" fontId="7" fillId="24" borderId="0"/>
    <xf numFmtId="0" fontId="44" fillId="25" borderId="0"/>
    <xf numFmtId="0" fontId="7" fillId="26" borderId="0"/>
    <xf numFmtId="0" fontId="7" fillId="27" borderId="0"/>
    <xf numFmtId="0" fontId="7" fillId="28" borderId="0"/>
    <xf numFmtId="0" fontId="44" fillId="29" borderId="0"/>
    <xf numFmtId="0" fontId="7" fillId="30" borderId="0"/>
    <xf numFmtId="0" fontId="7" fillId="31" borderId="0"/>
    <xf numFmtId="0" fontId="7" fillId="32" borderId="0"/>
    <xf numFmtId="0" fontId="44" fillId="33" borderId="0"/>
    <xf numFmtId="0" fontId="7" fillId="34" borderId="0"/>
    <xf numFmtId="0" fontId="7" fillId="35" borderId="0"/>
    <xf numFmtId="0" fontId="7" fillId="36" borderId="0"/>
    <xf numFmtId="0" fontId="44" fillId="37" borderId="0"/>
    <xf numFmtId="0" fontId="7" fillId="38" borderId="0"/>
    <xf numFmtId="0" fontId="7" fillId="39" borderId="0"/>
    <xf numFmtId="0" fontId="7" fillId="40" borderId="0"/>
    <xf numFmtId="0" fontId="7" fillId="0" borderId="0"/>
    <xf numFmtId="9" fontId="7" fillId="0" borderId="0"/>
    <xf numFmtId="44" fontId="1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44" fontId="7" fillId="0" borderId="0"/>
    <xf numFmtId="43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9" fontId="7" fillId="0" borderId="0"/>
    <xf numFmtId="0" fontId="7" fillId="16" borderId="39"/>
    <xf numFmtId="0" fontId="7" fillId="0" borderId="0"/>
    <xf numFmtId="0" fontId="7" fillId="16" borderId="39"/>
    <xf numFmtId="0" fontId="7" fillId="18" borderId="0"/>
    <xf numFmtId="0" fontId="7" fillId="19" borderId="0"/>
    <xf numFmtId="0" fontId="7" fillId="20" borderId="0"/>
    <xf numFmtId="0" fontId="7" fillId="22" borderId="0"/>
    <xf numFmtId="0" fontId="7" fillId="23" borderId="0"/>
    <xf numFmtId="0" fontId="7" fillId="24" borderId="0"/>
    <xf numFmtId="0" fontId="7" fillId="26" borderId="0"/>
    <xf numFmtId="0" fontId="7" fillId="27" borderId="0"/>
    <xf numFmtId="0" fontId="7" fillId="28" borderId="0"/>
    <xf numFmtId="0" fontId="7" fillId="30" borderId="0"/>
    <xf numFmtId="0" fontId="7" fillId="31" borderId="0"/>
    <xf numFmtId="0" fontId="7" fillId="32" borderId="0"/>
    <xf numFmtId="0" fontId="7" fillId="34" borderId="0"/>
    <xf numFmtId="0" fontId="7" fillId="35" borderId="0"/>
    <xf numFmtId="0" fontId="7" fillId="36" borderId="0"/>
    <xf numFmtId="0" fontId="7" fillId="38" borderId="0"/>
    <xf numFmtId="0" fontId="7" fillId="39" borderId="0"/>
    <xf numFmtId="0" fontId="7" fillId="40" borderId="0"/>
    <xf numFmtId="0" fontId="8" fillId="0" borderId="0"/>
    <xf numFmtId="44" fontId="8" fillId="0" borderId="0"/>
    <xf numFmtId="9" fontId="8" fillId="0" borderId="0"/>
  </cellStyleXfs>
  <cellXfs count="31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right" vertical="center" indent="1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right" vertical="center" indent="1"/>
    </xf>
    <xf numFmtId="0" fontId="0" fillId="0" borderId="4" applyAlignment="1" pivotButton="0" quotePrefix="0" xfId="0">
      <alignment vertical="center"/>
    </xf>
    <xf numFmtId="0" fontId="10" fillId="2" borderId="1" applyAlignment="1" pivotButton="0" quotePrefix="0" xfId="0">
      <alignment horizontal="right" vertical="center" indent="1"/>
    </xf>
    <xf numFmtId="0" fontId="0" fillId="0" borderId="5" applyAlignment="1" pivotButton="0" quotePrefix="0" xfId="0">
      <alignment vertical="center"/>
    </xf>
    <xf numFmtId="10" fontId="9" fillId="3" borderId="5" applyAlignment="1" pivotButton="0" quotePrefix="0" xfId="1">
      <alignment horizontal="right" vertical="center" indent="1"/>
    </xf>
    <xf numFmtId="0" fontId="10" fillId="2" borderId="5" applyAlignment="1" pivotButton="0" quotePrefix="0" xfId="0">
      <alignment horizontal="center" vertical="center"/>
    </xf>
    <xf numFmtId="10" fontId="0" fillId="4" borderId="5" applyAlignment="1" applyProtection="1" pivotButton="0" quotePrefix="0" xfId="1">
      <alignment horizontal="right" vertical="center" indent="1"/>
      <protection locked="0" hidden="0"/>
    </xf>
    <xf numFmtId="164" fontId="0" fillId="4" borderId="5" applyAlignment="1" applyProtection="1" pivotButton="0" quotePrefix="0" xfId="0">
      <alignment horizontal="right" vertical="center" indent="1"/>
      <protection locked="0" hidden="0"/>
    </xf>
    <xf numFmtId="0" fontId="0" fillId="0" borderId="6" applyAlignment="1" pivotButton="0" quotePrefix="0" xfId="0">
      <alignment horizontal="right" vertical="center" indent="1"/>
    </xf>
    <xf numFmtId="0" fontId="0" fillId="0" borderId="7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horizontal="right" vertical="center" indent="1"/>
    </xf>
    <xf numFmtId="0" fontId="0" fillId="0" borderId="4" applyAlignment="1" pivotButton="0" quotePrefix="1" xfId="0">
      <alignment vertical="center"/>
    </xf>
    <xf numFmtId="0" fontId="0" fillId="0" borderId="10" applyAlignment="1" pivotButton="0" quotePrefix="0" xfId="0">
      <alignment vertical="center"/>
    </xf>
    <xf numFmtId="0" fontId="0" fillId="0" borderId="8" applyAlignment="1" pivotButton="0" quotePrefix="1" xfId="0">
      <alignment horizontal="left" vertical="center" indent="1"/>
    </xf>
    <xf numFmtId="0" fontId="0" fillId="0" borderId="8" applyAlignment="1" pivotButton="0" quotePrefix="1" xfId="0">
      <alignment horizontal="left" vertical="center" indent="3"/>
    </xf>
    <xf numFmtId="0" fontId="10" fillId="0" borderId="0" applyAlignment="1" pivotButton="0" quotePrefix="0" xfId="0">
      <alignment horizontal="right" vertical="center" indent="1"/>
    </xf>
    <xf numFmtId="165" fontId="0" fillId="0" borderId="0" applyAlignment="1" pivotButton="0" quotePrefix="0" xfId="0">
      <alignment horizontal="right" vertical="center" indent="1"/>
    </xf>
    <xf numFmtId="0" fontId="13" fillId="0" borderId="8" applyAlignment="1" pivotButton="0" quotePrefix="1" xfId="0">
      <alignment horizontal="left" vertical="center" indent="1"/>
    </xf>
    <xf numFmtId="0" fontId="14" fillId="0" borderId="8" applyAlignment="1" pivotButton="0" quotePrefix="1" xfId="0">
      <alignment horizontal="left" vertical="center" indent="3"/>
    </xf>
    <xf numFmtId="0" fontId="0" fillId="0" borderId="0" applyAlignment="1" pivotButton="0" quotePrefix="1" xfId="0">
      <alignment vertical="center"/>
    </xf>
    <xf numFmtId="166" fontId="0" fillId="4" borderId="5" applyAlignment="1" applyProtection="1" pivotButton="0" quotePrefix="0" xfId="1">
      <alignment horizontal="right" vertical="center" indent="1"/>
      <protection locked="0" hidden="0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0" fontId="0" fillId="0" borderId="5" applyAlignment="1" applyProtection="1" pivotButton="0" quotePrefix="0" xfId="1">
      <alignment horizontal="right" vertical="center" indent="1"/>
      <protection locked="0" hidden="0"/>
    </xf>
    <xf numFmtId="167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vertical="center"/>
    </xf>
    <xf numFmtId="0" fontId="18" fillId="0" borderId="11" applyAlignment="1" pivotButton="0" quotePrefix="0" xfId="0">
      <alignment horizontal="right" vertical="center" indent="1"/>
    </xf>
    <xf numFmtId="165" fontId="18" fillId="0" borderId="11" applyAlignment="1" pivotButton="0" quotePrefix="0" xfId="0">
      <alignment horizontal="right" vertical="center" indent="1"/>
    </xf>
    <xf numFmtId="0" fontId="18" fillId="0" borderId="0" applyAlignment="1" pivotButton="0" quotePrefix="0" xfId="0">
      <alignment vertical="center"/>
    </xf>
    <xf numFmtId="0" fontId="9" fillId="3" borderId="13" applyAlignment="1" pivotButton="0" quotePrefix="0" xfId="0">
      <alignment horizontal="right" vertical="center" indent="1"/>
    </xf>
    <xf numFmtId="0" fontId="0" fillId="0" borderId="13" applyAlignment="1" pivotButton="0" quotePrefix="0" xfId="0">
      <alignment horizontal="right" vertical="center" indent="1"/>
    </xf>
    <xf numFmtId="0" fontId="9" fillId="3" borderId="12" applyAlignment="1" pivotButton="0" quotePrefix="0" xfId="0">
      <alignment horizontal="right" vertical="center" indent="1"/>
    </xf>
    <xf numFmtId="166" fontId="9" fillId="3" borderId="13" applyAlignment="1" pivotButton="0" quotePrefix="0" xfId="1">
      <alignment horizontal="right" vertical="center" indent="1"/>
    </xf>
    <xf numFmtId="166" fontId="0" fillId="0" borderId="13" applyAlignment="1" pivotButton="0" quotePrefix="0" xfId="0">
      <alignment vertical="center"/>
    </xf>
    <xf numFmtId="166" fontId="9" fillId="3" borderId="12" applyAlignment="1" pivotButton="0" quotePrefix="0" xfId="1">
      <alignment horizontal="right" vertical="center" indent="1"/>
    </xf>
    <xf numFmtId="0" fontId="8" fillId="5" borderId="14" applyAlignment="1" pivotButton="0" quotePrefix="0" xfId="2">
      <alignment horizontal="center"/>
    </xf>
    <xf numFmtId="9" fontId="8" fillId="0" borderId="0" pivotButton="0" quotePrefix="0" xfId="2"/>
    <xf numFmtId="0" fontId="20" fillId="0" borderId="0" pivotButton="0" quotePrefix="0" xfId="2"/>
    <xf numFmtId="0" fontId="8" fillId="0" borderId="0" pivotButton="0" quotePrefix="0" xfId="2"/>
    <xf numFmtId="168" fontId="8" fillId="0" borderId="0" pivotButton="0" quotePrefix="0" xfId="2"/>
    <xf numFmtId="0" fontId="8" fillId="5" borderId="16" applyAlignment="1" pivotButton="0" quotePrefix="0" xfId="2">
      <alignment horizontal="center"/>
    </xf>
    <xf numFmtId="0" fontId="16" fillId="0" borderId="14" applyAlignment="1" pivotButton="0" quotePrefix="0" xfId="2">
      <alignment horizontal="center"/>
    </xf>
    <xf numFmtId="169" fontId="8" fillId="0" borderId="0" pivotButton="0" quotePrefix="0" xfId="2"/>
    <xf numFmtId="0" fontId="9" fillId="3" borderId="0" pivotButton="0" quotePrefix="0" xfId="2"/>
    <xf numFmtId="10" fontId="24" fillId="3" borderId="0" pivotButton="0" quotePrefix="0" xfId="2"/>
    <xf numFmtId="10" fontId="22" fillId="0" borderId="0" pivotButton="0" quotePrefix="0" xfId="2"/>
    <xf numFmtId="0" fontId="29" fillId="6" borderId="16" applyAlignment="1" pivotButton="0" quotePrefix="0" xfId="2">
      <alignment horizontal="center"/>
    </xf>
    <xf numFmtId="0" fontId="8" fillId="0" borderId="22" applyAlignment="1" pivotButton="0" quotePrefix="0" xfId="2">
      <alignment horizontal="center" vertical="center"/>
    </xf>
    <xf numFmtId="170" fontId="8" fillId="0" borderId="23" applyAlignment="1" pivotButton="0" quotePrefix="0" xfId="2">
      <alignment horizontal="center"/>
    </xf>
    <xf numFmtId="0" fontId="24" fillId="3" borderId="24" applyAlignment="1" pivotButton="0" quotePrefix="0" xfId="2">
      <alignment horizontal="center" vertical="center"/>
    </xf>
    <xf numFmtId="0" fontId="8" fillId="0" borderId="0" applyAlignment="1" pivotButton="0" quotePrefix="0" xfId="2">
      <alignment vertical="center"/>
    </xf>
    <xf numFmtId="0" fontId="30" fillId="0" borderId="22" applyAlignment="1" pivotButton="0" quotePrefix="0" xfId="2">
      <alignment horizontal="center"/>
    </xf>
    <xf numFmtId="0" fontId="8" fillId="0" borderId="0" applyAlignment="1" pivotButton="0" quotePrefix="0" xfId="2">
      <alignment horizontal="center"/>
    </xf>
    <xf numFmtId="166" fontId="30" fillId="0" borderId="23" applyAlignment="1" pivotButton="0" quotePrefix="0" xfId="2">
      <alignment horizontal="center"/>
    </xf>
    <xf numFmtId="10" fontId="9" fillId="3" borderId="22" applyAlignment="1" pivotButton="0" quotePrefix="0" xfId="2">
      <alignment horizontal="center"/>
    </xf>
    <xf numFmtId="10" fontId="9" fillId="3" borderId="24" applyAlignment="1" pivotButton="0" quotePrefix="0" xfId="2">
      <alignment horizontal="center"/>
    </xf>
    <xf numFmtId="0" fontId="31" fillId="0" borderId="26" applyAlignment="1" pivotButton="0" quotePrefix="0" xfId="2">
      <alignment horizontal="center" vertical="center" wrapText="1"/>
    </xf>
    <xf numFmtId="0" fontId="31" fillId="0" borderId="27" applyAlignment="1" pivotButton="0" quotePrefix="0" xfId="2">
      <alignment horizontal="center" vertical="center" wrapText="1"/>
    </xf>
    <xf numFmtId="0" fontId="31" fillId="0" borderId="28" applyAlignment="1" pivotButton="0" quotePrefix="0" xfId="2">
      <alignment horizontal="center" vertical="center" wrapText="1"/>
    </xf>
    <xf numFmtId="0" fontId="31" fillId="0" borderId="29" applyAlignment="1" pivotButton="0" quotePrefix="0" xfId="2">
      <alignment horizontal="center" vertical="center" wrapText="1"/>
    </xf>
    <xf numFmtId="0" fontId="31" fillId="0" borderId="0" applyAlignment="1" pivotButton="0" quotePrefix="0" xfId="2">
      <alignment horizontal="center" vertical="center" wrapText="1"/>
    </xf>
    <xf numFmtId="0" fontId="8" fillId="0" borderId="22" applyAlignment="1" pivotButton="0" quotePrefix="0" xfId="2">
      <alignment horizontal="center" vertical="center" wrapText="1"/>
    </xf>
    <xf numFmtId="166" fontId="8" fillId="0" borderId="24" applyAlignment="1" pivotButton="0" quotePrefix="0" xfId="2">
      <alignment vertical="center" wrapText="1"/>
    </xf>
    <xf numFmtId="166" fontId="8" fillId="0" borderId="23" applyAlignment="1" pivotButton="0" quotePrefix="0" xfId="2">
      <alignment horizontal="center" vertical="center" wrapText="1"/>
    </xf>
    <xf numFmtId="0" fontId="8" fillId="0" borderId="0" applyAlignment="1" pivotButton="0" quotePrefix="0" xfId="2">
      <alignment vertical="center" wrapText="1"/>
    </xf>
    <xf numFmtId="0" fontId="8" fillId="0" borderId="22" applyAlignment="1" pivotButton="0" quotePrefix="0" xfId="2">
      <alignment horizontal="center"/>
    </xf>
    <xf numFmtId="166" fontId="8" fillId="0" borderId="23" pivotButton="0" quotePrefix="0" xfId="2"/>
    <xf numFmtId="166" fontId="8" fillId="0" borderId="24" pivotButton="0" quotePrefix="0" xfId="2"/>
    <xf numFmtId="166" fontId="22" fillId="0" borderId="0" applyAlignment="1" pivotButton="0" quotePrefix="0" xfId="1">
      <alignment horizontal="left"/>
    </xf>
    <xf numFmtId="0" fontId="27" fillId="6" borderId="18" applyAlignment="1" pivotButton="0" quotePrefix="0" xfId="2">
      <alignment horizontal="center"/>
    </xf>
    <xf numFmtId="0" fontId="36" fillId="6" borderId="14" applyAlignment="1" pivotButton="0" quotePrefix="0" xfId="2">
      <alignment horizontal="center"/>
    </xf>
    <xf numFmtId="0" fontId="36" fillId="6" borderId="18" applyAlignment="1" pivotButton="0" quotePrefix="0" xfId="2">
      <alignment horizontal="center"/>
    </xf>
    <xf numFmtId="10" fontId="35" fillId="6" borderId="17" applyAlignment="1" pivotButton="0" quotePrefix="0" xfId="1">
      <alignment horizontal="center"/>
    </xf>
    <xf numFmtId="0" fontId="18" fillId="0" borderId="13" applyAlignment="1" pivotButton="0" quotePrefix="0" xfId="0">
      <alignment horizontal="right" vertical="center" indent="1"/>
    </xf>
    <xf numFmtId="165" fontId="18" fillId="0" borderId="13" applyAlignment="1" pivotButton="0" quotePrefix="0" xfId="0">
      <alignment horizontal="right" vertical="center" indent="1"/>
    </xf>
    <xf numFmtId="166" fontId="18" fillId="0" borderId="13" applyAlignment="1" pivotButton="0" quotePrefix="0" xfId="0">
      <alignment horizontal="right" vertical="center" indent="1"/>
    </xf>
    <xf numFmtId="170" fontId="38" fillId="0" borderId="0" pivotButton="0" quotePrefix="0" xfId="2"/>
    <xf numFmtId="166" fontId="36" fillId="0" borderId="23" applyAlignment="1" pivotButton="0" quotePrefix="0" xfId="2">
      <alignment horizontal="center" vertical="center" wrapText="1"/>
    </xf>
    <xf numFmtId="166" fontId="8" fillId="0" borderId="0" pivotButton="0" quotePrefix="0" xfId="2"/>
    <xf numFmtId="0" fontId="0" fillId="0" borderId="18" applyAlignment="1" pivotButton="0" quotePrefix="0" xfId="2">
      <alignment horizontal="center"/>
    </xf>
    <xf numFmtId="10" fontId="0" fillId="7" borderId="5" applyAlignment="1" pivotButton="0" quotePrefix="0" xfId="1">
      <alignment horizontal="right" vertical="center" indent="1"/>
    </xf>
    <xf numFmtId="169" fontId="9" fillId="3" borderId="0" applyAlignment="1" pivotButton="0" quotePrefix="0" xfId="1">
      <alignment horizontal="right" vertical="center" indent="1"/>
    </xf>
    <xf numFmtId="10" fontId="9" fillId="3" borderId="30" applyAlignment="1" pivotButton="0" quotePrefix="0" xfId="1">
      <alignment horizontal="right" vertical="center" indent="1"/>
    </xf>
    <xf numFmtId="166" fontId="0" fillId="0" borderId="30" applyAlignment="1" applyProtection="1" pivotButton="0" quotePrefix="0" xfId="1">
      <alignment horizontal="right" vertical="center" indent="1"/>
      <protection locked="0" hidden="0"/>
    </xf>
    <xf numFmtId="166" fontId="0" fillId="7" borderId="0" applyAlignment="1" pivotButton="0" quotePrefix="0" xfId="0">
      <alignment vertical="center"/>
    </xf>
    <xf numFmtId="10" fontId="0" fillId="7" borderId="0" applyAlignment="1" pivotButton="0" quotePrefix="0" xfId="0">
      <alignment vertical="center"/>
    </xf>
    <xf numFmtId="171" fontId="8" fillId="0" borderId="0" pivotButton="0" quotePrefix="0" xfId="2"/>
    <xf numFmtId="166" fontId="0" fillId="0" borderId="0" applyAlignment="1" pivotButton="0" quotePrefix="0" xfId="0">
      <alignment vertical="center"/>
    </xf>
    <xf numFmtId="171" fontId="0" fillId="0" borderId="0" applyAlignment="1" pivotButton="0" quotePrefix="0" xfId="0">
      <alignment vertical="center"/>
    </xf>
    <xf numFmtId="171" fontId="18" fillId="0" borderId="0" applyAlignment="1" pivotButton="0" quotePrefix="0" xfId="0">
      <alignment vertical="center"/>
    </xf>
    <xf numFmtId="172" fontId="41" fillId="7" borderId="0" applyAlignment="1" pivotButton="0" quotePrefix="0" xfId="0">
      <alignment vertical="center"/>
    </xf>
    <xf numFmtId="2" fontId="8" fillId="0" borderId="0" pivotButton="0" quotePrefix="0" xfId="2"/>
    <xf numFmtId="10" fontId="8" fillId="0" borderId="0" pivotButton="0" quotePrefix="0" xfId="1"/>
    <xf numFmtId="0" fontId="42" fillId="0" borderId="8" applyAlignment="1" pivotButton="0" quotePrefix="1" xfId="0">
      <alignment horizontal="left" vertical="center" indent="1"/>
    </xf>
    <xf numFmtId="165" fontId="0" fillId="0" borderId="0" applyAlignment="1" pivotButton="0" quotePrefix="0" xfId="0">
      <alignment vertical="center"/>
    </xf>
    <xf numFmtId="173" fontId="0" fillId="0" borderId="0" applyAlignment="1" pivotButton="0" quotePrefix="0" xfId="0">
      <alignment vertical="center"/>
    </xf>
    <xf numFmtId="169" fontId="8" fillId="0" borderId="24" pivotButton="0" quotePrefix="0" xfId="2"/>
    <xf numFmtId="174" fontId="8" fillId="0" borderId="0" pivotButton="0" quotePrefix="0" xfId="2"/>
    <xf numFmtId="175" fontId="8" fillId="0" borderId="0" pivotButton="0" quotePrefix="0" xfId="2"/>
    <xf numFmtId="166" fontId="8" fillId="0" borderId="0" applyAlignment="1" pivotButton="0" quotePrefix="0" xfId="2">
      <alignment vertical="center" wrapText="1"/>
    </xf>
    <xf numFmtId="2" fontId="8" fillId="0" borderId="0" pivotButton="0" quotePrefix="0" xfId="1"/>
    <xf numFmtId="166" fontId="16" fillId="0" borderId="0" applyAlignment="1" pivotButton="0" quotePrefix="0" xfId="0">
      <alignment vertical="center"/>
    </xf>
    <xf numFmtId="169" fontId="0" fillId="0" borderId="0" applyAlignment="1" pivotButton="0" quotePrefix="0" xfId="0">
      <alignment vertical="center"/>
    </xf>
    <xf numFmtId="176" fontId="0" fillId="0" borderId="0" applyAlignment="1" pivotButton="0" quotePrefix="0" xfId="1">
      <alignment vertical="center"/>
    </xf>
    <xf numFmtId="3" fontId="26" fillId="0" borderId="0" applyAlignment="1" pivotButton="0" quotePrefix="0" xfId="0">
      <alignment horizontal="right" vertical="center" indent="1"/>
    </xf>
    <xf numFmtId="0" fontId="5" fillId="0" borderId="0" pivotButton="0" quotePrefix="0" xfId="35"/>
    <xf numFmtId="0" fontId="47" fillId="8" borderId="25" applyAlignment="1" applyProtection="1" pivotButton="0" quotePrefix="0" xfId="35">
      <alignment horizontal="center" vertical="center" wrapText="1"/>
      <protection locked="0" hidden="0"/>
    </xf>
    <xf numFmtId="0" fontId="47" fillId="8" borderId="25" applyAlignment="1" pivotButton="0" quotePrefix="0" xfId="35">
      <alignment horizontal="center" vertical="center" wrapText="1"/>
    </xf>
    <xf numFmtId="0" fontId="44" fillId="0" borderId="0" pivotButton="0" quotePrefix="0" xfId="35"/>
    <xf numFmtId="0" fontId="0" fillId="7" borderId="3" applyAlignment="1" pivotButton="0" quotePrefix="0" xfId="0">
      <alignment horizontal="right" vertical="center" indent="1"/>
    </xf>
    <xf numFmtId="166" fontId="0" fillId="7" borderId="5" applyAlignment="1" pivotButton="0" quotePrefix="0" xfId="1">
      <alignment horizontal="right" vertical="center" indent="1"/>
    </xf>
    <xf numFmtId="0" fontId="9" fillId="3" borderId="0" applyAlignment="1" pivotButton="0" quotePrefix="0" xfId="0">
      <alignment horizontal="right" vertical="center" indent="1"/>
    </xf>
    <xf numFmtId="10" fontId="0" fillId="0" borderId="0" applyAlignment="1" pivotButton="0" quotePrefix="0" xfId="0">
      <alignment vertical="center"/>
    </xf>
    <xf numFmtId="166" fontId="19" fillId="5" borderId="15" applyAlignment="1" pivotButton="0" quotePrefix="0" xfId="39">
      <alignment horizontal="center"/>
    </xf>
    <xf numFmtId="10" fontId="21" fillId="0" borderId="0" pivotButton="0" quotePrefix="0" xfId="40"/>
    <xf numFmtId="10" fontId="22" fillId="0" borderId="0" pivotButton="0" quotePrefix="0" xfId="40"/>
    <xf numFmtId="166" fontId="19" fillId="5" borderId="17" applyAlignment="1" pivotButton="0" quotePrefix="0" xfId="39">
      <alignment horizontal="center"/>
    </xf>
    <xf numFmtId="166" fontId="23" fillId="7" borderId="15" applyAlignment="1" pivotButton="0" quotePrefix="0" xfId="39">
      <alignment horizontal="center"/>
    </xf>
    <xf numFmtId="3" fontId="19" fillId="7" borderId="19" applyAlignment="1" pivotButton="0" quotePrefix="0" xfId="39">
      <alignment horizontal="center"/>
    </xf>
    <xf numFmtId="10" fontId="19" fillId="7" borderId="19" applyAlignment="1" pivotButton="0" quotePrefix="0" xfId="39">
      <alignment horizontal="center"/>
    </xf>
    <xf numFmtId="0" fontId="25" fillId="0" borderId="0" pivotButton="0" quotePrefix="0" xfId="2"/>
    <xf numFmtId="166" fontId="8" fillId="7" borderId="19" applyAlignment="1" pivotButton="0" quotePrefix="0" xfId="2">
      <alignment horizontal="center"/>
    </xf>
    <xf numFmtId="10" fontId="8" fillId="7" borderId="19" applyAlignment="1" pivotButton="0" quotePrefix="0" xfId="2">
      <alignment horizontal="center" vertical="center"/>
    </xf>
    <xf numFmtId="0" fontId="26" fillId="0" borderId="16" pivotButton="0" quotePrefix="0" xfId="2"/>
    <xf numFmtId="0" fontId="19" fillId="0" borderId="17" applyAlignment="1" pivotButton="0" quotePrefix="0" xfId="39">
      <alignment horizontal="center"/>
    </xf>
    <xf numFmtId="0" fontId="26" fillId="0" borderId="16" applyAlignment="1" pivotButton="0" quotePrefix="0" xfId="2">
      <alignment horizontal="center"/>
    </xf>
    <xf numFmtId="166" fontId="37" fillId="6" borderId="15" applyAlignment="1" pivotButton="0" quotePrefix="0" xfId="39">
      <alignment horizontal="center"/>
    </xf>
    <xf numFmtId="166" fontId="37" fillId="6" borderId="19" applyAlignment="1" pivotButton="0" quotePrefix="0" xfId="39">
      <alignment horizontal="center"/>
    </xf>
    <xf numFmtId="169" fontId="22" fillId="0" borderId="0" pivotButton="0" quotePrefix="0" xfId="40"/>
    <xf numFmtId="166" fontId="28" fillId="6" borderId="19" applyAlignment="1" pivotButton="0" quotePrefix="0" xfId="39">
      <alignment horizontal="center"/>
    </xf>
    <xf numFmtId="0" fontId="16" fillId="0" borderId="0" pivotButton="0" quotePrefix="0" xfId="2"/>
    <xf numFmtId="9" fontId="8" fillId="0" borderId="0" pivotButton="0" quotePrefix="0" xfId="40"/>
    <xf numFmtId="177" fontId="8" fillId="0" borderId="0" applyAlignment="1" pivotButton="0" quotePrefix="0" xfId="2">
      <alignment horizontal="center" vertical="center"/>
    </xf>
    <xf numFmtId="0" fontId="8" fillId="0" borderId="0" applyAlignment="1" pivotButton="0" quotePrefix="0" xfId="2">
      <alignment horizontal="center" vertical="center"/>
    </xf>
    <xf numFmtId="178" fontId="30" fillId="0" borderId="0" applyAlignment="1" pivotButton="0" quotePrefix="0" xfId="40">
      <alignment horizontal="center"/>
    </xf>
    <xf numFmtId="10" fontId="21" fillId="0" borderId="25" applyAlignment="1" pivotButton="0" quotePrefix="0" xfId="40">
      <alignment horizontal="center" vertical="center"/>
    </xf>
    <xf numFmtId="10" fontId="22" fillId="0" borderId="0" applyAlignment="1" pivotButton="0" quotePrefix="0" xfId="40">
      <alignment horizontal="center" vertical="center"/>
    </xf>
    <xf numFmtId="166" fontId="30" fillId="0" borderId="0" applyAlignment="1" pivotButton="0" quotePrefix="0" xfId="2">
      <alignment horizontal="center"/>
    </xf>
    <xf numFmtId="0" fontId="30" fillId="0" borderId="0" applyAlignment="1" pivotButton="0" quotePrefix="0" xfId="2">
      <alignment horizontal="center"/>
    </xf>
    <xf numFmtId="10" fontId="21" fillId="0" borderId="24" applyAlignment="1" pivotButton="0" quotePrefix="0" xfId="40">
      <alignment horizontal="center"/>
    </xf>
    <xf numFmtId="10" fontId="22" fillId="0" borderId="0" applyAlignment="1" pivotButton="0" quotePrefix="0" xfId="40">
      <alignment horizontal="center"/>
    </xf>
    <xf numFmtId="10" fontId="32" fillId="0" borderId="29" applyAlignment="1" pivotButton="0" quotePrefix="0" xfId="40">
      <alignment horizontal="center" vertical="center" wrapText="1"/>
    </xf>
    <xf numFmtId="10" fontId="33" fillId="0" borderId="0" applyAlignment="1" pivotButton="0" quotePrefix="0" xfId="40">
      <alignment horizontal="center" vertical="center" wrapText="1"/>
    </xf>
    <xf numFmtId="10" fontId="32" fillId="0" borderId="24" applyAlignment="1" pivotButton="0" quotePrefix="0" xfId="40">
      <alignment horizontal="center" vertical="center" wrapText="1"/>
    </xf>
    <xf numFmtId="0" fontId="8" fillId="0" borderId="0" applyAlignment="1" pivotButton="0" quotePrefix="0" xfId="2">
      <alignment horizontal="center" vertical="center" wrapText="1"/>
    </xf>
    <xf numFmtId="10" fontId="21" fillId="0" borderId="25" applyAlignment="1" pivotButton="0" quotePrefix="0" xfId="40">
      <alignment vertical="center" wrapText="1"/>
    </xf>
    <xf numFmtId="10" fontId="22" fillId="0" borderId="0" applyAlignment="1" pivotButton="0" quotePrefix="0" xfId="40">
      <alignment vertical="center" wrapText="1"/>
    </xf>
    <xf numFmtId="10" fontId="21" fillId="0" borderId="24" applyAlignment="1" pivotButton="0" quotePrefix="0" xfId="40">
      <alignment vertical="center" wrapText="1"/>
    </xf>
    <xf numFmtId="179" fontId="21" fillId="0" borderId="24" pivotButton="0" quotePrefix="0" xfId="40"/>
    <xf numFmtId="179" fontId="34" fillId="0" borderId="0" applyAlignment="1" pivotButton="0" quotePrefix="0" xfId="40">
      <alignment horizontal="left"/>
    </xf>
    <xf numFmtId="10" fontId="0" fillId="0" borderId="0" pivotButton="0" quotePrefix="0" xfId="1"/>
    <xf numFmtId="0" fontId="47" fillId="8" borderId="24" applyAlignment="1" pivotButton="0" quotePrefix="0" xfId="35">
      <alignment horizontal="center" vertical="center" wrapText="1"/>
    </xf>
    <xf numFmtId="180" fontId="0" fillId="0" borderId="0" pivotButton="0" quotePrefix="0" xfId="0"/>
    <xf numFmtId="0" fontId="43" fillId="0" borderId="0" applyProtection="1" pivotButton="0" quotePrefix="0" xfId="35">
      <protection locked="0" hidden="0"/>
    </xf>
    <xf numFmtId="0" fontId="5" fillId="0" borderId="0" applyProtection="1" pivotButton="0" quotePrefix="0" xfId="35">
      <protection locked="0" hidden="0"/>
    </xf>
    <xf numFmtId="181" fontId="43" fillId="0" borderId="0" applyProtection="1" pivotButton="0" quotePrefix="0" xfId="36">
      <protection locked="0" hidden="0"/>
    </xf>
    <xf numFmtId="181" fontId="0" fillId="0" borderId="0" applyProtection="1" pivotButton="0" quotePrefix="0" xfId="36">
      <protection locked="0" hidden="0"/>
    </xf>
    <xf numFmtId="0" fontId="45" fillId="0" borderId="0" applyAlignment="1" applyProtection="1" pivotButton="0" quotePrefix="0" xfId="35">
      <alignment horizontal="center"/>
      <protection locked="0" hidden="0"/>
    </xf>
    <xf numFmtId="0" fontId="45" fillId="0" borderId="0" applyProtection="1" pivotButton="0" quotePrefix="0" xfId="35">
      <protection locked="0" hidden="0"/>
    </xf>
    <xf numFmtId="0" fontId="45" fillId="0" borderId="0" pivotButton="0" quotePrefix="0" xfId="35"/>
    <xf numFmtId="0" fontId="5" fillId="0" borderId="0" applyAlignment="1" pivotButton="0" quotePrefix="0" xfId="35">
      <alignment horizontal="center"/>
    </xf>
    <xf numFmtId="181" fontId="0" fillId="0" borderId="0" applyAlignment="1" pivotButton="0" quotePrefix="0" xfId="36">
      <alignment horizontal="center"/>
    </xf>
    <xf numFmtId="182" fontId="0" fillId="0" borderId="0" applyAlignment="1" pivotButton="0" quotePrefix="0" xfId="36">
      <alignment horizontal="center"/>
    </xf>
    <xf numFmtId="0" fontId="45" fillId="0" borderId="0" applyAlignment="1" applyProtection="1" pivotButton="0" quotePrefix="0" xfId="35">
      <alignment horizontal="center" vertical="center"/>
      <protection locked="0" hidden="0"/>
    </xf>
    <xf numFmtId="10" fontId="45" fillId="0" borderId="0" applyAlignment="1" applyProtection="1" pivotButton="0" quotePrefix="0" xfId="35">
      <alignment horizontal="right" vertical="center"/>
      <protection locked="0" hidden="0"/>
    </xf>
    <xf numFmtId="0" fontId="5" fillId="0" borderId="0" applyAlignment="1" applyProtection="1" pivotButton="0" quotePrefix="0" xfId="35">
      <alignment horizontal="left" vertical="center"/>
      <protection locked="0" hidden="0"/>
    </xf>
    <xf numFmtId="0" fontId="46" fillId="0" borderId="0" applyAlignment="1" pivotButton="0" quotePrefix="0" xfId="35">
      <alignment horizontal="left" vertical="top" wrapText="1"/>
    </xf>
    <xf numFmtId="0" fontId="46" fillId="0" borderId="0" applyAlignment="1" pivotButton="0" quotePrefix="0" xfId="35">
      <alignment horizontal="center" vertical="top" wrapText="1"/>
    </xf>
    <xf numFmtId="0" fontId="19" fillId="9" borderId="25" pivotButton="0" quotePrefix="0" xfId="35"/>
    <xf numFmtId="0" fontId="23" fillId="9" borderId="29" pivotButton="0" quotePrefix="0" xfId="35"/>
    <xf numFmtId="0" fontId="0" fillId="0" borderId="31" applyAlignment="1" pivotButton="0" quotePrefix="0" xfId="0">
      <alignment horizontal="right" vertical="center" indent="1"/>
    </xf>
    <xf numFmtId="0" fontId="0" fillId="0" borderId="31" applyAlignment="1" pivotButton="0" quotePrefix="0" xfId="0">
      <alignment vertical="center"/>
    </xf>
    <xf numFmtId="166" fontId="0" fillId="7" borderId="5" applyAlignment="1" applyProtection="1" pivotButton="0" quotePrefix="0" xfId="1">
      <alignment horizontal="right" vertical="center" indent="1"/>
      <protection locked="0" hidden="0"/>
    </xf>
    <xf numFmtId="10" fontId="0" fillId="9" borderId="5" applyAlignment="1" applyProtection="1" pivotButton="0" quotePrefix="0" xfId="1">
      <alignment horizontal="right" vertical="center" indent="1"/>
      <protection locked="0" hidden="0"/>
    </xf>
    <xf numFmtId="178" fontId="24" fillId="7" borderId="0" applyAlignment="1" pivotButton="0" quotePrefix="0" xfId="1">
      <alignment vertical="center"/>
    </xf>
    <xf numFmtId="10" fontId="24" fillId="7" borderId="0" applyAlignment="1" pivotButton="0" quotePrefix="0" xfId="1">
      <alignment vertical="center"/>
    </xf>
    <xf numFmtId="0" fontId="50" fillId="7" borderId="0" applyAlignment="1" pivotButton="0" quotePrefix="0" xfId="0">
      <alignment vertical="center"/>
    </xf>
    <xf numFmtId="0" fontId="24" fillId="7" borderId="0" applyAlignment="1" pivotButton="0" quotePrefix="0" xfId="0">
      <alignment vertical="center"/>
    </xf>
    <xf numFmtId="183" fontId="24" fillId="7" borderId="0" applyAlignment="1" pivotButton="0" quotePrefix="0" xfId="1">
      <alignment vertical="center"/>
    </xf>
    <xf numFmtId="171" fontId="9" fillId="7" borderId="0" applyAlignment="1" pivotButton="0" quotePrefix="0" xfId="1">
      <alignment horizontal="right" vertical="center" indent="1"/>
    </xf>
    <xf numFmtId="0" fontId="0" fillId="7" borderId="5" applyAlignment="1" pivotButton="0" quotePrefix="0" xfId="0">
      <alignment vertical="center"/>
    </xf>
    <xf numFmtId="0" fontId="16" fillId="0" borderId="0" applyAlignment="1" pivotButton="0" quotePrefix="0" xfId="2">
      <alignment horizontal="center"/>
    </xf>
    <xf numFmtId="10" fontId="21" fillId="0" borderId="0" pivotButton="0" quotePrefix="0" xfId="40"/>
    <xf numFmtId="166" fontId="19" fillId="0" borderId="0" applyAlignment="1" pivotButton="0" quotePrefix="0" xfId="39">
      <alignment horizontal="center"/>
    </xf>
    <xf numFmtId="166" fontId="23" fillId="0" borderId="0" applyAlignment="1" pivotButton="0" quotePrefix="0" xfId="39">
      <alignment horizontal="center"/>
    </xf>
    <xf numFmtId="0" fontId="0" fillId="0" borderId="0" applyAlignment="1" pivotButton="0" quotePrefix="0" xfId="2">
      <alignment horizontal="center"/>
    </xf>
    <xf numFmtId="3" fontId="19" fillId="0" borderId="0" applyAlignment="1" pivotButton="0" quotePrefix="0" xfId="39">
      <alignment horizontal="center"/>
    </xf>
    <xf numFmtId="10" fontId="19" fillId="0" borderId="0" applyAlignment="1" pivotButton="0" quotePrefix="0" xfId="39">
      <alignment horizontal="center"/>
    </xf>
    <xf numFmtId="166" fontId="8" fillId="0" borderId="0" applyAlignment="1" pivotButton="0" quotePrefix="0" xfId="2">
      <alignment horizontal="center"/>
    </xf>
    <xf numFmtId="10" fontId="8" fillId="0" borderId="0" applyAlignment="1" pivotButton="0" quotePrefix="0" xfId="2">
      <alignment horizontal="center" vertical="center"/>
    </xf>
    <xf numFmtId="0" fontId="26" fillId="0" borderId="0" pivotButton="0" quotePrefix="0" xfId="2"/>
    <xf numFmtId="0" fontId="19" fillId="0" borderId="0" applyAlignment="1" pivotButton="0" quotePrefix="0" xfId="39">
      <alignment horizontal="center"/>
    </xf>
    <xf numFmtId="0" fontId="26" fillId="0" borderId="0" applyAlignment="1" pivotButton="0" quotePrefix="0" xfId="2">
      <alignment horizontal="center"/>
    </xf>
    <xf numFmtId="9" fontId="19" fillId="0" borderId="0" applyAlignment="1" pivotButton="0" quotePrefix="0" xfId="39">
      <alignment horizontal="center"/>
    </xf>
    <xf numFmtId="0" fontId="36" fillId="0" borderId="0" applyAlignment="1" pivotButton="0" quotePrefix="0" xfId="2">
      <alignment horizontal="center"/>
    </xf>
    <xf numFmtId="166" fontId="37" fillId="0" borderId="0" applyAlignment="1" pivotButton="0" quotePrefix="0" xfId="39">
      <alignment horizontal="center"/>
    </xf>
    <xf numFmtId="0" fontId="27" fillId="0" borderId="0" applyAlignment="1" pivotButton="0" quotePrefix="0" xfId="2">
      <alignment horizontal="center"/>
    </xf>
    <xf numFmtId="166" fontId="28" fillId="0" borderId="0" applyAlignment="1" pivotButton="0" quotePrefix="0" xfId="39">
      <alignment horizontal="center"/>
    </xf>
    <xf numFmtId="0" fontId="29" fillId="0" borderId="0" applyAlignment="1" pivotButton="0" quotePrefix="0" xfId="2">
      <alignment horizontal="center"/>
    </xf>
    <xf numFmtId="10" fontId="35" fillId="0" borderId="0" applyAlignment="1" pivotButton="0" quotePrefix="0" xfId="1">
      <alignment horizontal="center"/>
    </xf>
    <xf numFmtId="166" fontId="0" fillId="0" borderId="5" applyAlignment="1" pivotButton="0" quotePrefix="0" xfId="1">
      <alignment horizontal="right" vertical="center" indent="1"/>
    </xf>
    <xf numFmtId="172" fontId="0" fillId="0" borderId="5" applyAlignment="1" applyProtection="1" pivotButton="0" quotePrefix="0" xfId="0">
      <alignment horizontal="right" vertical="center" indent="1"/>
      <protection locked="0" hidden="0"/>
    </xf>
    <xf numFmtId="10" fontId="0" fillId="0" borderId="5" applyAlignment="1" pivotButton="0" quotePrefix="0" xfId="1">
      <alignment horizontal="right" vertical="center" indent="1"/>
    </xf>
    <xf numFmtId="10" fontId="0" fillId="0" borderId="5" applyAlignment="1" applyProtection="1" pivotButton="0" quotePrefix="0" xfId="1">
      <alignment horizontal="right" vertical="center" indent="1"/>
      <protection locked="0" hidden="0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72" fontId="41" fillId="0" borderId="0" applyAlignment="1" pivotButton="0" quotePrefix="0" xfId="0">
      <alignment vertical="center"/>
    </xf>
    <xf numFmtId="3" fontId="8" fillId="0" borderId="0" pivotButton="0" quotePrefix="0" xfId="2"/>
    <xf numFmtId="178" fontId="19" fillId="9" borderId="17" applyAlignment="1" pivotButton="0" quotePrefix="0" xfId="39">
      <alignment horizontal="center"/>
    </xf>
    <xf numFmtId="0" fontId="8" fillId="0" borderId="0" pivotButton="0" quotePrefix="0" xfId="136"/>
    <xf numFmtId="184" fontId="8" fillId="0" borderId="0" pivotButton="0" quotePrefix="0" xfId="136"/>
    <xf numFmtId="4" fontId="8" fillId="0" borderId="0" pivotButton="0" quotePrefix="0" xfId="136"/>
    <xf numFmtId="0" fontId="64" fillId="41" borderId="0" applyAlignment="1" pivotButton="0" quotePrefix="0" xfId="136">
      <alignment horizontal="center" vertical="center"/>
    </xf>
    <xf numFmtId="184" fontId="64" fillId="4" borderId="41" applyAlignment="1" pivotButton="0" quotePrefix="0" xfId="137">
      <alignment horizontal="center" vertical="center"/>
    </xf>
    <xf numFmtId="0" fontId="64" fillId="41" borderId="42" applyAlignment="1" pivotButton="0" quotePrefix="0" xfId="136">
      <alignment horizontal="center" vertical="center"/>
    </xf>
    <xf numFmtId="10" fontId="65" fillId="4" borderId="0" applyAlignment="1" pivotButton="0" quotePrefix="0" xfId="138">
      <alignment horizontal="center" vertical="center"/>
    </xf>
    <xf numFmtId="10" fontId="0" fillId="0" borderId="0" pivotButton="0" quotePrefix="0" xfId="138"/>
    <xf numFmtId="0" fontId="66" fillId="0" borderId="0" pivotButton="0" quotePrefix="0" xfId="136"/>
    <xf numFmtId="10" fontId="8" fillId="0" borderId="0" pivotButton="0" quotePrefix="0" xfId="136"/>
    <xf numFmtId="2" fontId="8" fillId="0" borderId="0" pivotButton="0" quotePrefix="0" xfId="136"/>
    <xf numFmtId="4" fontId="65" fillId="4" borderId="0" applyAlignment="1" pivotButton="0" quotePrefix="0" xfId="136">
      <alignment horizontal="center" vertical="center"/>
    </xf>
    <xf numFmtId="178" fontId="0" fillId="0" borderId="0" pivotButton="0" quotePrefix="0" xfId="138"/>
    <xf numFmtId="10" fontId="64" fillId="4" borderId="0" applyAlignment="1" pivotButton="0" quotePrefix="0" xfId="136">
      <alignment horizontal="center" vertical="center"/>
    </xf>
    <xf numFmtId="0" fontId="41" fillId="0" borderId="0" pivotButton="0" quotePrefix="0" xfId="136"/>
    <xf numFmtId="0" fontId="65" fillId="4" borderId="0" applyAlignment="1" pivotButton="0" quotePrefix="0" xfId="136">
      <alignment horizontal="center" vertical="center"/>
    </xf>
    <xf numFmtId="3" fontId="65" fillId="0" borderId="0" applyAlignment="1" pivotButton="0" quotePrefix="0" xfId="136">
      <alignment horizontal="center" vertical="center"/>
    </xf>
    <xf numFmtId="3" fontId="65" fillId="4" borderId="0" applyAlignment="1" pivotButton="0" quotePrefix="0" xfId="136">
      <alignment horizontal="center" vertical="center"/>
    </xf>
    <xf numFmtId="0" fontId="8" fillId="4" borderId="0" pivotButton="0" quotePrefix="0" xfId="136"/>
    <xf numFmtId="0" fontId="67" fillId="41" borderId="0" applyAlignment="1" pivotButton="0" quotePrefix="0" xfId="136">
      <alignment horizontal="center" vertical="center"/>
    </xf>
    <xf numFmtId="0" fontId="16" fillId="6" borderId="20" applyAlignment="1" pivotButton="0" quotePrefix="0" xfId="2">
      <alignment horizontal="center"/>
    </xf>
    <xf numFmtId="0" fontId="16" fillId="6" borderId="21" applyAlignment="1" pivotButton="0" quotePrefix="0" xfId="2">
      <alignment horizontal="center"/>
    </xf>
    <xf numFmtId="0" fontId="12" fillId="3" borderId="0" applyAlignment="1" pivotButton="0" quotePrefix="0" xfId="0">
      <alignment horizontal="center" vertical="center" wrapText="1"/>
    </xf>
    <xf numFmtId="0" fontId="12" fillId="3" borderId="0" applyAlignment="1" pivotButton="0" quotePrefix="0" xfId="0">
      <alignment horizontal="center" vertical="center"/>
    </xf>
    <xf numFmtId="0" fontId="11" fillId="0" borderId="8" applyAlignment="1" pivotButton="0" quotePrefix="0" xfId="0">
      <alignment horizontal="right" vertical="center" indent="1"/>
    </xf>
    <xf numFmtId="0" fontId="16" fillId="0" borderId="0" applyAlignment="1" pivotButton="0" quotePrefix="0" xfId="2">
      <alignment horizontal="center"/>
    </xf>
    <xf numFmtId="0" fontId="0" fillId="0" borderId="31" applyAlignment="1" pivotButton="0" quotePrefix="1" xfId="0">
      <alignment vertical="center"/>
    </xf>
    <xf numFmtId="0" fontId="8" fillId="0" borderId="0" pivotButton="0" quotePrefix="1" xfId="2"/>
    <xf numFmtId="180" fontId="0" fillId="0" borderId="0" pivotButton="0" quotePrefix="0" xfId="0"/>
    <xf numFmtId="178" fontId="0" fillId="0" borderId="0" pivotButton="0" quotePrefix="0" xfId="138"/>
    <xf numFmtId="184" fontId="64" fillId="4" borderId="41" applyAlignment="1" pivotButton="0" quotePrefix="0" xfId="137">
      <alignment horizontal="center" vertical="center"/>
    </xf>
    <xf numFmtId="184" fontId="8" fillId="0" borderId="0" pivotButton="0" quotePrefix="0" xfId="136"/>
    <xf numFmtId="0" fontId="0" fillId="0" borderId="8" pivotButton="0" quotePrefix="0" xfId="0"/>
    <xf numFmtId="166" fontId="0" fillId="7" borderId="5" applyAlignment="1" applyProtection="1" pivotButton="0" quotePrefix="0" xfId="1">
      <alignment horizontal="right" vertical="center" indent="1"/>
      <protection locked="0" hidden="0"/>
    </xf>
    <xf numFmtId="166" fontId="0" fillId="7" borderId="5" applyAlignment="1" pivotButton="0" quotePrefix="0" xfId="1">
      <alignment horizontal="right" vertical="center" indent="1"/>
    </xf>
    <xf numFmtId="166" fontId="0" fillId="7" borderId="0" applyAlignment="1" pivotButton="0" quotePrefix="0" xfId="0">
      <alignment vertical="center"/>
    </xf>
    <xf numFmtId="166" fontId="0" fillId="0" borderId="5" applyAlignment="1" pivotButton="0" quotePrefix="0" xfId="1">
      <alignment horizontal="right" vertical="center" indent="1"/>
    </xf>
    <xf numFmtId="166" fontId="0" fillId="4" borderId="5" applyAlignment="1" applyProtection="1" pivotButton="0" quotePrefix="0" xfId="1">
      <alignment horizontal="right" vertical="center" indent="1"/>
      <protection locked="0" hidden="0"/>
    </xf>
    <xf numFmtId="172" fontId="0" fillId="0" borderId="5" applyAlignment="1" applyProtection="1" pivotButton="0" quotePrefix="0" xfId="0">
      <alignment horizontal="right" vertical="center" indent="1"/>
      <protection locked="0" hidden="0"/>
    </xf>
    <xf numFmtId="164" fontId="0" fillId="4" borderId="5" applyAlignment="1" applyProtection="1" pivotButton="0" quotePrefix="0" xfId="0">
      <alignment horizontal="right" vertical="center" indent="1"/>
      <protection locked="0" hidden="0"/>
    </xf>
    <xf numFmtId="172" fontId="41" fillId="7" borderId="0" applyAlignment="1" pivotButton="0" quotePrefix="0" xfId="0">
      <alignment vertical="center"/>
    </xf>
    <xf numFmtId="172" fontId="41" fillId="0" borderId="0" applyAlignment="1" pivotButton="0" quotePrefix="0" xfId="0">
      <alignment vertical="center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66" fontId="0" fillId="0" borderId="30" applyAlignment="1" applyProtection="1" pivotButton="0" quotePrefix="0" xfId="1">
      <alignment horizontal="right" vertical="center" indent="1"/>
      <protection locked="0" hidden="0"/>
    </xf>
    <xf numFmtId="166" fontId="0" fillId="0" borderId="0" applyAlignment="1" pivotButton="0" quotePrefix="0" xfId="0">
      <alignment vertical="center"/>
    </xf>
    <xf numFmtId="178" fontId="24" fillId="7" borderId="0" applyAlignment="1" pivotButton="0" quotePrefix="0" xfId="1">
      <alignment vertical="center"/>
    </xf>
    <xf numFmtId="183" fontId="24" fillId="7" borderId="0" applyAlignment="1" pivotButton="0" quotePrefix="0" xfId="1">
      <alignment vertical="center"/>
    </xf>
    <xf numFmtId="169" fontId="9" fillId="3" borderId="0" applyAlignment="1" pivotButton="0" quotePrefix="0" xfId="1">
      <alignment horizontal="right" vertical="center" indent="1"/>
    </xf>
    <xf numFmtId="171" fontId="9" fillId="7" borderId="0" applyAlignment="1" pivotButton="0" quotePrefix="0" xfId="1">
      <alignment horizontal="right" vertical="center" indent="1"/>
    </xf>
    <xf numFmtId="169" fontId="0" fillId="0" borderId="0" applyAlignment="1" pivotButton="0" quotePrefix="0" xfId="0">
      <alignment vertical="center"/>
    </xf>
    <xf numFmtId="176" fontId="0" fillId="0" borderId="0" applyAlignment="1" pivotButton="0" quotePrefix="0" xfId="1">
      <alignment vertical="center"/>
    </xf>
    <xf numFmtId="171" fontId="0" fillId="0" borderId="0" applyAlignment="1" pivotButton="0" quotePrefix="0" xfId="0">
      <alignment vertical="center"/>
    </xf>
    <xf numFmtId="165" fontId="18" fillId="0" borderId="11" applyAlignment="1" pivotButton="0" quotePrefix="0" xfId="0">
      <alignment horizontal="right" vertical="center" indent="1"/>
    </xf>
    <xf numFmtId="171" fontId="18" fillId="0" borderId="0" applyAlignment="1" pivotButton="0" quotePrefix="0" xfId="0">
      <alignment vertical="center"/>
    </xf>
    <xf numFmtId="166" fontId="18" fillId="0" borderId="13" applyAlignment="1" pivotButton="0" quotePrefix="0" xfId="0">
      <alignment horizontal="right" vertical="center" indent="1"/>
    </xf>
    <xf numFmtId="165" fontId="18" fillId="0" borderId="13" applyAlignment="1" pivotButton="0" quotePrefix="0" xfId="0">
      <alignment horizontal="right" vertical="center" indent="1"/>
    </xf>
    <xf numFmtId="166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vertical="center"/>
    </xf>
    <xf numFmtId="166" fontId="16" fillId="0" borderId="0" applyAlignment="1" pivotButton="0" quotePrefix="0" xfId="0">
      <alignment vertical="center"/>
    </xf>
    <xf numFmtId="166" fontId="9" fillId="3" borderId="13" applyAlignment="1" pivotButton="0" quotePrefix="0" xfId="1">
      <alignment horizontal="right" vertical="center" indent="1"/>
    </xf>
    <xf numFmtId="166" fontId="0" fillId="0" borderId="13" applyAlignment="1" pivotButton="0" quotePrefix="0" xfId="0">
      <alignment vertical="center"/>
    </xf>
    <xf numFmtId="166" fontId="9" fillId="3" borderId="12" applyAlignment="1" pivotButton="0" quotePrefix="0" xfId="1">
      <alignment horizontal="right" vertical="center" indent="1"/>
    </xf>
    <xf numFmtId="167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horizontal="right" vertical="center" indent="1"/>
    </xf>
    <xf numFmtId="173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66" fontId="19" fillId="5" borderId="15" applyAlignment="1" pivotButton="0" quotePrefix="0" xfId="39">
      <alignment horizontal="center"/>
    </xf>
    <xf numFmtId="168" fontId="8" fillId="0" borderId="0" pivotButton="0" quotePrefix="0" xfId="2"/>
    <xf numFmtId="166" fontId="19" fillId="0" borderId="0" applyAlignment="1" pivotButton="0" quotePrefix="0" xfId="39">
      <alignment horizontal="center"/>
    </xf>
    <xf numFmtId="166" fontId="19" fillId="5" borderId="17" applyAlignment="1" pivotButton="0" quotePrefix="0" xfId="39">
      <alignment horizontal="center"/>
    </xf>
    <xf numFmtId="166" fontId="23" fillId="7" borderId="15" applyAlignment="1" pivotButton="0" quotePrefix="0" xfId="39">
      <alignment horizontal="center"/>
    </xf>
    <xf numFmtId="169" fontId="8" fillId="0" borderId="0" pivotButton="0" quotePrefix="0" xfId="2"/>
    <xf numFmtId="171" fontId="8" fillId="0" borderId="0" pivotButton="0" quotePrefix="0" xfId="2"/>
    <xf numFmtId="166" fontId="8" fillId="0" borderId="0" pivotButton="0" quotePrefix="0" xfId="2"/>
    <xf numFmtId="166" fontId="23" fillId="0" borderId="0" applyAlignment="1" pivotButton="0" quotePrefix="0" xfId="39">
      <alignment horizontal="center"/>
    </xf>
    <xf numFmtId="166" fontId="8" fillId="7" borderId="19" applyAlignment="1" pivotButton="0" quotePrefix="0" xfId="2">
      <alignment horizontal="center"/>
    </xf>
    <xf numFmtId="166" fontId="8" fillId="0" borderId="0" applyAlignment="1" pivotButton="0" quotePrefix="0" xfId="2">
      <alignment horizontal="center"/>
    </xf>
    <xf numFmtId="178" fontId="19" fillId="9" borderId="17" applyAlignment="1" pivotButton="0" quotePrefix="0" xfId="39">
      <alignment horizontal="center"/>
    </xf>
    <xf numFmtId="166" fontId="37" fillId="6" borderId="15" applyAlignment="1" pivotButton="0" quotePrefix="0" xfId="39">
      <alignment horizontal="center"/>
    </xf>
    <xf numFmtId="166" fontId="37" fillId="0" borderId="0" applyAlignment="1" pivotButton="0" quotePrefix="0" xfId="39">
      <alignment horizontal="center"/>
    </xf>
    <xf numFmtId="166" fontId="37" fillId="6" borderId="19" applyAlignment="1" pivotButton="0" quotePrefix="0" xfId="39">
      <alignment horizontal="center"/>
    </xf>
    <xf numFmtId="175" fontId="8" fillId="0" borderId="0" pivotButton="0" quotePrefix="0" xfId="2"/>
    <xf numFmtId="174" fontId="8" fillId="0" borderId="0" pivotButton="0" quotePrefix="0" xfId="2"/>
    <xf numFmtId="169" fontId="22" fillId="0" borderId="0" pivotButton="0" quotePrefix="0" xfId="40"/>
    <xf numFmtId="166" fontId="28" fillId="6" borderId="19" applyAlignment="1" pivotButton="0" quotePrefix="0" xfId="39">
      <alignment horizontal="center"/>
    </xf>
    <xf numFmtId="166" fontId="22" fillId="0" borderId="0" applyAlignment="1" pivotButton="0" quotePrefix="0" xfId="1">
      <alignment horizontal="left"/>
    </xf>
    <xf numFmtId="166" fontId="28" fillId="0" borderId="0" applyAlignment="1" pivotButton="0" quotePrefix="0" xfId="39">
      <alignment horizontal="center"/>
    </xf>
    <xf numFmtId="170" fontId="38" fillId="0" borderId="0" pivotButton="0" quotePrefix="0" xfId="2"/>
    <xf numFmtId="0" fontId="0" fillId="0" borderId="21" pivotButton="0" quotePrefix="0" xfId="0"/>
    <xf numFmtId="177" fontId="8" fillId="0" borderId="0" applyAlignment="1" pivotButton="0" quotePrefix="0" xfId="2">
      <alignment horizontal="center" vertical="center"/>
    </xf>
    <xf numFmtId="178" fontId="30" fillId="0" borderId="0" applyAlignment="1" pivotButton="0" quotePrefix="0" xfId="40">
      <alignment horizontal="center"/>
    </xf>
    <xf numFmtId="170" fontId="8" fillId="0" borderId="23" applyAlignment="1" pivotButton="0" quotePrefix="0" xfId="2">
      <alignment horizontal="center"/>
    </xf>
    <xf numFmtId="166" fontId="30" fillId="0" borderId="0" applyAlignment="1" pivotButton="0" quotePrefix="0" xfId="2">
      <alignment horizontal="center"/>
    </xf>
    <xf numFmtId="166" fontId="30" fillId="0" borderId="23" applyAlignment="1" pivotButton="0" quotePrefix="0" xfId="2">
      <alignment horizontal="center"/>
    </xf>
    <xf numFmtId="166" fontId="36" fillId="0" borderId="23" applyAlignment="1" pivotButton="0" quotePrefix="0" xfId="2">
      <alignment horizontal="center" vertical="center" wrapText="1"/>
    </xf>
    <xf numFmtId="166" fontId="8" fillId="0" borderId="24" applyAlignment="1" pivotButton="0" quotePrefix="0" xfId="2">
      <alignment vertical="center" wrapText="1"/>
    </xf>
    <xf numFmtId="166" fontId="8" fillId="0" borderId="23" applyAlignment="1" pivotButton="0" quotePrefix="0" xfId="2">
      <alignment horizontal="center" vertical="center" wrapText="1"/>
    </xf>
    <xf numFmtId="166" fontId="8" fillId="0" borderId="0" applyAlignment="1" pivotButton="0" quotePrefix="0" xfId="2">
      <alignment vertical="center" wrapText="1"/>
    </xf>
    <xf numFmtId="166" fontId="8" fillId="0" borderId="23" pivotButton="0" quotePrefix="0" xfId="2"/>
    <xf numFmtId="166" fontId="8" fillId="0" borderId="24" pivotButton="0" quotePrefix="0" xfId="2"/>
    <xf numFmtId="179" fontId="21" fillId="0" borderId="24" pivotButton="0" quotePrefix="0" xfId="40"/>
    <xf numFmtId="179" fontId="34" fillId="0" borderId="0" applyAlignment="1" pivotButton="0" quotePrefix="0" xfId="40">
      <alignment horizontal="left"/>
    </xf>
    <xf numFmtId="169" fontId="8" fillId="0" borderId="24" pivotButton="0" quotePrefix="0" xfId="2"/>
  </cellXfs>
  <cellStyles count="139">
    <cellStyle name="Normal" xfId="0" builtinId="0"/>
    <cellStyle name="Pourcentage" xfId="1" builtinId="5"/>
    <cellStyle name="Normal 2 2" xfId="2"/>
    <cellStyle name="Normal 2" xfId="3"/>
    <cellStyle name="Pourcentage 2" xfId="4"/>
    <cellStyle name="=D:\WINNT\SYSTEM32\COMMAND.COM" xfId="5"/>
    <cellStyle name="Euro" xfId="6"/>
    <cellStyle name="Milliers 2" xfId="7"/>
    <cellStyle name="Milliers 3" xfId="8"/>
    <cellStyle name="Milliers 4" xfId="9"/>
    <cellStyle name="Milliers 5" xfId="10"/>
    <cellStyle name="Normal 3" xfId="11"/>
    <cellStyle name="Normal 4" xfId="12"/>
    <cellStyle name="Normal 5" xfId="13"/>
    <cellStyle name="Normal 5 2" xfId="14"/>
    <cellStyle name="Normal 6" xfId="15"/>
    <cellStyle name="Normal 6 2" xfId="16"/>
    <cellStyle name="Normal 7" xfId="17"/>
    <cellStyle name="Normal 8" xfId="18"/>
    <cellStyle name="Normal 9" xfId="19"/>
    <cellStyle name="Pourcentage 10" xfId="20"/>
    <cellStyle name="Pourcentage 11" xfId="21"/>
    <cellStyle name="Pourcentage 12" xfId="22"/>
    <cellStyle name="Pourcentage 13" xfId="23"/>
    <cellStyle name="Pourcentage 14" xfId="24"/>
    <cellStyle name="Pourcentage 15" xfId="25"/>
    <cellStyle name="Pourcentage 3" xfId="26"/>
    <cellStyle name="Pourcentage 4" xfId="27"/>
    <cellStyle name="Pourcentage 5" xfId="28"/>
    <cellStyle name="Pourcentage 6" xfId="29"/>
    <cellStyle name="Pourcentage 7" xfId="30"/>
    <cellStyle name="Pourcentage 8" xfId="31"/>
    <cellStyle name="Pourcentage 9" xfId="32"/>
    <cellStyle name="Normal 2 3" xfId="33"/>
    <cellStyle name="Pourcentage 2 2" xfId="34"/>
    <cellStyle name="Normal 10" xfId="35"/>
    <cellStyle name="Monétaire 2" xfId="36"/>
    <cellStyle name="Milliers 6" xfId="37"/>
    <cellStyle name="Pourcentage 16" xfId="38"/>
    <cellStyle name="Normal 2 3 2" xfId="39"/>
    <cellStyle name="Pourcentage 2 2 2" xfId="40"/>
    <cellStyle name="Normal 11" xfId="41"/>
    <cellStyle name="Pourcentage 17" xfId="42"/>
    <cellStyle name="Titre" xfId="43" builtinId="15"/>
    <cellStyle name="Titre 1" xfId="44" builtinId="16"/>
    <cellStyle name="Titre 2" xfId="45" builtinId="17"/>
    <cellStyle name="Titre 3" xfId="46" builtinId="18"/>
    <cellStyle name="Titre 4" xfId="47" builtinId="19"/>
    <cellStyle name="Satisfaisant" xfId="48" builtinId="26"/>
    <cellStyle name="Insatisfaisant" xfId="49" builtinId="27"/>
    <cellStyle name="Neutre" xfId="50" builtinId="28"/>
    <cellStyle name="Entrée" xfId="51" builtinId="20"/>
    <cellStyle name="Sortie" xfId="52" builtinId="21"/>
    <cellStyle name="Calcul" xfId="53" builtinId="22"/>
    <cellStyle name="Cellule liée" xfId="54" builtinId="24"/>
    <cellStyle name="Vérification" xfId="55" builtinId="23"/>
    <cellStyle name="Avertissement" xfId="56" builtinId="11"/>
    <cellStyle name="Texte explicatif" xfId="57" builtinId="53"/>
    <cellStyle name="Total" xfId="58" builtinId="25"/>
    <cellStyle name="Accent1" xfId="59" builtinId="29"/>
    <cellStyle name="20 % - Accent1" xfId="60" builtinId="30"/>
    <cellStyle name="40 % - Accent1" xfId="61" builtinId="31"/>
    <cellStyle name="60 % - Accent1" xfId="62" builtinId="32"/>
    <cellStyle name="Accent2" xfId="63" builtinId="33"/>
    <cellStyle name="20 % - Accent2" xfId="64" builtinId="34"/>
    <cellStyle name="40 % - Accent2" xfId="65" builtinId="35"/>
    <cellStyle name="60 % - Accent2" xfId="66" builtinId="36"/>
    <cellStyle name="Accent3" xfId="67" builtinId="37"/>
    <cellStyle name="20 % - Accent3" xfId="68" builtinId="38"/>
    <cellStyle name="40 % - Accent3" xfId="69" builtinId="39"/>
    <cellStyle name="60 % - Accent3" xfId="70" builtinId="40"/>
    <cellStyle name="Accent4" xfId="71" builtinId="41"/>
    <cellStyle name="20 % - Accent4" xfId="72" builtinId="42"/>
    <cellStyle name="40 % - Accent4" xfId="73" builtinId="43"/>
    <cellStyle name="60 % - Accent4" xfId="74" builtinId="44"/>
    <cellStyle name="Accent5" xfId="75" builtinId="45"/>
    <cellStyle name="20 % - Accent5" xfId="76" builtinId="46"/>
    <cellStyle name="40 % - Accent5" xfId="77" builtinId="47"/>
    <cellStyle name="60 % - Accent5" xfId="78" builtinId="48"/>
    <cellStyle name="Accent6" xfId="79" builtinId="49"/>
    <cellStyle name="20 % - Accent6" xfId="80" builtinId="50"/>
    <cellStyle name="40 % - Accent6" xfId="81" builtinId="51"/>
    <cellStyle name="60 % - Accent6" xfId="82" builtinId="52"/>
    <cellStyle name="Normal 2 4" xfId="83"/>
    <cellStyle name="Pourcentage 2 3" xfId="84"/>
    <cellStyle name="Euro 2" xfId="85"/>
    <cellStyle name="Milliers 2 2" xfId="86"/>
    <cellStyle name="Milliers 3 2" xfId="87"/>
    <cellStyle name="Milliers 4 2" xfId="88"/>
    <cellStyle name="Milliers 5 2" xfId="89"/>
    <cellStyle name="Normal 5 2 2" xfId="90"/>
    <cellStyle name="Normal 6 2 2" xfId="91"/>
    <cellStyle name="Normal 8 2" xfId="92"/>
    <cellStyle name="Normal 9 2" xfId="93"/>
    <cellStyle name="Pourcentage 10 2" xfId="94"/>
    <cellStyle name="Pourcentage 11 2" xfId="95"/>
    <cellStyle name="Pourcentage 12 2" xfId="96"/>
    <cellStyle name="Pourcentage 14 2" xfId="97"/>
    <cellStyle name="Pourcentage 15 2" xfId="98"/>
    <cellStyle name="Pourcentage 4 2" xfId="99"/>
    <cellStyle name="Pourcentage 5 2" xfId="100"/>
    <cellStyle name="Pourcentage 6 2" xfId="101"/>
    <cellStyle name="Pourcentage 7 2" xfId="102"/>
    <cellStyle name="Pourcentage 8 2" xfId="103"/>
    <cellStyle name="Pourcentage 9 2" xfId="104"/>
    <cellStyle name="Normal 2 3 3" xfId="105"/>
    <cellStyle name="Pourcentage 2 2 3" xfId="106"/>
    <cellStyle name="Normal 10 2" xfId="107"/>
    <cellStyle name="Monétaire 2 2" xfId="108"/>
    <cellStyle name="Milliers 6 2" xfId="109"/>
    <cellStyle name="Pourcentage 16 2" xfId="110"/>
    <cellStyle name="Normal 2 3 2 2" xfId="111"/>
    <cellStyle name="Pourcentage 2 2 2 2" xfId="112"/>
    <cellStyle name="Normal 11 2" xfId="113"/>
    <cellStyle name="Pourcentage 17 2" xfId="114"/>
    <cellStyle name="Note 2" xfId="115"/>
    <cellStyle name="Normal 12" xfId="116"/>
    <cellStyle name="Note 3" xfId="117"/>
    <cellStyle name="20 % - Accent1 2" xfId="118"/>
    <cellStyle name="40 % - Accent1 2" xfId="119"/>
    <cellStyle name="60 % - Accent1 2" xfId="120"/>
    <cellStyle name="20 % - Accent2 2" xfId="121"/>
    <cellStyle name="40 % - Accent2 2" xfId="122"/>
    <cellStyle name="60 % - Accent2 2" xfId="123"/>
    <cellStyle name="20 % - Accent3 2" xfId="124"/>
    <cellStyle name="40 % - Accent3 2" xfId="125"/>
    <cellStyle name="60 % - Accent3 2" xfId="126"/>
    <cellStyle name="20 % - Accent4 2" xfId="127"/>
    <cellStyle name="40 % - Accent4 2" xfId="128"/>
    <cellStyle name="60 % - Accent4 2" xfId="129"/>
    <cellStyle name="20 % - Accent5 2" xfId="130"/>
    <cellStyle name="40 % - Accent5 2" xfId="131"/>
    <cellStyle name="60 % - Accent5 2" xfId="132"/>
    <cellStyle name="20 % - Accent6 2" xfId="133"/>
    <cellStyle name="40 % - Accent6 2" xfId="134"/>
    <cellStyle name="60 % - Accent6 2" xfId="135"/>
    <cellStyle name="Normal 2 5" xfId="136"/>
    <cellStyle name="Monétaire 2 3" xfId="137"/>
    <cellStyle name="Pourcentage 2 4" xfId="138"/>
  </cellStyles>
  <dxfs count="3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externalLink" Target="/xl/externalLinks/externalLink2.xml" Id="rId6"/><Relationship Type="http://schemas.openxmlformats.org/officeDocument/2006/relationships/externalLink" Target="/xl/externalLinks/externalLink3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omments/comment1.xml><?xml version="1.0" encoding="utf-8"?>
<comments xmlns="http://schemas.openxmlformats.org/spreadsheetml/2006/main">
  <authors>
    <author>a92723</author>
  </authors>
  <commentList>
    <comment ref="D23" authorId="0" shapeId="0">
      <text>
        <t xml:space="preserve">a92723:
Consider the duration out of down-payment (ié 36 months instead of 37 - 48 months instead of 49)
</t>
      </text>
    </comment>
  </commentList>
</comments>
</file>

<file path=xl/comments/comment2.xml><?xml version="1.0" encoding="utf-8"?>
<comments xmlns="http://schemas.openxmlformats.org/spreadsheetml/2006/main">
  <authors>
    <author>a92723</author>
  </authors>
  <commentList>
    <comment ref="D23" authorId="0" shapeId="0">
      <text>
        <t xml:space="preserve">a92723:
Consider the duration out of down-payment (ié 36 months instead of 37 - 48 months instead of 49)
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\\ngdata04\Planification%20France\suivi%20promo\agr&#233;&#233;\2011\Etude%20rentabilit&#233;%20Partenaires\BATEAU\TARIFEUR%20LOA%20BOATS.xls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Startup" Target="LF/PLAN/Budget%202002/EncLF%20budg2002.xls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M:\Fiche%20de%20rentabilit&#233;\Fiche%20renta%20DMA%20diff%2012012026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lculs"/>
      <sheetName val="Offre LOA"/>
      <sheetName val="Paramètres"/>
      <sheetName val="paramètres fiche rentabilité"/>
      <sheetName val="fiche rentabilité"/>
      <sheetName val="Module1"/>
    </sheetNames>
    <sheetDataSet>
      <sheetData sheetId="0" refreshError="1">
        <row r="9">
          <cell r="C9">
            <v>720000</v>
          </cell>
        </row>
        <row r="12">
          <cell r="C12">
            <v>180</v>
          </cell>
        </row>
        <row r="18">
          <cell r="C18">
            <v>4.5</v>
          </cell>
        </row>
      </sheetData>
      <sheetData sheetId="1" refreshError="1"/>
      <sheetData sheetId="2" refreshError="1">
        <row r="3">
          <cell r="C3">
            <v>19.600000000000001</v>
          </cell>
        </row>
        <row r="5">
          <cell r="C5">
            <v>9.8000000000000007</v>
          </cell>
        </row>
        <row r="9">
          <cell r="C9">
            <v>300002.40000000002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ix"/>
      <sheetName val="Graph3"/>
      <sheetName val="VAT"/>
      <sheetName val="Bail"/>
      <sheetName val="VDR"/>
      <sheetName val="CP"/>
    </sheetNames>
    <sheetDataSet>
      <sheetData sheetId="0"/>
      <sheetData sheetId="1" refreshError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in courante"/>
      <sheetName val="INPUTS"/>
      <sheetName val="inputs_métier"/>
      <sheetName val="inputs_finance"/>
      <sheetName val="renta_SYNTH"/>
      <sheetName val="renta_retail"/>
      <sheetName val="renta_CFV + WS"/>
      <sheetName val="renta_CFV"/>
      <sheetName val="renta_wholesale "/>
      <sheetName val="TCI"/>
      <sheetName val="Taux_Bancaires"/>
      <sheetName val="CoeffSurf_CTLM"/>
      <sheetName val="CoeffSurf_LF"/>
      <sheetName val="Autres"/>
      <sheetName val="ref_MAP"/>
      <sheetName val="param"/>
    </sheetNames>
    <sheetDataSet>
      <sheetData sheetId="0"/>
      <sheetData sheetId="1"/>
      <sheetData sheetId="2"/>
      <sheetData sheetId="3"/>
      <sheetData sheetId="4"/>
      <sheetData sheetId="5">
        <row r="16">
          <cell r="C16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U86"/>
  <sheetViews>
    <sheetView zoomScale="77" workbookViewId="0">
      <selection activeCell="I4" sqref="I4"/>
    </sheetView>
  </sheetViews>
  <sheetFormatPr baseColWidth="10" defaultColWidth="11.42578125" defaultRowHeight="12"/>
  <cols>
    <col width="17.42578125" customWidth="1" min="1" max="1"/>
    <col width="11.7109375" customWidth="1" min="2" max="2"/>
    <col width="11" customWidth="1" min="3" max="3"/>
    <col width="12.42578125" customWidth="1" min="4" max="4"/>
    <col hidden="1" outlineLevel="1" width="12.42578125" customWidth="1" min="5" max="6"/>
    <col hidden="1" outlineLevel="1" width="11.140625" customWidth="1" min="7" max="7"/>
    <col hidden="1" outlineLevel="1" width="12.42578125" customWidth="1" min="8" max="8"/>
    <col collapsed="1" width="13.5703125" bestFit="1" customWidth="1" min="9" max="9"/>
    <col width="12.42578125" customWidth="1" min="10" max="11"/>
    <col width="16.42578125" customWidth="1" min="12" max="12"/>
    <col hidden="1" width="12.42578125" customWidth="1" min="13" max="14"/>
    <col hidden="1" width="15.140625" customWidth="1" min="15" max="15"/>
    <col hidden="1" width="12.5703125" customWidth="1" min="16" max="16"/>
    <col hidden="1" width="14" customWidth="1" min="17" max="17"/>
    <col width="21.140625" customWidth="1" min="18" max="18"/>
    <col width="24.85546875" customWidth="1" min="19" max="19"/>
    <col width="21.140625" customWidth="1" min="20" max="20"/>
    <col width="21.85546875" customWidth="1" min="21" max="21"/>
  </cols>
  <sheetData>
    <row r="1" ht="15" customFormat="1" customHeight="1" s="113">
      <c r="B1" s="161" t="n"/>
      <c r="C1" s="162" t="n"/>
      <c r="D1" s="163" t="n"/>
      <c r="E1" s="163" t="n"/>
      <c r="F1" s="163" t="n"/>
      <c r="G1" s="163" t="n"/>
      <c r="H1" s="164" t="n"/>
      <c r="I1" s="165" t="n"/>
      <c r="J1" s="166" t="n"/>
      <c r="K1" s="166" t="n"/>
      <c r="L1" s="167" t="n"/>
      <c r="M1" s="168" t="n"/>
      <c r="N1" s="169" t="n"/>
      <c r="O1" s="170" t="n"/>
      <c r="P1" s="170" t="n"/>
      <c r="Q1" s="170" t="n"/>
      <c r="T1" s="176" t="inlineStr">
        <is>
          <t>Subvention PF souhaitée :</t>
        </is>
      </c>
    </row>
    <row r="2" ht="20.25" customFormat="1" customHeight="1" s="113">
      <c r="B2" s="171" t="n"/>
      <c r="C2" s="172" t="n"/>
      <c r="D2" s="171" t="n"/>
      <c r="E2" s="171" t="n"/>
      <c r="F2" s="171" t="n"/>
      <c r="G2" s="171" t="n"/>
      <c r="H2" s="173" t="n"/>
      <c r="I2" s="171" t="n"/>
      <c r="J2" s="171" t="n"/>
      <c r="K2" s="171" t="n"/>
      <c r="L2" s="171" t="n"/>
      <c r="M2" s="174" t="n"/>
      <c r="N2" s="174" t="n"/>
      <c r="O2" s="174" t="n"/>
      <c r="P2" s="175" t="n"/>
      <c r="Q2" s="175" t="n"/>
      <c r="T2" s="177" t="n">
        <v>335</v>
      </c>
    </row>
    <row r="3" ht="82.5" customFormat="1" customHeight="1" s="116">
      <c r="A3" s="114" t="inlineStr">
        <is>
          <t>dossier</t>
        </is>
      </c>
      <c r="B3" s="114" t="inlineStr">
        <is>
          <t>Modèle</t>
        </is>
      </c>
      <c r="C3" s="114" t="inlineStr">
        <is>
          <t>PRODUIT</t>
        </is>
      </c>
      <c r="D3" s="114" t="inlineStr">
        <is>
          <t>DEC FIN (HT)</t>
        </is>
      </c>
      <c r="E3" s="114" t="inlineStr">
        <is>
          <t>Bonus
écologique</t>
        </is>
      </c>
      <c r="F3" s="114" t="inlineStr">
        <is>
          <t>Apport client</t>
        </is>
      </c>
      <c r="G3" s="114" t="inlineStr">
        <is>
          <t>Conversion</t>
        </is>
      </c>
      <c r="H3" s="114" t="inlineStr">
        <is>
          <t>1er loyer / Apport (TTC)</t>
        </is>
      </c>
      <c r="I3" s="114" t="inlineStr">
        <is>
          <t xml:space="preserve">TAUX CLIENT
</t>
        </is>
      </c>
      <c r="J3" s="114" t="inlineStr">
        <is>
          <t>Durée</t>
        </is>
      </c>
      <c r="K3" s="114" t="inlineStr">
        <is>
          <t>ER (HT)</t>
        </is>
      </c>
      <c r="L3" s="115" t="inlineStr">
        <is>
          <t>BASE RATE</t>
        </is>
      </c>
      <c r="M3" s="115" t="inlineStr">
        <is>
          <t>LOYER avec APR STANDARD</t>
        </is>
      </c>
      <c r="N3" s="115" t="inlineStr">
        <is>
          <t>LOYER avec APR CLIENT</t>
        </is>
      </c>
      <c r="O3" s="115" t="inlineStr">
        <is>
          <t>ER TTC</t>
        </is>
      </c>
      <c r="P3" s="115" t="inlineStr">
        <is>
          <t>LOYER EXACT</t>
        </is>
      </c>
      <c r="Q3" s="115" t="inlineStr">
        <is>
          <t>Entretien</t>
        </is>
      </c>
      <c r="R3" s="159" t="inlineStr">
        <is>
          <t xml:space="preserve">Compensations*
(Offre client)
</t>
        </is>
      </c>
      <c r="S3" s="115" t="inlineStr">
        <is>
          <t>Commission dossier</t>
        </is>
      </c>
      <c r="T3" s="115" t="inlineStr">
        <is>
          <t>Subvention PF</t>
        </is>
      </c>
      <c r="U3" s="115" t="inlineStr">
        <is>
          <t>A Charge Mazda</t>
        </is>
      </c>
    </row>
    <row r="4">
      <c r="A4" t="n">
        <v>88018878785553</v>
      </c>
      <c r="B4" t="inlineStr">
        <is>
          <t>SWIF</t>
        </is>
      </c>
      <c r="C4" t="inlineStr">
        <is>
          <t>LOB</t>
        </is>
      </c>
      <c r="D4" s="244" t="n">
        <v>16033.23</v>
      </c>
      <c r="I4" s="158" t="n">
        <v>0.06950000000000001</v>
      </c>
      <c r="J4" t="n">
        <v>37</v>
      </c>
      <c r="K4" s="244" t="n">
        <v>10918.05</v>
      </c>
      <c r="L4" s="158" t="n">
        <v>0.0745</v>
      </c>
      <c r="R4" s="244" t="n">
        <v>338.2537</v>
      </c>
      <c r="S4" s="244">
        <f> 0.1 * D4</f>
        <v/>
      </c>
      <c r="T4" s="244" t="n">
        <v>335</v>
      </c>
      <c r="U4" s="244">
        <f> R4 + S4 + T4</f>
        <v/>
      </c>
    </row>
    <row r="5">
      <c r="A5" t="n">
        <v>88015798725152</v>
      </c>
      <c r="B5" t="inlineStr">
        <is>
          <t>SWIF</t>
        </is>
      </c>
      <c r="C5" t="inlineStr">
        <is>
          <t>LOB</t>
        </is>
      </c>
      <c r="D5" s="244" t="n">
        <v>14782.13</v>
      </c>
      <c r="I5" s="158" t="n">
        <v>0.06950000000000001</v>
      </c>
      <c r="J5" t="n">
        <v>37</v>
      </c>
      <c r="K5" s="244" t="n">
        <v>9035.459999999999</v>
      </c>
      <c r="L5" s="158" t="n">
        <v>0.0745</v>
      </c>
      <c r="R5" s="244" t="n">
        <v>306.3247</v>
      </c>
      <c r="S5" s="244">
        <f> 0.1 * D5</f>
        <v/>
      </c>
      <c r="T5" s="244" t="n">
        <v>335</v>
      </c>
      <c r="U5" s="244">
        <f> R5 + S5 + T5</f>
        <v/>
      </c>
    </row>
    <row r="6">
      <c r="A6" t="n">
        <v>88018577261052</v>
      </c>
      <c r="B6" t="inlineStr">
        <is>
          <t>S-CR</t>
        </is>
      </c>
      <c r="C6" t="inlineStr">
        <is>
          <t>LOB</t>
        </is>
      </c>
      <c r="D6" s="244" t="n">
        <v>21304.63</v>
      </c>
      <c r="I6" s="158" t="n">
        <v>0.0495</v>
      </c>
      <c r="J6" t="n">
        <v>48</v>
      </c>
      <c r="K6" s="244" t="n">
        <v>14368.04</v>
      </c>
      <c r="L6" s="158" t="n">
        <v>0.06710000000000001</v>
      </c>
      <c r="R6" s="244" t="n">
        <v>1238.3664</v>
      </c>
      <c r="S6" s="244">
        <f> 0.1 * D6</f>
        <v/>
      </c>
      <c r="T6" s="244" t="n">
        <v>335</v>
      </c>
      <c r="U6" s="244">
        <f> R6 + S6 + T6</f>
        <v/>
      </c>
    </row>
    <row r="7">
      <c r="A7" t="n">
        <v>88014900796155</v>
      </c>
      <c r="B7" t="inlineStr">
        <is>
          <t>SWIF</t>
        </is>
      </c>
      <c r="C7" t="inlineStr">
        <is>
          <t>LOB</t>
        </is>
      </c>
      <c r="D7" s="244" t="n">
        <v>12050.77</v>
      </c>
      <c r="I7" s="158" t="n">
        <v>0.06950000000000001</v>
      </c>
      <c r="J7" t="n">
        <v>49</v>
      </c>
      <c r="K7" s="244" t="n">
        <v>8795.34</v>
      </c>
      <c r="L7" s="158" t="n">
        <v>0.0745</v>
      </c>
      <c r="R7" s="244" t="n">
        <v>292.8819</v>
      </c>
      <c r="S7" s="244">
        <f> 0.1 * D7</f>
        <v/>
      </c>
      <c r="T7" s="244" t="n">
        <v>335</v>
      </c>
      <c r="U7" s="244">
        <f> R7 + S7 + T7</f>
        <v/>
      </c>
    </row>
    <row r="8">
      <c r="A8" t="n">
        <v>88016655041156</v>
      </c>
      <c r="B8" t="inlineStr">
        <is>
          <t>SWIF</t>
        </is>
      </c>
      <c r="C8" t="inlineStr">
        <is>
          <t>LOB</t>
        </is>
      </c>
      <c r="D8" s="244" t="n">
        <v>15236.58</v>
      </c>
      <c r="I8" s="158" t="n">
        <v>0.06950000000000001</v>
      </c>
      <c r="J8" t="n">
        <v>48</v>
      </c>
      <c r="K8" s="244" t="n">
        <v>9307.35</v>
      </c>
      <c r="L8" s="158" t="n">
        <v>0.0745</v>
      </c>
      <c r="R8" s="244" t="n">
        <v>355.2264</v>
      </c>
      <c r="S8" s="244">
        <f> 0.1 * D8</f>
        <v/>
      </c>
      <c r="T8" s="244" t="n">
        <v>335</v>
      </c>
      <c r="U8" s="244">
        <f> R8 + S8 + T8</f>
        <v/>
      </c>
    </row>
    <row r="9">
      <c r="A9" t="n">
        <v>88018969490251</v>
      </c>
      <c r="B9" t="inlineStr">
        <is>
          <t>SWIF</t>
        </is>
      </c>
      <c r="C9" t="inlineStr">
        <is>
          <t>LOB</t>
        </is>
      </c>
      <c r="D9" s="244" t="n">
        <v>14655.99</v>
      </c>
      <c r="I9" s="158" t="n">
        <v>0.06950000000000001</v>
      </c>
      <c r="J9" t="n">
        <v>49</v>
      </c>
      <c r="K9" s="244" t="n">
        <v>8535.1</v>
      </c>
      <c r="L9" s="158" t="n">
        <v>0.0745</v>
      </c>
      <c r="R9" s="244" t="n">
        <v>342.2963</v>
      </c>
      <c r="S9" s="244">
        <f> 0.1 * D9</f>
        <v/>
      </c>
      <c r="T9" s="244" t="n">
        <v>335</v>
      </c>
      <c r="U9" s="244">
        <f> R9 + S9 + T9</f>
        <v/>
      </c>
    </row>
    <row r="10">
      <c r="A10" t="n">
        <v>88018637798751</v>
      </c>
      <c r="B10" t="inlineStr">
        <is>
          <t>SWIF</t>
        </is>
      </c>
      <c r="C10" t="inlineStr">
        <is>
          <t>LOB</t>
        </is>
      </c>
      <c r="D10" s="244" t="n">
        <v>11988.53</v>
      </c>
      <c r="I10" s="158" t="n">
        <v>0.0595</v>
      </c>
      <c r="J10" t="n">
        <v>37</v>
      </c>
      <c r="K10" s="244" t="n">
        <v>8940.75</v>
      </c>
      <c r="L10" s="158" t="n">
        <v>0.06710000000000001</v>
      </c>
      <c r="R10" s="244" t="n">
        <v>328.1849</v>
      </c>
      <c r="S10" s="244">
        <f> 0.1 * D10</f>
        <v/>
      </c>
      <c r="T10" s="244" t="n">
        <v>335</v>
      </c>
      <c r="U10" s="244">
        <f> R10 + S10 + T10</f>
        <v/>
      </c>
    </row>
    <row r="11">
      <c r="A11" t="n">
        <v>88018823175453</v>
      </c>
      <c r="B11" t="inlineStr">
        <is>
          <t>SWIF</t>
        </is>
      </c>
      <c r="C11" t="inlineStr">
        <is>
          <t>LOB</t>
        </is>
      </c>
      <c r="D11" s="244" t="n">
        <v>8680.629999999999</v>
      </c>
      <c r="I11" s="158" t="n">
        <v>0.06950000000000001</v>
      </c>
      <c r="J11" t="n">
        <v>37</v>
      </c>
      <c r="K11" s="244" t="n">
        <v>9004.27</v>
      </c>
      <c r="L11" s="158" t="n">
        <v>0.0745</v>
      </c>
      <c r="R11" s="244" t="n">
        <v>199.745</v>
      </c>
      <c r="S11" s="244">
        <f> 0.1 * D11</f>
        <v/>
      </c>
      <c r="T11" s="244" t="n">
        <v>335</v>
      </c>
      <c r="U11" s="244">
        <f> R11 + S11 + T11</f>
        <v/>
      </c>
    </row>
    <row r="12">
      <c r="A12" t="n">
        <v>88019239674051</v>
      </c>
      <c r="B12" t="inlineStr">
        <is>
          <t>SWIF</t>
        </is>
      </c>
      <c r="C12" t="inlineStr">
        <is>
          <t>LOB</t>
        </is>
      </c>
      <c r="D12" s="244" t="n">
        <v>12352.42</v>
      </c>
      <c r="I12" s="158" t="n">
        <v>0.0595</v>
      </c>
      <c r="J12" t="n">
        <v>49</v>
      </c>
      <c r="K12" s="244" t="n">
        <v>7707.83</v>
      </c>
      <c r="L12" s="158" t="n">
        <v>0.0745</v>
      </c>
      <c r="R12" s="244" t="n">
        <v>627.624</v>
      </c>
      <c r="S12" s="244">
        <f> 0.1 * D12</f>
        <v/>
      </c>
      <c r="T12" s="244" t="n">
        <v>335</v>
      </c>
      <c r="U12" s="244">
        <f> R12 + S12 + T12</f>
        <v/>
      </c>
    </row>
    <row r="13">
      <c r="A13" t="n">
        <v>88019103854654</v>
      </c>
      <c r="B13" t="inlineStr">
        <is>
          <t>S-CR</t>
        </is>
      </c>
      <c r="C13" t="inlineStr">
        <is>
          <t>LOB</t>
        </is>
      </c>
      <c r="D13" s="244" t="n">
        <v>21004.23</v>
      </c>
      <c r="I13" s="158" t="n">
        <v>0.06950000000000001</v>
      </c>
      <c r="J13" t="n">
        <v>49</v>
      </c>
      <c r="K13" s="244" t="n">
        <v>13920.45</v>
      </c>
      <c r="L13" s="158" t="n">
        <v>0.0745</v>
      </c>
      <c r="R13" s="244" t="n">
        <v>501.4207</v>
      </c>
      <c r="S13" s="244">
        <f> 0.1 * D13</f>
        <v/>
      </c>
      <c r="T13" s="244" t="n">
        <v>335</v>
      </c>
      <c r="U13" s="244">
        <f> R13 + S13 + T13</f>
        <v/>
      </c>
    </row>
    <row r="14">
      <c r="A14" t="n">
        <v>88019184917555</v>
      </c>
      <c r="B14" t="inlineStr">
        <is>
          <t>SWIF</t>
        </is>
      </c>
      <c r="C14" t="inlineStr">
        <is>
          <t>LOB</t>
        </is>
      </c>
      <c r="D14" s="244" t="n">
        <v>14943.66</v>
      </c>
      <c r="I14" s="158" t="n">
        <v>0.0595</v>
      </c>
      <c r="J14" t="n">
        <v>37</v>
      </c>
      <c r="K14" s="244" t="n">
        <v>9225.969999999999</v>
      </c>
      <c r="L14" s="158" t="n">
        <v>0.0745</v>
      </c>
      <c r="R14" s="244" t="n">
        <v>631.0707</v>
      </c>
      <c r="S14" s="244">
        <f> 0.1 * D14</f>
        <v/>
      </c>
      <c r="T14" s="244" t="n">
        <v>335</v>
      </c>
      <c r="U14" s="244">
        <f> R14 + S14 + T14</f>
        <v/>
      </c>
    </row>
    <row r="15">
      <c r="A15" t="n">
        <v>88018812544251</v>
      </c>
      <c r="B15" t="inlineStr">
        <is>
          <t>SWIF</t>
        </is>
      </c>
      <c r="C15" t="inlineStr">
        <is>
          <t>LOB</t>
        </is>
      </c>
      <c r="D15" s="244" t="n">
        <v>8950</v>
      </c>
      <c r="I15" s="158" t="n">
        <v>0.06950000000000001</v>
      </c>
      <c r="J15" t="n">
        <v>49</v>
      </c>
      <c r="K15" s="244" t="n">
        <v>6845.26</v>
      </c>
      <c r="L15" s="158" t="n">
        <v>0.0745</v>
      </c>
      <c r="R15" s="244" t="n">
        <v>219.5341</v>
      </c>
      <c r="S15" s="244">
        <f> 0.1 * D15</f>
        <v/>
      </c>
      <c r="T15" s="244" t="n">
        <v>335</v>
      </c>
      <c r="U15" s="244">
        <f> R15 + S15 + T15</f>
        <v/>
      </c>
    </row>
    <row r="16">
      <c r="A16" t="n">
        <v>88018629204552</v>
      </c>
      <c r="B16" t="inlineStr">
        <is>
          <t>SWIF</t>
        </is>
      </c>
      <c r="C16" t="inlineStr">
        <is>
          <t>LOB</t>
        </is>
      </c>
      <c r="D16" s="244" t="n">
        <v>15250</v>
      </c>
      <c r="I16" s="158" t="n">
        <v>0.0595</v>
      </c>
      <c r="J16" t="n">
        <v>37</v>
      </c>
      <c r="K16" s="244" t="n">
        <v>10557.1</v>
      </c>
      <c r="L16" s="158" t="n">
        <v>0.0745</v>
      </c>
      <c r="R16" s="244" t="n">
        <v>662.5146999999999</v>
      </c>
      <c r="S16" s="244">
        <f> 0.1 * D16</f>
        <v/>
      </c>
      <c r="T16" s="244" t="n">
        <v>335</v>
      </c>
      <c r="U16" s="244">
        <f> R16 + S16 + T16</f>
        <v/>
      </c>
    </row>
    <row r="17">
      <c r="A17" t="n">
        <v>88015710319354</v>
      </c>
      <c r="B17" t="inlineStr">
        <is>
          <t>NEW</t>
        </is>
      </c>
      <c r="C17" t="inlineStr">
        <is>
          <t>LOB</t>
        </is>
      </c>
      <c r="D17" s="244" t="n">
        <v>24856.02</v>
      </c>
      <c r="I17" s="158" t="n">
        <v>0.06950000000000001</v>
      </c>
      <c r="J17" t="n">
        <v>48</v>
      </c>
      <c r="K17" s="244" t="n">
        <v>14332.48</v>
      </c>
      <c r="L17" s="158" t="n">
        <v>0.0745</v>
      </c>
      <c r="R17" s="244" t="n">
        <v>574.0874</v>
      </c>
      <c r="S17" s="244">
        <f> 0.1 * D17</f>
        <v/>
      </c>
      <c r="T17" s="244" t="n">
        <v>335</v>
      </c>
      <c r="U17" s="244">
        <f> R17 + S17 + T17</f>
        <v/>
      </c>
    </row>
    <row r="18">
      <c r="A18" t="n">
        <v>88019204657053</v>
      </c>
      <c r="B18" t="inlineStr">
        <is>
          <t>SWIF</t>
        </is>
      </c>
      <c r="C18" t="inlineStr">
        <is>
          <t>LOB</t>
        </is>
      </c>
      <c r="D18" s="244" t="n">
        <v>11424.96</v>
      </c>
      <c r="I18" s="158" t="n">
        <v>0.0595</v>
      </c>
      <c r="J18" t="n">
        <v>37</v>
      </c>
      <c r="K18" s="244" t="n">
        <v>10399.31</v>
      </c>
      <c r="L18" s="158" t="n">
        <v>0.0745</v>
      </c>
      <c r="R18" s="244" t="n">
        <v>536.6969</v>
      </c>
      <c r="S18" s="244">
        <f> 0.1 * D18</f>
        <v/>
      </c>
      <c r="T18" s="244" t="n">
        <v>335</v>
      </c>
      <c r="U18" s="244">
        <f> R18 + S18 + T18</f>
        <v/>
      </c>
    </row>
    <row r="19">
      <c r="A19" t="n">
        <v>88018533164852</v>
      </c>
      <c r="B19" t="inlineStr">
        <is>
          <t>VITA</t>
        </is>
      </c>
      <c r="C19" t="inlineStr">
        <is>
          <t>LOB</t>
        </is>
      </c>
      <c r="D19" s="244" t="n">
        <v>19517.05</v>
      </c>
      <c r="I19" s="158" t="n">
        <v>0.0495</v>
      </c>
      <c r="J19" t="n">
        <v>37</v>
      </c>
      <c r="K19" s="244" t="n">
        <v>12715.05</v>
      </c>
      <c r="L19" s="158" t="n">
        <v>0.06710000000000001</v>
      </c>
      <c r="R19" s="244" t="n">
        <v>944.5529</v>
      </c>
      <c r="S19" s="244">
        <f> 0.1 * D19</f>
        <v/>
      </c>
      <c r="T19" s="244" t="n">
        <v>335</v>
      </c>
      <c r="U19" s="244">
        <f> R19 + S19 + T19</f>
        <v/>
      </c>
    </row>
    <row r="20">
      <c r="A20" t="n">
        <v>88018819373055</v>
      </c>
      <c r="B20" t="inlineStr">
        <is>
          <t>SWIF</t>
        </is>
      </c>
      <c r="C20" t="inlineStr">
        <is>
          <t>LOB</t>
        </is>
      </c>
      <c r="D20" s="244" t="n">
        <v>15463.62</v>
      </c>
      <c r="I20" s="158" t="n">
        <v>0.0595</v>
      </c>
      <c r="J20" t="n">
        <v>37</v>
      </c>
      <c r="K20" s="244" t="n">
        <v>9878.370000000001</v>
      </c>
      <c r="L20" s="158" t="n">
        <v>0.0745</v>
      </c>
      <c r="R20" s="244" t="n">
        <v>658.399</v>
      </c>
      <c r="S20" s="244">
        <f> 0.1 * D20</f>
        <v/>
      </c>
      <c r="T20" s="244" t="n">
        <v>335</v>
      </c>
      <c r="U20" s="244">
        <f> R20 + S20 + T20</f>
        <v/>
      </c>
    </row>
    <row r="21">
      <c r="A21" t="n">
        <v>88019200224151</v>
      </c>
      <c r="B21" t="inlineStr">
        <is>
          <t>SWIF</t>
        </is>
      </c>
      <c r="C21" t="inlineStr">
        <is>
          <t>LOB</t>
        </is>
      </c>
      <c r="D21" s="244" t="n">
        <v>11674.01</v>
      </c>
      <c r="I21" s="158" t="n">
        <v>0.0595</v>
      </c>
      <c r="J21" t="n">
        <v>37</v>
      </c>
      <c r="K21" s="244" t="n">
        <v>9976.9</v>
      </c>
      <c r="L21" s="158" t="n">
        <v>0.0745</v>
      </c>
      <c r="R21" s="244" t="n">
        <v>537.8768</v>
      </c>
      <c r="S21" s="244">
        <f> 0.1 * D21</f>
        <v/>
      </c>
      <c r="T21" s="244" t="n">
        <v>335</v>
      </c>
      <c r="U21" s="244">
        <f> R21 + S21 + T21</f>
        <v/>
      </c>
    </row>
    <row r="22">
      <c r="A22" t="n">
        <v>88018597107251</v>
      </c>
      <c r="B22" t="inlineStr">
        <is>
          <t>VITA</t>
        </is>
      </c>
      <c r="C22" t="inlineStr">
        <is>
          <t>LOB</t>
        </is>
      </c>
      <c r="D22" s="244" t="n">
        <v>13340.63</v>
      </c>
      <c r="I22" s="158" t="n">
        <v>0.0495</v>
      </c>
      <c r="J22" t="n">
        <v>49</v>
      </c>
      <c r="K22" s="244" t="n">
        <v>11567.4</v>
      </c>
      <c r="L22" s="158" t="n">
        <v>0.06710000000000001</v>
      </c>
      <c r="R22" s="244" t="n">
        <v>845.6463</v>
      </c>
      <c r="S22" s="244">
        <f> 0.1 * D22</f>
        <v/>
      </c>
      <c r="T22" s="244" t="n">
        <v>335</v>
      </c>
      <c r="U22" s="244">
        <f> R22 + S22 + T22</f>
        <v/>
      </c>
    </row>
    <row r="23">
      <c r="A23" t="n">
        <v>88015627170953</v>
      </c>
      <c r="B23" t="inlineStr">
        <is>
          <t>IGNI</t>
        </is>
      </c>
      <c r="C23" t="inlineStr">
        <is>
          <t>LOB</t>
        </is>
      </c>
      <c r="D23" s="244" t="n">
        <v>12046.46</v>
      </c>
      <c r="I23" s="158" t="n">
        <v>0.0595</v>
      </c>
      <c r="J23" t="n">
        <v>49</v>
      </c>
      <c r="K23" s="244" t="n">
        <v>8249.889999999999</v>
      </c>
      <c r="L23" s="158" t="n">
        <v>0.0745</v>
      </c>
      <c r="R23" s="244" t="n">
        <v>626.3368</v>
      </c>
      <c r="S23" s="244">
        <f> 0.1 * D23</f>
        <v/>
      </c>
      <c r="T23" s="244" t="n">
        <v>335</v>
      </c>
      <c r="U23" s="244">
        <f> R23 + S23 + T23</f>
        <v/>
      </c>
    </row>
    <row r="24">
      <c r="A24" t="n">
        <v>88016103828954</v>
      </c>
      <c r="B24" t="inlineStr">
        <is>
          <t>VITA</t>
        </is>
      </c>
      <c r="C24" t="inlineStr">
        <is>
          <t>LOB</t>
        </is>
      </c>
      <c r="D24" s="244" t="n">
        <v>19025.26</v>
      </c>
      <c r="I24" s="158" t="n">
        <v>0.06950000000000001</v>
      </c>
      <c r="J24" t="n">
        <v>37</v>
      </c>
      <c r="K24" s="244" t="n">
        <v>9088.780000000001</v>
      </c>
      <c r="L24" s="158" t="n">
        <v>0.0745</v>
      </c>
      <c r="R24" s="244" t="n">
        <v>380.6127</v>
      </c>
      <c r="S24" s="244">
        <f> 0.1 * D24</f>
        <v/>
      </c>
      <c r="T24" s="244" t="n">
        <v>335</v>
      </c>
      <c r="U24" s="244">
        <f> R24 + S24 + T24</f>
        <v/>
      </c>
    </row>
    <row r="25">
      <c r="A25" t="n">
        <v>88019208352752</v>
      </c>
      <c r="B25" t="inlineStr">
        <is>
          <t>SWIF</t>
        </is>
      </c>
      <c r="C25" t="inlineStr">
        <is>
          <t>LOB</t>
        </is>
      </c>
      <c r="D25" s="244" t="n">
        <v>16042.58</v>
      </c>
      <c r="I25" s="158" t="n">
        <v>0.0595</v>
      </c>
      <c r="J25" t="n">
        <v>49</v>
      </c>
      <c r="K25" s="244" t="n">
        <v>11272.77</v>
      </c>
      <c r="L25" s="158" t="n">
        <v>0.0745</v>
      </c>
      <c r="R25" s="244" t="n">
        <v>839.6758</v>
      </c>
      <c r="S25" s="244">
        <f> 0.1 * D25</f>
        <v/>
      </c>
      <c r="T25" s="244" t="n">
        <v>335</v>
      </c>
      <c r="U25" s="244">
        <f> R25 + S25 + T25</f>
        <v/>
      </c>
    </row>
    <row r="26">
      <c r="A26" t="n">
        <v>88015298767752</v>
      </c>
      <c r="B26" t="inlineStr">
        <is>
          <t>SWIF</t>
        </is>
      </c>
      <c r="C26" t="inlineStr">
        <is>
          <t>LOB</t>
        </is>
      </c>
      <c r="D26" s="244" t="n">
        <v>9991.67</v>
      </c>
      <c r="I26" s="158" t="n">
        <v>0.06950000000000001</v>
      </c>
      <c r="J26" t="n">
        <v>37</v>
      </c>
      <c r="K26" s="244" t="n">
        <v>7833.29</v>
      </c>
      <c r="L26" s="158" t="n">
        <v>0.0745</v>
      </c>
      <c r="R26" s="244" t="n">
        <v>216.322</v>
      </c>
      <c r="S26" s="244">
        <f> 0.1 * D26</f>
        <v/>
      </c>
      <c r="T26" s="244" t="n">
        <v>335</v>
      </c>
      <c r="U26" s="244">
        <f> R26 + S26 + T26</f>
        <v/>
      </c>
    </row>
    <row r="27">
      <c r="A27" t="n">
        <v>98074818791756</v>
      </c>
      <c r="B27" t="inlineStr">
        <is>
          <t>SWIF</t>
        </is>
      </c>
      <c r="C27" t="inlineStr">
        <is>
          <t>LOB</t>
        </is>
      </c>
      <c r="D27" s="244" t="n">
        <v>14453.37</v>
      </c>
      <c r="I27" s="158" t="n">
        <v>0.0595</v>
      </c>
      <c r="J27" t="n">
        <v>36</v>
      </c>
      <c r="K27" s="244" t="n">
        <v>10416</v>
      </c>
      <c r="L27" s="158" t="n">
        <v>0.0745</v>
      </c>
      <c r="R27" s="244" t="n">
        <v>623.3611</v>
      </c>
      <c r="S27" s="244">
        <f> 0.1 * D27</f>
        <v/>
      </c>
      <c r="T27" s="244" t="n">
        <v>335</v>
      </c>
      <c r="U27" s="244">
        <f> R27 + S27 + T27</f>
        <v/>
      </c>
    </row>
    <row r="28">
      <c r="A28" t="n">
        <v>88018809673052</v>
      </c>
      <c r="B28" t="inlineStr">
        <is>
          <t>SWIF</t>
        </is>
      </c>
      <c r="C28" t="inlineStr">
        <is>
          <t>LOB</t>
        </is>
      </c>
      <c r="D28" s="244" t="n">
        <v>16171.32</v>
      </c>
      <c r="I28" s="158" t="n">
        <v>0.06950000000000001</v>
      </c>
      <c r="J28" t="n">
        <v>37</v>
      </c>
      <c r="K28" s="244" t="n">
        <v>9600.469999999999</v>
      </c>
      <c r="L28" s="158" t="n">
        <v>0.0745</v>
      </c>
      <c r="R28" s="244" t="n">
        <v>333.5867</v>
      </c>
      <c r="S28" s="244">
        <f> 0.1 * D28</f>
        <v/>
      </c>
      <c r="T28" s="244" t="n">
        <v>335</v>
      </c>
      <c r="U28" s="244">
        <f> R28 + S28 + T28</f>
        <v/>
      </c>
    </row>
    <row r="29">
      <c r="A29" t="n">
        <v>88019204288452</v>
      </c>
      <c r="B29" t="inlineStr">
        <is>
          <t>SWIF</t>
        </is>
      </c>
      <c r="C29" t="inlineStr">
        <is>
          <t>LOB</t>
        </is>
      </c>
      <c r="D29" s="244" t="n">
        <v>12012.5</v>
      </c>
      <c r="I29" s="158" t="n">
        <v>0.0595</v>
      </c>
      <c r="J29" t="n">
        <v>49</v>
      </c>
      <c r="K29" s="244" t="n">
        <v>7270.42</v>
      </c>
      <c r="L29" s="158" t="n">
        <v>0.0745</v>
      </c>
      <c r="R29" s="244" t="n">
        <v>605.9699000000001</v>
      </c>
      <c r="S29" s="244">
        <f> 0.1 * D29</f>
        <v/>
      </c>
      <c r="T29" s="244" t="n">
        <v>335</v>
      </c>
      <c r="U29" s="244">
        <f> R29 + S29 + T29</f>
        <v/>
      </c>
    </row>
    <row r="30">
      <c r="A30" t="n">
        <v>88018826667452</v>
      </c>
      <c r="B30" t="inlineStr">
        <is>
          <t>SWIF</t>
        </is>
      </c>
      <c r="C30" t="inlineStr">
        <is>
          <t>LOB</t>
        </is>
      </c>
      <c r="D30" s="244" t="n">
        <v>12905.63</v>
      </c>
      <c r="I30" s="158" t="n">
        <v>0.06950000000000001</v>
      </c>
      <c r="J30" t="n">
        <v>49</v>
      </c>
      <c r="K30" s="244" t="n">
        <v>7720.92</v>
      </c>
      <c r="L30" s="158" t="n">
        <v>0.0745</v>
      </c>
      <c r="R30" s="244" t="n">
        <v>302.7355</v>
      </c>
      <c r="S30" s="244">
        <f> 0.1 * D30</f>
        <v/>
      </c>
      <c r="T30" s="244" t="n">
        <v>335</v>
      </c>
      <c r="U30" s="244">
        <f> R30 + S30 + T30</f>
        <v/>
      </c>
    </row>
    <row r="31">
      <c r="A31" t="n">
        <v>88019204492151</v>
      </c>
      <c r="B31" t="inlineStr">
        <is>
          <t>S-CR</t>
        </is>
      </c>
      <c r="C31" t="inlineStr">
        <is>
          <t>LOB</t>
        </is>
      </c>
      <c r="D31" s="244" t="n">
        <v>22400.46</v>
      </c>
      <c r="I31" s="158" t="n">
        <v>0.06950000000000001</v>
      </c>
      <c r="J31" t="n">
        <v>37</v>
      </c>
      <c r="K31" s="244" t="n">
        <v>15172.49</v>
      </c>
      <c r="L31" s="158" t="n">
        <v>0.0745</v>
      </c>
      <c r="R31" s="244" t="n">
        <v>472.1462</v>
      </c>
      <c r="S31" s="244">
        <f> 0.1 * D31</f>
        <v/>
      </c>
      <c r="T31" s="244" t="n">
        <v>335</v>
      </c>
      <c r="U31" s="244">
        <f> R31 + S31 + T31</f>
        <v/>
      </c>
    </row>
    <row r="32">
      <c r="A32" t="n">
        <v>88018841227151</v>
      </c>
      <c r="B32" t="inlineStr">
        <is>
          <t>NEW</t>
        </is>
      </c>
      <c r="C32" t="inlineStr">
        <is>
          <t>LOB</t>
        </is>
      </c>
      <c r="D32" s="244" t="n">
        <v>19275</v>
      </c>
      <c r="I32" s="158" t="n">
        <v>0.0595</v>
      </c>
      <c r="J32" t="n">
        <v>49</v>
      </c>
      <c r="K32" s="244" t="n">
        <v>13970.12</v>
      </c>
      <c r="L32" s="158" t="n">
        <v>0.0745</v>
      </c>
      <c r="R32" s="244" t="n">
        <v>1017.1491</v>
      </c>
      <c r="S32" s="244">
        <f> 0.1 * D32</f>
        <v/>
      </c>
      <c r="T32" s="244" t="n">
        <v>335</v>
      </c>
      <c r="U32" s="244">
        <f> R32 + S32 + T32</f>
        <v/>
      </c>
    </row>
    <row r="33">
      <c r="A33" t="n">
        <v>88015032851953</v>
      </c>
      <c r="B33" t="inlineStr">
        <is>
          <t>S-CR</t>
        </is>
      </c>
      <c r="C33" t="inlineStr">
        <is>
          <t>LOB</t>
        </is>
      </c>
      <c r="D33" s="244" t="n">
        <v>24733.79</v>
      </c>
      <c r="I33" s="158" t="n">
        <v>0.0495</v>
      </c>
      <c r="J33" t="n">
        <v>37</v>
      </c>
      <c r="K33" s="244" t="n">
        <v>14220.12</v>
      </c>
      <c r="L33" s="158" t="n">
        <v>0.06710000000000001</v>
      </c>
      <c r="R33" s="244" t="n">
        <v>1160.6448</v>
      </c>
      <c r="S33" s="244">
        <f> 0.1 * D33</f>
        <v/>
      </c>
      <c r="T33" s="244" t="n">
        <v>335</v>
      </c>
      <c r="U33" s="244">
        <f> R33 + S33 + T33</f>
        <v/>
      </c>
    </row>
    <row r="34">
      <c r="A34" t="n">
        <v>88014738408452</v>
      </c>
      <c r="B34" t="inlineStr">
        <is>
          <t>SWIF</t>
        </is>
      </c>
      <c r="C34" t="inlineStr">
        <is>
          <t>LOB</t>
        </is>
      </c>
      <c r="D34" s="244" t="n">
        <v>12631.11</v>
      </c>
      <c r="I34" s="158" t="n">
        <v>0.0595</v>
      </c>
      <c r="J34" t="n">
        <v>49</v>
      </c>
      <c r="K34" s="244" t="n">
        <v>6877.6</v>
      </c>
      <c r="L34" s="158" t="n">
        <v>0.06710000000000001</v>
      </c>
      <c r="R34" s="244" t="n">
        <v>377.2451</v>
      </c>
      <c r="S34" s="244">
        <f> 0.1 * D34</f>
        <v/>
      </c>
      <c r="T34" s="244" t="n">
        <v>335</v>
      </c>
      <c r="U34" s="244">
        <f> R34 + S34 + T34</f>
        <v/>
      </c>
    </row>
    <row r="35">
      <c r="A35" t="n">
        <v>88018498293352</v>
      </c>
      <c r="B35" t="inlineStr">
        <is>
          <t>IGNI</t>
        </is>
      </c>
      <c r="C35" t="inlineStr">
        <is>
          <t>LOB</t>
        </is>
      </c>
      <c r="D35" s="244" t="n">
        <v>14821.95</v>
      </c>
      <c r="I35" s="158" t="n">
        <v>0.0395</v>
      </c>
      <c r="J35" t="n">
        <v>37</v>
      </c>
      <c r="K35" s="244" t="n">
        <v>8693.030000000001</v>
      </c>
      <c r="L35" s="158" t="n">
        <v>0.06710000000000001</v>
      </c>
      <c r="R35" s="244" t="n">
        <v>1010.5725</v>
      </c>
      <c r="S35" s="244">
        <f> 0.1 * D35</f>
        <v/>
      </c>
      <c r="T35" s="244" t="n">
        <v>335</v>
      </c>
      <c r="U35" s="244">
        <f> R35 + S35 + T35</f>
        <v/>
      </c>
    </row>
    <row r="36">
      <c r="A36" t="n">
        <v>88018585709755</v>
      </c>
      <c r="B36" t="inlineStr">
        <is>
          <t>SWIF</t>
        </is>
      </c>
      <c r="C36" t="inlineStr">
        <is>
          <t>LOB</t>
        </is>
      </c>
      <c r="D36" s="244" t="n">
        <v>15622.71</v>
      </c>
      <c r="I36" s="158" t="n">
        <v>0.0595</v>
      </c>
      <c r="J36" t="n">
        <v>49</v>
      </c>
      <c r="K36" s="244" t="n">
        <v>7345.02</v>
      </c>
      <c r="L36" s="158" t="n">
        <v>0.0745</v>
      </c>
      <c r="R36" s="244" t="n">
        <v>747.0325</v>
      </c>
      <c r="S36" s="244">
        <f> 0.1 * D36</f>
        <v/>
      </c>
      <c r="T36" s="244" t="n">
        <v>335</v>
      </c>
      <c r="U36" s="244">
        <f> R36 + S36 + T36</f>
        <v/>
      </c>
    </row>
    <row r="37">
      <c r="A37" t="n">
        <v>88018882461853</v>
      </c>
      <c r="B37" t="inlineStr">
        <is>
          <t>VITA</t>
        </is>
      </c>
      <c r="C37" t="inlineStr">
        <is>
          <t>LOB</t>
        </is>
      </c>
      <c r="D37" s="244" t="n">
        <v>15735.29</v>
      </c>
      <c r="I37" s="158" t="n">
        <v>0.0595</v>
      </c>
      <c r="J37" t="n">
        <v>49</v>
      </c>
      <c r="K37" s="244" t="n">
        <v>12484.5</v>
      </c>
      <c r="L37" s="158" t="n">
        <v>0.0745</v>
      </c>
      <c r="R37" s="244" t="n">
        <v>851.3643</v>
      </c>
      <c r="S37" s="244">
        <f> 0.1 * D37</f>
        <v/>
      </c>
      <c r="T37" s="244" t="n">
        <v>335</v>
      </c>
      <c r="U37" s="244">
        <f> R37 + S37 + T37</f>
        <v/>
      </c>
    </row>
    <row r="38">
      <c r="A38" t="n">
        <v>88018858541652</v>
      </c>
      <c r="B38" t="inlineStr">
        <is>
          <t>SWIF</t>
        </is>
      </c>
      <c r="C38" t="inlineStr">
        <is>
          <t>LOB</t>
        </is>
      </c>
      <c r="D38" s="244" t="n">
        <v>11168.51</v>
      </c>
      <c r="I38" s="158" t="n">
        <v>0.06950000000000001</v>
      </c>
      <c r="J38" t="n">
        <v>37</v>
      </c>
      <c r="K38" s="244" t="n">
        <v>7182.56</v>
      </c>
      <c r="L38" s="158" t="n">
        <v>0.0745</v>
      </c>
      <c r="R38" s="244" t="n">
        <v>233.3521</v>
      </c>
      <c r="S38" s="244">
        <f> 0.1 * D38</f>
        <v/>
      </c>
      <c r="T38" s="244" t="n">
        <v>335</v>
      </c>
      <c r="U38" s="244">
        <f> R38 + S38 + T38</f>
        <v/>
      </c>
    </row>
    <row r="39">
      <c r="A39" t="n">
        <v>88019024324351</v>
      </c>
      <c r="B39" t="inlineStr">
        <is>
          <t>VITA</t>
        </is>
      </c>
      <c r="C39" t="inlineStr">
        <is>
          <t>LOB</t>
        </is>
      </c>
      <c r="D39" s="244" t="n">
        <v>19853.14</v>
      </c>
      <c r="I39" s="158" t="n">
        <v>0.0595</v>
      </c>
      <c r="J39" t="n">
        <v>49</v>
      </c>
      <c r="K39" s="244" t="n">
        <v>9582.620000000001</v>
      </c>
      <c r="L39" s="158" t="n">
        <v>0.0745</v>
      </c>
      <c r="R39" s="244" t="n">
        <v>954.1566</v>
      </c>
      <c r="S39" s="244">
        <f> 0.1 * D39</f>
        <v/>
      </c>
      <c r="T39" s="244" t="n">
        <v>335</v>
      </c>
      <c r="U39" s="244">
        <f> R39 + S39 + T39</f>
        <v/>
      </c>
    </row>
    <row r="40">
      <c r="A40" t="n">
        <v>88015436168253</v>
      </c>
      <c r="B40" t="inlineStr">
        <is>
          <t>SWIF</t>
        </is>
      </c>
      <c r="C40" t="inlineStr">
        <is>
          <t>LOB</t>
        </is>
      </c>
      <c r="D40" s="244" t="n">
        <v>14190.46</v>
      </c>
      <c r="I40" s="158" t="n">
        <v>0.0595</v>
      </c>
      <c r="J40" t="n">
        <v>37</v>
      </c>
      <c r="K40" s="244" t="n">
        <v>9129.120000000001</v>
      </c>
      <c r="L40" s="158" t="n">
        <v>0.06710000000000001</v>
      </c>
      <c r="R40" s="244" t="n">
        <v>376.473</v>
      </c>
      <c r="S40" s="244">
        <f> 0.1 * D40</f>
        <v/>
      </c>
      <c r="T40" s="244" t="n">
        <v>335</v>
      </c>
      <c r="U40" s="244">
        <f> R40 + S40 + T40</f>
        <v/>
      </c>
    </row>
    <row r="41">
      <c r="A41" t="n">
        <v>88019216461953</v>
      </c>
      <c r="B41" t="inlineStr">
        <is>
          <t>SWIF</t>
        </is>
      </c>
      <c r="C41" t="inlineStr">
        <is>
          <t>LOB</t>
        </is>
      </c>
      <c r="D41" s="244" t="n">
        <v>13455.63</v>
      </c>
      <c r="I41" s="158" t="n">
        <v>0.0595</v>
      </c>
      <c r="J41" t="n">
        <v>37</v>
      </c>
      <c r="K41" s="244" t="n">
        <v>9875.42</v>
      </c>
      <c r="L41" s="158" t="n">
        <v>0.0745</v>
      </c>
      <c r="R41" s="244" t="n">
        <v>593.6444</v>
      </c>
      <c r="S41" s="244">
        <f> 0.1 * D41</f>
        <v/>
      </c>
      <c r="T41" s="244" t="n">
        <v>335</v>
      </c>
      <c r="U41" s="244">
        <f> R41 + S41 + T41</f>
        <v/>
      </c>
    </row>
    <row r="42">
      <c r="A42" t="n">
        <v>88016095913755</v>
      </c>
      <c r="B42" t="inlineStr">
        <is>
          <t>VITA</t>
        </is>
      </c>
      <c r="C42" t="inlineStr">
        <is>
          <t>LOB</t>
        </is>
      </c>
      <c r="D42" s="244" t="n">
        <v>24468.79</v>
      </c>
      <c r="I42" s="158" t="n">
        <v>0.0595</v>
      </c>
      <c r="J42" t="n">
        <v>37</v>
      </c>
      <c r="K42" s="244" t="n">
        <v>15319.89</v>
      </c>
      <c r="L42" s="158" t="n">
        <v>0.0745</v>
      </c>
      <c r="R42" s="244" t="n">
        <v>1036.773</v>
      </c>
      <c r="S42" s="244">
        <f> 0.1 * D42</f>
        <v/>
      </c>
      <c r="T42" s="244" t="n">
        <v>335</v>
      </c>
      <c r="U42" s="244">
        <f> R42 + S42 + T42</f>
        <v/>
      </c>
    </row>
    <row r="43">
      <c r="A43" t="n">
        <v>88015421472754</v>
      </c>
      <c r="B43" t="inlineStr">
        <is>
          <t>S-CR</t>
        </is>
      </c>
      <c r="C43" t="inlineStr">
        <is>
          <t>LOB</t>
        </is>
      </c>
      <c r="D43" s="244" t="n">
        <v>26145.46</v>
      </c>
      <c r="I43" s="158" t="n">
        <v>0.06950000000000001</v>
      </c>
      <c r="J43" t="n">
        <v>37</v>
      </c>
      <c r="K43" s="244" t="n">
        <v>15383.55</v>
      </c>
      <c r="L43" s="158" t="n">
        <v>0.0745</v>
      </c>
      <c r="R43" s="244" t="n">
        <v>538.5936</v>
      </c>
      <c r="S43" s="244">
        <f> 0.1 * D43</f>
        <v/>
      </c>
      <c r="T43" s="244" t="n">
        <v>335</v>
      </c>
      <c r="U43" s="244">
        <f> R43 + S43 + T43</f>
        <v/>
      </c>
    </row>
    <row r="44">
      <c r="A44" t="n">
        <v>88018272331854</v>
      </c>
      <c r="B44" t="inlineStr">
        <is>
          <t>S-CR</t>
        </is>
      </c>
      <c r="C44" t="inlineStr">
        <is>
          <t>LOB</t>
        </is>
      </c>
      <c r="D44" s="244" t="n">
        <v>17500</v>
      </c>
      <c r="I44" s="158" t="n">
        <v>0.06950000000000001</v>
      </c>
      <c r="J44" t="n">
        <v>49</v>
      </c>
      <c r="K44" s="244" t="n">
        <v>14582.7</v>
      </c>
      <c r="L44" s="158" t="n">
        <v>0.0745</v>
      </c>
      <c r="R44" s="244" t="n">
        <v>436.9622</v>
      </c>
      <c r="S44" s="244">
        <f> 0.1 * D44</f>
        <v/>
      </c>
      <c r="T44" s="244" t="n">
        <v>335</v>
      </c>
      <c r="U44" s="244">
        <f> R44 + S44 + T44</f>
        <v/>
      </c>
    </row>
    <row r="45">
      <c r="A45" t="n">
        <v>88016981853555</v>
      </c>
      <c r="B45" t="inlineStr">
        <is>
          <t>S-CR</t>
        </is>
      </c>
      <c r="C45" t="inlineStr">
        <is>
          <t>LOB</t>
        </is>
      </c>
      <c r="D45" s="244" t="n">
        <v>25030.63</v>
      </c>
      <c r="I45" s="158" t="n">
        <v>0.0595</v>
      </c>
      <c r="J45" t="n">
        <v>49</v>
      </c>
      <c r="K45" s="244" t="n">
        <v>11248</v>
      </c>
      <c r="L45" s="158" t="n">
        <v>0.0745</v>
      </c>
      <c r="R45" s="244" t="n">
        <v>1186.7733</v>
      </c>
      <c r="S45" s="244">
        <f> 0.1 * D45</f>
        <v/>
      </c>
      <c r="T45" s="244" t="n">
        <v>335</v>
      </c>
      <c r="U45" s="244">
        <f> R45 + S45 + T45</f>
        <v/>
      </c>
    </row>
    <row r="46">
      <c r="A46" t="n">
        <v>88018936810951</v>
      </c>
      <c r="B46" t="inlineStr">
        <is>
          <t>VITA</t>
        </is>
      </c>
      <c r="C46" t="inlineStr">
        <is>
          <t>LOB</t>
        </is>
      </c>
      <c r="D46" s="244" t="n">
        <v>24815.49</v>
      </c>
      <c r="I46" s="158" t="n">
        <v>0.0595</v>
      </c>
      <c r="J46" t="n">
        <v>37</v>
      </c>
      <c r="K46" s="244" t="n">
        <v>13253.14</v>
      </c>
      <c r="L46" s="158" t="n">
        <v>0.0745</v>
      </c>
      <c r="R46" s="244" t="n">
        <v>1014.4516</v>
      </c>
      <c r="S46" s="244">
        <f> 0.1 * D46</f>
        <v/>
      </c>
      <c r="T46" s="244" t="n">
        <v>335</v>
      </c>
      <c r="U46" s="244">
        <f> R46 + S46 + T46</f>
        <v/>
      </c>
    </row>
    <row r="47">
      <c r="A47" t="n">
        <v>88018878727351</v>
      </c>
      <c r="B47" t="inlineStr">
        <is>
          <t>VITA</t>
        </is>
      </c>
      <c r="C47" t="inlineStr">
        <is>
          <t>LOB</t>
        </is>
      </c>
      <c r="D47" s="244" t="n">
        <v>21730.46</v>
      </c>
      <c r="I47" s="158" t="n">
        <v>0.0595</v>
      </c>
      <c r="J47" t="n">
        <v>25</v>
      </c>
      <c r="K47" s="244" t="n">
        <v>15602</v>
      </c>
      <c r="L47" s="158" t="n">
        <v>0.0745</v>
      </c>
      <c r="R47" s="244" t="n">
        <v>741.2817</v>
      </c>
      <c r="S47" s="244">
        <f> 0.1 * D47</f>
        <v/>
      </c>
      <c r="T47" s="244" t="n">
        <v>335</v>
      </c>
      <c r="U47" s="244">
        <f> R47 + S47 + T47</f>
        <v/>
      </c>
    </row>
    <row r="48">
      <c r="A48" t="n">
        <v>98074592180353</v>
      </c>
      <c r="B48" t="inlineStr">
        <is>
          <t>SWIF</t>
        </is>
      </c>
      <c r="C48" t="inlineStr">
        <is>
          <t>LOB</t>
        </is>
      </c>
      <c r="D48" s="244" t="n">
        <v>17703.22</v>
      </c>
      <c r="I48" s="158" t="n">
        <v>0.06950000000000001</v>
      </c>
      <c r="J48" t="n">
        <v>37</v>
      </c>
      <c r="K48" s="244" t="n">
        <v>11887.35</v>
      </c>
      <c r="L48" s="158" t="n">
        <v>0.0745</v>
      </c>
      <c r="R48" s="244" t="n">
        <v>372.5839</v>
      </c>
      <c r="S48" s="244">
        <f> 0.1 * D48</f>
        <v/>
      </c>
      <c r="T48" s="244" t="n">
        <v>335</v>
      </c>
      <c r="U48" s="244">
        <f> R48 + S48 + T48</f>
        <v/>
      </c>
    </row>
    <row r="49">
      <c r="A49" t="n">
        <v>88015632273152</v>
      </c>
      <c r="B49" t="inlineStr">
        <is>
          <t>VITA</t>
        </is>
      </c>
      <c r="C49" t="inlineStr">
        <is>
          <t>LOB</t>
        </is>
      </c>
      <c r="D49" s="244" t="n">
        <v>17647.13</v>
      </c>
      <c r="I49" s="158" t="n">
        <v>0.0495</v>
      </c>
      <c r="J49" t="n">
        <v>37</v>
      </c>
      <c r="K49" s="244" t="n">
        <v>12743.27</v>
      </c>
      <c r="L49" s="158" t="n">
        <v>0.06710000000000001</v>
      </c>
      <c r="R49" s="244" t="n">
        <v>878.0024</v>
      </c>
      <c r="S49" s="244">
        <f> 0.1 * D49</f>
        <v/>
      </c>
      <c r="T49" s="244" t="n">
        <v>335</v>
      </c>
      <c r="U49" s="244">
        <f> R49 + S49 + T49</f>
        <v/>
      </c>
    </row>
    <row r="50">
      <c r="A50" t="n">
        <v>88016068986553</v>
      </c>
      <c r="B50" t="inlineStr">
        <is>
          <t>VITA</t>
        </is>
      </c>
      <c r="C50" t="inlineStr">
        <is>
          <t>LOB</t>
        </is>
      </c>
      <c r="D50" s="244" t="n">
        <v>19749.78</v>
      </c>
      <c r="I50" s="158" t="n">
        <v>0.0595</v>
      </c>
      <c r="J50" t="n">
        <v>37</v>
      </c>
      <c r="K50" s="244" t="n">
        <v>11123.73</v>
      </c>
      <c r="L50" s="158" t="n">
        <v>0.0745</v>
      </c>
      <c r="R50" s="244" t="n">
        <v>816.7015</v>
      </c>
      <c r="S50" s="244">
        <f> 0.1 * D50</f>
        <v/>
      </c>
      <c r="T50" s="244" t="n">
        <v>335</v>
      </c>
      <c r="U50" s="244">
        <f> R50 + S50 + T50</f>
        <v/>
      </c>
    </row>
    <row r="51">
      <c r="A51" t="n">
        <v>88018666035452</v>
      </c>
      <c r="B51" t="inlineStr">
        <is>
          <t>SWIF</t>
        </is>
      </c>
      <c r="C51" t="inlineStr">
        <is>
          <t>LOB</t>
        </is>
      </c>
      <c r="D51" s="244" t="n">
        <v>15257.3</v>
      </c>
      <c r="I51" s="158" t="n">
        <v>0.0595</v>
      </c>
      <c r="J51" t="n">
        <v>49</v>
      </c>
      <c r="K51" s="244" t="n">
        <v>8795.99</v>
      </c>
      <c r="L51" s="158" t="n">
        <v>0.0745</v>
      </c>
      <c r="R51" s="244" t="n">
        <v>761.1273</v>
      </c>
      <c r="S51" s="244">
        <f> 0.1 * D51</f>
        <v/>
      </c>
      <c r="T51" s="244" t="n">
        <v>335</v>
      </c>
      <c r="U51" s="244">
        <f> R51 + S51 + T51</f>
        <v/>
      </c>
    </row>
    <row r="52">
      <c r="A52" t="n">
        <v>88019190921853</v>
      </c>
      <c r="B52" t="inlineStr">
        <is>
          <t>SWIF</t>
        </is>
      </c>
      <c r="C52" t="inlineStr">
        <is>
          <t>LOB</t>
        </is>
      </c>
      <c r="D52" s="244" t="n">
        <v>12507.33</v>
      </c>
      <c r="I52" s="158" t="n">
        <v>0.0595</v>
      </c>
      <c r="J52" t="n">
        <v>37</v>
      </c>
      <c r="K52" s="244" t="n">
        <v>9977.4</v>
      </c>
      <c r="L52" s="158" t="n">
        <v>0.0745</v>
      </c>
      <c r="R52" s="244" t="n">
        <v>564.7384</v>
      </c>
      <c r="S52" s="244">
        <f> 0.1 * D52</f>
        <v/>
      </c>
      <c r="T52" s="244" t="n">
        <v>335</v>
      </c>
      <c r="U52" s="244">
        <f> R52 + S52 + T52</f>
        <v/>
      </c>
    </row>
    <row r="53">
      <c r="A53" t="n">
        <v>88018886380652</v>
      </c>
      <c r="B53" t="inlineStr">
        <is>
          <t>VITA</t>
        </is>
      </c>
      <c r="C53" t="inlineStr">
        <is>
          <t>LOB</t>
        </is>
      </c>
      <c r="D53" s="244" t="n">
        <v>20835.62</v>
      </c>
      <c r="I53" s="158" t="n">
        <v>0.0595</v>
      </c>
      <c r="J53" t="n">
        <v>49</v>
      </c>
      <c r="K53" s="244" t="n">
        <v>13081.6</v>
      </c>
      <c r="L53" s="158" t="n">
        <v>0.0745</v>
      </c>
      <c r="R53" s="244" t="n">
        <v>1060.2159</v>
      </c>
      <c r="S53" s="244">
        <f> 0.1 * D53</f>
        <v/>
      </c>
      <c r="T53" s="244" t="n">
        <v>335</v>
      </c>
      <c r="U53" s="244">
        <f> R53 + S53 + T53</f>
        <v/>
      </c>
    </row>
    <row r="54">
      <c r="A54" t="n">
        <v>98074841955353</v>
      </c>
      <c r="B54" t="inlineStr">
        <is>
          <t>S-CR</t>
        </is>
      </c>
      <c r="C54" t="inlineStr">
        <is>
          <t>LOB</t>
        </is>
      </c>
      <c r="D54" s="244" t="n">
        <v>18313.79</v>
      </c>
      <c r="I54" s="158" t="n">
        <v>0.0595</v>
      </c>
      <c r="J54" t="n">
        <v>37</v>
      </c>
      <c r="K54" s="244" t="n">
        <v>13863.51</v>
      </c>
      <c r="L54" s="158" t="n">
        <v>0.0745</v>
      </c>
      <c r="R54" s="244" t="n">
        <v>814.828</v>
      </c>
      <c r="S54" s="244">
        <f> 0.1 * D54</f>
        <v/>
      </c>
      <c r="T54" s="244" t="n">
        <v>335</v>
      </c>
      <c r="U54" s="244">
        <f> R54 + S54 + T54</f>
        <v/>
      </c>
    </row>
    <row r="55">
      <c r="A55" t="n">
        <v>88015606820352</v>
      </c>
      <c r="B55" t="inlineStr">
        <is>
          <t>VITA</t>
        </is>
      </c>
      <c r="C55" t="inlineStr">
        <is>
          <t>LOB</t>
        </is>
      </c>
      <c r="D55" s="244" t="n">
        <v>18764.63</v>
      </c>
      <c r="I55" s="158" t="n">
        <v>0.0495</v>
      </c>
      <c r="J55" t="n">
        <v>37</v>
      </c>
      <c r="K55" s="244" t="n">
        <v>11631.38</v>
      </c>
      <c r="L55" s="158" t="n">
        <v>0.06710000000000001</v>
      </c>
      <c r="R55" s="244" t="n">
        <v>896.7366</v>
      </c>
      <c r="S55" s="244">
        <f> 0.1 * D55</f>
        <v/>
      </c>
      <c r="T55" s="244" t="n">
        <v>335</v>
      </c>
      <c r="U55" s="244">
        <f> R55 + S55 + T55</f>
        <v/>
      </c>
    </row>
    <row r="56">
      <c r="A56" t="n">
        <v>88018830043051</v>
      </c>
      <c r="B56" t="inlineStr">
        <is>
          <t>SWIF</t>
        </is>
      </c>
      <c r="C56" t="inlineStr">
        <is>
          <t>LOB</t>
        </is>
      </c>
      <c r="D56" s="244" t="n">
        <v>14392.27</v>
      </c>
      <c r="I56" s="158" t="n">
        <v>0.06950000000000001</v>
      </c>
      <c r="J56" t="n">
        <v>49</v>
      </c>
      <c r="K56" s="244" t="n">
        <v>8499.75</v>
      </c>
      <c r="L56" s="158" t="n">
        <v>0.0745</v>
      </c>
      <c r="R56" s="244" t="n">
        <v>336.8975</v>
      </c>
      <c r="S56" s="244">
        <f> 0.1 * D56</f>
        <v/>
      </c>
      <c r="T56" s="244" t="n">
        <v>335</v>
      </c>
      <c r="U56" s="244">
        <f> R56 + S56 + T56</f>
        <v/>
      </c>
    </row>
    <row r="57">
      <c r="A57" t="n">
        <v>88019181774751</v>
      </c>
      <c r="B57" t="inlineStr">
        <is>
          <t>SWIF</t>
        </is>
      </c>
      <c r="C57" t="inlineStr">
        <is>
          <t>LOB</t>
        </is>
      </c>
      <c r="D57" s="244" t="n">
        <v>18807.59</v>
      </c>
      <c r="I57" s="158" t="n">
        <v>0.0595</v>
      </c>
      <c r="J57" t="n">
        <v>49</v>
      </c>
      <c r="K57" s="244" t="n">
        <v>10079.41</v>
      </c>
      <c r="L57" s="158" t="n">
        <v>0.0745</v>
      </c>
      <c r="R57" s="244" t="n">
        <v>923.3878999999999</v>
      </c>
      <c r="S57" s="244">
        <f> 0.1 * D57</f>
        <v/>
      </c>
      <c r="T57" s="244" t="n">
        <v>335</v>
      </c>
      <c r="U57" s="244">
        <f> R57 + S57 + T57</f>
        <v/>
      </c>
    </row>
    <row r="58">
      <c r="A58" t="n">
        <v>88018613306251</v>
      </c>
      <c r="B58" t="inlineStr">
        <is>
          <t>SWIF</t>
        </is>
      </c>
      <c r="C58" t="inlineStr">
        <is>
          <t>LOB</t>
        </is>
      </c>
      <c r="D58" s="244" t="n">
        <v>13560.63</v>
      </c>
      <c r="I58" s="158" t="n">
        <v>0.0595</v>
      </c>
      <c r="J58" t="n">
        <v>49</v>
      </c>
      <c r="K58" s="244" t="n">
        <v>7649.61</v>
      </c>
      <c r="L58" s="158" t="n">
        <v>0.06710000000000001</v>
      </c>
      <c r="R58" s="244" t="n">
        <v>407.6429</v>
      </c>
      <c r="S58" s="244">
        <f> 0.1 * D58</f>
        <v/>
      </c>
      <c r="T58" s="244" t="n">
        <v>335</v>
      </c>
      <c r="U58" s="244">
        <f> R58 + S58 + T58</f>
        <v/>
      </c>
    </row>
    <row r="59">
      <c r="A59" t="n">
        <v>88018589492752</v>
      </c>
      <c r="B59" t="inlineStr">
        <is>
          <t>SWIF</t>
        </is>
      </c>
      <c r="C59" t="inlineStr">
        <is>
          <t>LOB</t>
        </is>
      </c>
      <c r="D59" s="244" t="n">
        <v>11819.6</v>
      </c>
      <c r="I59" s="158" t="n">
        <v>0.0595</v>
      </c>
      <c r="J59" t="n">
        <v>37</v>
      </c>
      <c r="K59" s="244" t="n">
        <v>7687.86</v>
      </c>
      <c r="L59" s="158" t="n">
        <v>0.0745</v>
      </c>
      <c r="R59" s="244" t="n">
        <v>505.4723</v>
      </c>
      <c r="S59" s="244">
        <f> 0.1 * D59</f>
        <v/>
      </c>
      <c r="T59" s="244" t="n">
        <v>335</v>
      </c>
      <c r="U59" s="244">
        <f> R59 + S59 + T59</f>
        <v/>
      </c>
    </row>
    <row r="60">
      <c r="A60" t="n">
        <v>88018647489052</v>
      </c>
      <c r="B60" t="inlineStr">
        <is>
          <t>SWIF</t>
        </is>
      </c>
      <c r="C60" t="inlineStr">
        <is>
          <t>LOB</t>
        </is>
      </c>
      <c r="D60" s="244" t="n">
        <v>13032.09</v>
      </c>
      <c r="I60" s="158" t="n">
        <v>0.0595</v>
      </c>
      <c r="J60" t="n">
        <v>49</v>
      </c>
      <c r="K60" s="244" t="n">
        <v>8536.290000000001</v>
      </c>
      <c r="L60" s="158" t="n">
        <v>0.0745</v>
      </c>
      <c r="R60" s="244" t="n">
        <v>670.0237</v>
      </c>
      <c r="S60" s="244">
        <f> 0.1 * D60</f>
        <v/>
      </c>
      <c r="T60" s="244" t="n">
        <v>335</v>
      </c>
      <c r="U60" s="244">
        <f> R60 + S60 + T60</f>
        <v/>
      </c>
    </row>
    <row r="61">
      <c r="A61" t="n">
        <v>88015739089552</v>
      </c>
      <c r="B61" t="inlineStr">
        <is>
          <t>SWIF</t>
        </is>
      </c>
      <c r="C61" t="inlineStr">
        <is>
          <t>LOB</t>
        </is>
      </c>
      <c r="D61" s="244" t="n">
        <v>12935.63</v>
      </c>
      <c r="I61" s="158" t="n">
        <v>0.0595</v>
      </c>
      <c r="J61" t="n">
        <v>49</v>
      </c>
      <c r="K61" s="244" t="n">
        <v>7345.38</v>
      </c>
      <c r="L61" s="158" t="n">
        <v>0.06710000000000001</v>
      </c>
      <c r="R61" s="244" t="n">
        <v>389.3342</v>
      </c>
      <c r="S61" s="244">
        <f> 0.1 * D61</f>
        <v/>
      </c>
      <c r="T61" s="244" t="n">
        <v>335</v>
      </c>
      <c r="U61" s="244">
        <f> R61 + S61 + T61</f>
        <v/>
      </c>
    </row>
    <row r="62">
      <c r="A62" t="n">
        <v>88018823126953</v>
      </c>
      <c r="B62" t="inlineStr">
        <is>
          <t>SWIF</t>
        </is>
      </c>
      <c r="C62" t="inlineStr">
        <is>
          <t>LOB</t>
        </is>
      </c>
      <c r="D62" s="244" t="n">
        <v>14435.63</v>
      </c>
      <c r="I62" s="158" t="n">
        <v>0.0595</v>
      </c>
      <c r="J62" t="n">
        <v>37</v>
      </c>
      <c r="K62" s="244" t="n">
        <v>11332.86</v>
      </c>
      <c r="L62" s="158" t="n">
        <v>0.0745</v>
      </c>
      <c r="R62" s="244" t="n">
        <v>648.8438</v>
      </c>
      <c r="S62" s="244">
        <f> 0.1 * D62</f>
        <v/>
      </c>
      <c r="T62" s="244" t="n">
        <v>335</v>
      </c>
      <c r="U62" s="244">
        <f> R62 + S62 + T62</f>
        <v/>
      </c>
    </row>
    <row r="63">
      <c r="A63" t="n">
        <v>88016040740152</v>
      </c>
      <c r="B63" t="inlineStr">
        <is>
          <t>S-CR</t>
        </is>
      </c>
      <c r="C63" t="inlineStr">
        <is>
          <t>LOB</t>
        </is>
      </c>
      <c r="D63" s="244" t="n">
        <v>24219.6</v>
      </c>
      <c r="I63" s="158" t="n">
        <v>0.0495</v>
      </c>
      <c r="J63" t="n">
        <v>37</v>
      </c>
      <c r="K63" s="244" t="n">
        <v>12978.95</v>
      </c>
      <c r="L63" s="158" t="n">
        <v>0.06710000000000001</v>
      </c>
      <c r="R63" s="244" t="n">
        <v>1118.3503</v>
      </c>
      <c r="S63" s="244">
        <f> 0.1 * D63</f>
        <v/>
      </c>
      <c r="T63" s="244" t="n">
        <v>335</v>
      </c>
      <c r="U63" s="244">
        <f> R63 + S63 + T63</f>
        <v/>
      </c>
    </row>
    <row r="64">
      <c r="A64" t="n">
        <v>88018607796652</v>
      </c>
      <c r="B64" t="inlineStr">
        <is>
          <t>SWIF</t>
        </is>
      </c>
      <c r="C64" t="inlineStr">
        <is>
          <t>LOB</t>
        </is>
      </c>
      <c r="D64" s="244" t="n">
        <v>11535.63</v>
      </c>
      <c r="I64" s="158" t="n">
        <v>0.0595</v>
      </c>
      <c r="J64" t="n">
        <v>37</v>
      </c>
      <c r="K64" s="244" t="n">
        <v>8528.959999999999</v>
      </c>
      <c r="L64" s="158" t="n">
        <v>0.0745</v>
      </c>
      <c r="R64" s="244" t="n">
        <v>509.9523</v>
      </c>
      <c r="S64" s="244">
        <f> 0.1 * D64</f>
        <v/>
      </c>
      <c r="T64" s="244" t="n">
        <v>335</v>
      </c>
      <c r="U64" s="244">
        <f> R64 + S64 + T64</f>
        <v/>
      </c>
    </row>
    <row r="65">
      <c r="A65" t="n">
        <v>88019194811551</v>
      </c>
      <c r="B65" t="inlineStr">
        <is>
          <t>SWIF</t>
        </is>
      </c>
      <c r="C65" t="inlineStr">
        <is>
          <t>LOB</t>
        </is>
      </c>
      <c r="D65" s="244" t="n">
        <v>11590.67</v>
      </c>
      <c r="I65" s="158" t="n">
        <v>0.0595</v>
      </c>
      <c r="J65" t="n">
        <v>37</v>
      </c>
      <c r="K65" s="244" t="n">
        <v>9977.309999999999</v>
      </c>
      <c r="L65" s="158" t="n">
        <v>0.0745</v>
      </c>
      <c r="R65" s="244" t="n">
        <v>535.1979</v>
      </c>
      <c r="S65" s="244">
        <f> 0.1 * D65</f>
        <v/>
      </c>
      <c r="T65" s="244" t="n">
        <v>335</v>
      </c>
      <c r="U65" s="244">
        <f> R65 + S65 + T65</f>
        <v/>
      </c>
    </row>
    <row r="66">
      <c r="A66" t="n">
        <v>88019016748655</v>
      </c>
      <c r="B66" t="inlineStr">
        <is>
          <t>SWIF</t>
        </is>
      </c>
      <c r="C66" t="inlineStr">
        <is>
          <t>LOB</t>
        </is>
      </c>
      <c r="D66" s="244" t="n">
        <v>15613.69</v>
      </c>
      <c r="I66" s="158" t="n">
        <v>0.06950000000000001</v>
      </c>
      <c r="J66" t="n">
        <v>49</v>
      </c>
      <c r="K66" s="244" t="n">
        <v>8118.7</v>
      </c>
      <c r="L66" s="158" t="n">
        <v>0.0745</v>
      </c>
      <c r="R66" s="244" t="n">
        <v>358.3987</v>
      </c>
      <c r="S66" s="244">
        <f> 0.1 * D66</f>
        <v/>
      </c>
      <c r="T66" s="244" t="n">
        <v>335</v>
      </c>
      <c r="U66" s="244">
        <f> R66 + S66 + T66</f>
        <v/>
      </c>
    </row>
    <row r="67">
      <c r="A67" t="n">
        <v>88018612995851</v>
      </c>
      <c r="B67" t="inlineStr">
        <is>
          <t>SWIF</t>
        </is>
      </c>
      <c r="C67" t="inlineStr">
        <is>
          <t>LOB</t>
        </is>
      </c>
      <c r="D67" s="244" t="n">
        <v>11918.13</v>
      </c>
      <c r="I67" s="158" t="n">
        <v>0.0595</v>
      </c>
      <c r="J67" t="n">
        <v>25</v>
      </c>
      <c r="K67" s="244" t="n">
        <v>10337.88</v>
      </c>
      <c r="L67" s="158" t="n">
        <v>0.06710000000000001</v>
      </c>
      <c r="R67" s="244" t="n">
        <v>275.5787</v>
      </c>
      <c r="S67" s="244">
        <f> 0.1 * D67</f>
        <v/>
      </c>
      <c r="T67" s="244" t="n">
        <v>335</v>
      </c>
      <c r="U67" s="244">
        <f> R67 + S67 + T67</f>
        <v/>
      </c>
    </row>
    <row r="68">
      <c r="A68" t="n">
        <v>88018940429051</v>
      </c>
      <c r="B68" t="inlineStr">
        <is>
          <t>NEW</t>
        </is>
      </c>
      <c r="C68" t="inlineStr">
        <is>
          <t>LOB</t>
        </is>
      </c>
      <c r="D68" s="244" t="n">
        <v>18650</v>
      </c>
      <c r="I68" s="158" t="n">
        <v>0.0595</v>
      </c>
      <c r="J68" t="n">
        <v>49</v>
      </c>
      <c r="K68" s="244" t="n">
        <v>13971.97</v>
      </c>
      <c r="L68" s="158" t="n">
        <v>0.0745</v>
      </c>
      <c r="R68" s="244" t="n">
        <v>993.0155</v>
      </c>
      <c r="S68" s="244">
        <f> 0.1 * D68</f>
        <v/>
      </c>
      <c r="T68" s="244" t="n">
        <v>335</v>
      </c>
      <c r="U68" s="244">
        <f> R68 + S68 + T68</f>
        <v/>
      </c>
    </row>
    <row r="69">
      <c r="A69" t="n">
        <v>88018589386054</v>
      </c>
      <c r="B69" t="inlineStr">
        <is>
          <t>SWIF</t>
        </is>
      </c>
      <c r="C69" t="inlineStr">
        <is>
          <t>LOB</t>
        </is>
      </c>
      <c r="D69" s="244" t="n">
        <v>12380.79</v>
      </c>
      <c r="I69" s="158" t="n">
        <v>0.0595</v>
      </c>
      <c r="J69" t="n">
        <v>37</v>
      </c>
      <c r="K69" s="244" t="n">
        <v>8916.02</v>
      </c>
      <c r="L69" s="158" t="n">
        <v>0.0745</v>
      </c>
      <c r="R69" s="244" t="n">
        <v>543.46</v>
      </c>
      <c r="S69" s="244">
        <f> 0.1 * D69</f>
        <v/>
      </c>
      <c r="T69" s="244" t="n">
        <v>335</v>
      </c>
      <c r="U69" s="244">
        <f> R69 + S69 + T69</f>
        <v/>
      </c>
    </row>
    <row r="70">
      <c r="A70" t="n">
        <v>88018576931252</v>
      </c>
      <c r="B70" t="inlineStr">
        <is>
          <t>SWIF</t>
        </is>
      </c>
      <c r="C70" t="inlineStr">
        <is>
          <t>LOB</t>
        </is>
      </c>
      <c r="D70" s="244" t="n">
        <v>13993.56</v>
      </c>
      <c r="I70" s="158" t="n">
        <v>0.0595</v>
      </c>
      <c r="J70" t="n">
        <v>49</v>
      </c>
      <c r="K70" s="244" t="n">
        <v>6929.16</v>
      </c>
      <c r="L70" s="158" t="n">
        <v>0.06710000000000001</v>
      </c>
      <c r="R70" s="244" t="n">
        <v>411.0919</v>
      </c>
      <c r="S70" s="244">
        <f> 0.1 * D70</f>
        <v/>
      </c>
      <c r="T70" s="244" t="n">
        <v>335</v>
      </c>
      <c r="U70" s="244">
        <f> R70 + S70 + T70</f>
        <v/>
      </c>
    </row>
    <row r="71">
      <c r="A71" t="n">
        <v>88018637789052</v>
      </c>
      <c r="B71" t="inlineStr">
        <is>
          <t>SWIF</t>
        </is>
      </c>
      <c r="C71" t="inlineStr">
        <is>
          <t>LOB</t>
        </is>
      </c>
      <c r="D71" s="244" t="n">
        <v>15542.92</v>
      </c>
      <c r="I71" s="158" t="n">
        <v>0.0595</v>
      </c>
      <c r="J71" t="n">
        <v>36</v>
      </c>
      <c r="K71" s="244" t="n">
        <v>10415.79</v>
      </c>
      <c r="L71" s="158" t="n">
        <v>0.0745</v>
      </c>
      <c r="R71" s="244" t="n">
        <v>657.8693</v>
      </c>
      <c r="S71" s="244">
        <f> 0.1 * D71</f>
        <v/>
      </c>
      <c r="T71" s="244" t="n">
        <v>335</v>
      </c>
      <c r="U71" s="244">
        <f> R71 + S71 + T71</f>
        <v/>
      </c>
    </row>
    <row r="72">
      <c r="A72" t="n">
        <v>88018871103152</v>
      </c>
      <c r="B72" t="inlineStr">
        <is>
          <t>ACRO</t>
        </is>
      </c>
      <c r="C72" t="inlineStr">
        <is>
          <t>LOB</t>
        </is>
      </c>
      <c r="D72" s="244" t="n">
        <v>29740.39</v>
      </c>
      <c r="I72" s="158" t="n">
        <v>0.06950000000000001</v>
      </c>
      <c r="J72" t="n">
        <v>48</v>
      </c>
      <c r="K72" s="244" t="n">
        <v>16664.06</v>
      </c>
      <c r="L72" s="158" t="n">
        <v>0.0745</v>
      </c>
      <c r="R72" s="244" t="n">
        <v>683.8184</v>
      </c>
      <c r="S72" s="244">
        <f> 0.1 * D72</f>
        <v/>
      </c>
      <c r="T72" s="244" t="n">
        <v>335</v>
      </c>
      <c r="U72" s="244">
        <f> R72 + S72 + T72</f>
        <v/>
      </c>
    </row>
    <row r="73">
      <c r="A73" t="n">
        <v>88015197848953</v>
      </c>
      <c r="B73" t="inlineStr">
        <is>
          <t>S-CR</t>
        </is>
      </c>
      <c r="C73" t="inlineStr">
        <is>
          <t>LOB</t>
        </is>
      </c>
      <c r="D73" s="244" t="n">
        <v>18909.79</v>
      </c>
      <c r="I73" s="158" t="n">
        <v>0.0495</v>
      </c>
      <c r="J73" t="n">
        <v>49</v>
      </c>
      <c r="K73" s="244" t="n">
        <v>11626.39</v>
      </c>
      <c r="L73" s="158" t="n">
        <v>0.06710000000000001</v>
      </c>
      <c r="R73" s="244" t="n">
        <v>1088.2484</v>
      </c>
      <c r="S73" s="244">
        <f> 0.1 * D73</f>
        <v/>
      </c>
      <c r="T73" s="244" t="n">
        <v>335</v>
      </c>
      <c r="U73" s="244">
        <f> R73 + S73 + T73</f>
        <v/>
      </c>
    </row>
    <row r="74">
      <c r="A74" t="n">
        <v>88018486313851</v>
      </c>
      <c r="B74" t="inlineStr">
        <is>
          <t>SWIF</t>
        </is>
      </c>
      <c r="C74" t="inlineStr">
        <is>
          <t>LOB</t>
        </is>
      </c>
      <c r="D74" s="244" t="n">
        <v>16061.9</v>
      </c>
      <c r="I74" s="158" t="n">
        <v>0.0495</v>
      </c>
      <c r="J74" t="n">
        <v>49</v>
      </c>
      <c r="K74" s="244" t="n">
        <v>6465.6</v>
      </c>
      <c r="L74" s="158" t="n">
        <v>0.06710000000000001</v>
      </c>
      <c r="R74" s="244" t="n">
        <v>845.4192</v>
      </c>
      <c r="S74" s="244">
        <f> 0.1 * D74</f>
        <v/>
      </c>
      <c r="T74" s="244" t="n">
        <v>335</v>
      </c>
      <c r="U74" s="244">
        <f> R74 + S74 + T74</f>
        <v/>
      </c>
    </row>
    <row r="75">
      <c r="A75" t="n">
        <v>88018443934551</v>
      </c>
      <c r="B75" t="inlineStr">
        <is>
          <t>S-CR</t>
        </is>
      </c>
      <c r="C75" t="inlineStr">
        <is>
          <t>LOB</t>
        </is>
      </c>
      <c r="D75" s="244" t="n">
        <v>16835.63</v>
      </c>
      <c r="I75" s="158" t="n">
        <v>0.0495</v>
      </c>
      <c r="J75" t="n">
        <v>49</v>
      </c>
      <c r="K75" s="244" t="n">
        <v>11166.12</v>
      </c>
      <c r="L75" s="158" t="n">
        <v>0.06710000000000001</v>
      </c>
      <c r="R75" s="244" t="n">
        <v>987.7481</v>
      </c>
      <c r="S75" s="244">
        <f> 0.1 * D75</f>
        <v/>
      </c>
      <c r="T75" s="244" t="n">
        <v>335</v>
      </c>
      <c r="U75" s="244">
        <f> R75 + S75 + T75</f>
        <v/>
      </c>
    </row>
    <row r="76">
      <c r="A76" t="n">
        <v>88018806336252</v>
      </c>
      <c r="B76" t="inlineStr">
        <is>
          <t>SWIF</t>
        </is>
      </c>
      <c r="C76" t="inlineStr">
        <is>
          <t>LOB</t>
        </is>
      </c>
      <c r="D76" s="244" t="n">
        <v>13835.63</v>
      </c>
      <c r="I76" s="158" t="n">
        <v>0.06950000000000001</v>
      </c>
      <c r="J76" t="n">
        <v>37</v>
      </c>
      <c r="K76" s="244" t="n">
        <v>8954.07</v>
      </c>
      <c r="L76" s="158" t="n">
        <v>0.0745</v>
      </c>
      <c r="R76" s="244" t="n">
        <v>289.3804</v>
      </c>
      <c r="S76" s="244">
        <f> 0.1 * D76</f>
        <v/>
      </c>
      <c r="T76" s="244" t="n">
        <v>335</v>
      </c>
      <c r="U76" s="244">
        <f> R76 + S76 + T76</f>
        <v/>
      </c>
    </row>
    <row r="77">
      <c r="A77" t="n">
        <v>88018593304851</v>
      </c>
      <c r="B77" t="inlineStr">
        <is>
          <t>VITA</t>
        </is>
      </c>
      <c r="C77" t="inlineStr">
        <is>
          <t>LOB</t>
        </is>
      </c>
      <c r="D77" s="244" t="n">
        <v>18023.85</v>
      </c>
      <c r="I77" s="158" t="n">
        <v>0.0495</v>
      </c>
      <c r="J77" t="n">
        <v>37</v>
      </c>
      <c r="K77" s="244" t="n">
        <v>10582.16</v>
      </c>
      <c r="L77" s="158" t="n">
        <v>0.06710000000000001</v>
      </c>
      <c r="R77" s="244" t="n">
        <v>849.9998000000001</v>
      </c>
      <c r="S77" s="244">
        <f> 0.1 * D77</f>
        <v/>
      </c>
      <c r="T77" s="244" t="n">
        <v>335</v>
      </c>
      <c r="U77" s="244">
        <f> R77 + S77 + T77</f>
        <v/>
      </c>
    </row>
    <row r="78">
      <c r="A78" t="n">
        <v>88015404585055</v>
      </c>
      <c r="B78" t="inlineStr">
        <is>
          <t>VITA</t>
        </is>
      </c>
      <c r="C78" t="inlineStr">
        <is>
          <t>LOB</t>
        </is>
      </c>
      <c r="D78" s="244" t="n">
        <v>21036.56</v>
      </c>
      <c r="I78" s="158" t="n">
        <v>0.0595</v>
      </c>
      <c r="J78" t="n">
        <v>49</v>
      </c>
      <c r="K78" s="244" t="n">
        <v>10539.52</v>
      </c>
      <c r="L78" s="158" t="n">
        <v>0.0745</v>
      </c>
      <c r="R78" s="244" t="n">
        <v>1018.5355</v>
      </c>
      <c r="S78" s="244">
        <f> 0.1 * D78</f>
        <v/>
      </c>
      <c r="T78" s="244" t="n">
        <v>335</v>
      </c>
      <c r="U78" s="244">
        <f> R78 + S78 + T78</f>
        <v/>
      </c>
    </row>
    <row r="79">
      <c r="A79" t="n">
        <v>88014708988352</v>
      </c>
      <c r="B79" t="inlineStr">
        <is>
          <t>SWIF</t>
        </is>
      </c>
      <c r="C79" t="inlineStr">
        <is>
          <t>LOB</t>
        </is>
      </c>
      <c r="D79" s="244" t="n">
        <v>12910.97</v>
      </c>
      <c r="I79" s="158" t="n">
        <v>0.0595</v>
      </c>
      <c r="J79" t="n">
        <v>37</v>
      </c>
      <c r="K79" s="244" t="n">
        <v>8540.610000000001</v>
      </c>
      <c r="L79" s="158" t="n">
        <v>0.0745</v>
      </c>
      <c r="R79" s="244" t="n">
        <v>554.461</v>
      </c>
      <c r="S79" s="244">
        <f> 0.1 * D79</f>
        <v/>
      </c>
      <c r="T79" s="244" t="n">
        <v>335</v>
      </c>
      <c r="U79" s="244">
        <f> R79 + S79 + T79</f>
        <v/>
      </c>
    </row>
    <row r="80">
      <c r="A80" t="n">
        <v>88018848540952</v>
      </c>
      <c r="B80" t="inlineStr">
        <is>
          <t>VITA</t>
        </is>
      </c>
      <c r="C80" t="inlineStr">
        <is>
          <t>LOB</t>
        </is>
      </c>
      <c r="D80" s="244" t="n">
        <v>19354.78</v>
      </c>
      <c r="I80" s="158" t="n">
        <v>0.0595</v>
      </c>
      <c r="J80" t="n">
        <v>49</v>
      </c>
      <c r="K80" s="244" t="n">
        <v>11689.47</v>
      </c>
      <c r="L80" s="158" t="n">
        <v>0.0745</v>
      </c>
      <c r="R80" s="244" t="n">
        <v>975.8689000000001</v>
      </c>
      <c r="S80" s="244">
        <f> 0.1 * D80</f>
        <v/>
      </c>
      <c r="T80" s="244" t="n">
        <v>335</v>
      </c>
      <c r="U80" s="244">
        <f> R80 + S80 + T80</f>
        <v/>
      </c>
    </row>
    <row r="81">
      <c r="A81" t="n">
        <v>88018858386454</v>
      </c>
      <c r="B81" t="inlineStr">
        <is>
          <t>SWIF</t>
        </is>
      </c>
      <c r="C81" t="inlineStr">
        <is>
          <t>LOB</t>
        </is>
      </c>
      <c r="D81" s="244" t="n">
        <v>11519.3</v>
      </c>
      <c r="I81" s="158" t="n">
        <v>0.06950000000000001</v>
      </c>
      <c r="J81" t="n">
        <v>49</v>
      </c>
      <c r="K81" s="244" t="n">
        <v>5582.08</v>
      </c>
      <c r="L81" s="158" t="n">
        <v>0.0745</v>
      </c>
      <c r="R81" s="244" t="n">
        <v>261.7938</v>
      </c>
      <c r="S81" s="244">
        <f> 0.1 * D81</f>
        <v/>
      </c>
      <c r="T81" s="244" t="n">
        <v>335</v>
      </c>
      <c r="U81" s="244">
        <f> R81 + S81 + T81</f>
        <v/>
      </c>
    </row>
    <row r="82">
      <c r="A82" t="n">
        <v>88018633385251</v>
      </c>
      <c r="B82" t="inlineStr">
        <is>
          <t>SWIF</t>
        </is>
      </c>
      <c r="C82" t="inlineStr">
        <is>
          <t>LOB</t>
        </is>
      </c>
      <c r="D82" s="244" t="n">
        <v>10523.8</v>
      </c>
      <c r="I82" s="158" t="n">
        <v>0.0595</v>
      </c>
      <c r="J82" t="n">
        <v>37</v>
      </c>
      <c r="K82" s="244" t="n">
        <v>6709.72</v>
      </c>
      <c r="L82" s="158" t="n">
        <v>0.06710000000000001</v>
      </c>
      <c r="R82" s="244" t="n">
        <v>278.6973</v>
      </c>
      <c r="S82" s="244">
        <f> 0.1 * D82</f>
        <v/>
      </c>
      <c r="T82" s="244" t="n">
        <v>335</v>
      </c>
      <c r="U82" s="244">
        <f> R82 + S82 + T82</f>
        <v/>
      </c>
    </row>
    <row r="83">
      <c r="A83" t="n">
        <v>88018848696152</v>
      </c>
      <c r="B83" t="inlineStr">
        <is>
          <t>NEW</t>
        </is>
      </c>
      <c r="C83" t="inlineStr">
        <is>
          <t>LOB</t>
        </is>
      </c>
      <c r="D83" s="244" t="n">
        <v>21277.13</v>
      </c>
      <c r="I83" s="158" t="n">
        <v>0.0595</v>
      </c>
      <c r="J83" t="n">
        <v>49</v>
      </c>
      <c r="K83" s="244" t="n">
        <v>15422.6</v>
      </c>
      <c r="L83" s="158" t="n">
        <v>0.0745</v>
      </c>
      <c r="R83" s="244" t="n">
        <v>1122.8291</v>
      </c>
      <c r="S83" s="244">
        <f> 0.1 * D83</f>
        <v/>
      </c>
      <c r="T83" s="244" t="n">
        <v>335</v>
      </c>
      <c r="U83" s="244">
        <f> R83 + S83 + T83</f>
        <v/>
      </c>
    </row>
    <row r="84">
      <c r="A84" t="n">
        <v>88018929429253</v>
      </c>
      <c r="B84" t="inlineStr">
        <is>
          <t>VITA</t>
        </is>
      </c>
      <c r="C84" t="inlineStr">
        <is>
          <t>LOB</t>
        </is>
      </c>
      <c r="D84" s="244" t="n">
        <v>17093.96</v>
      </c>
      <c r="I84" s="158" t="n">
        <v>0.0595</v>
      </c>
      <c r="J84" t="n">
        <v>49</v>
      </c>
      <c r="K84" s="244" t="n">
        <v>11024.94</v>
      </c>
      <c r="L84" s="158" t="n">
        <v>0.0745</v>
      </c>
      <c r="R84" s="244" t="n">
        <v>875.513</v>
      </c>
      <c r="S84" s="244">
        <f> 0.1 * D84</f>
        <v/>
      </c>
      <c r="T84" s="244" t="n">
        <v>335</v>
      </c>
      <c r="U84" s="244">
        <f> R84 + S84 + T84</f>
        <v/>
      </c>
    </row>
    <row r="85">
      <c r="A85" t="n">
        <v>88016180837253</v>
      </c>
      <c r="B85" t="inlineStr">
        <is>
          <t>S-CR</t>
        </is>
      </c>
      <c r="C85" t="inlineStr">
        <is>
          <t>LOB</t>
        </is>
      </c>
      <c r="D85" s="244" t="n">
        <v>19283.34</v>
      </c>
      <c r="I85" s="158" t="n">
        <v>0.06950000000000001</v>
      </c>
      <c r="J85" t="n">
        <v>49</v>
      </c>
      <c r="K85" s="244" t="n">
        <v>11248.74</v>
      </c>
      <c r="L85" s="158" t="n">
        <v>0.0745</v>
      </c>
      <c r="R85" s="244" t="n">
        <v>450.4911</v>
      </c>
      <c r="S85" s="244">
        <f> 0.1 * D85</f>
        <v/>
      </c>
      <c r="T85" s="244" t="n">
        <v>335</v>
      </c>
      <c r="U85" s="244">
        <f> R85 + S85 + T85</f>
        <v/>
      </c>
    </row>
    <row r="86">
      <c r="A86" t="n">
        <v>88018992013652</v>
      </c>
      <c r="B86" t="inlineStr">
        <is>
          <t>SWIF</t>
        </is>
      </c>
      <c r="C86" t="inlineStr">
        <is>
          <t>LOB</t>
        </is>
      </c>
      <c r="D86" s="244" t="n">
        <v>13840.63</v>
      </c>
      <c r="I86" s="158" t="n">
        <v>0.06950000000000001</v>
      </c>
      <c r="J86" t="n">
        <v>49</v>
      </c>
      <c r="K86" s="244" t="n">
        <v>7529.3</v>
      </c>
      <c r="L86" s="158" t="n">
        <v>0.0745</v>
      </c>
      <c r="R86" s="244" t="n">
        <v>319.8384</v>
      </c>
      <c r="S86" s="244">
        <f> 0.1 * D86</f>
        <v/>
      </c>
      <c r="T86" s="244" t="n">
        <v>335</v>
      </c>
      <c r="U86" s="244">
        <f> R86 + S86 + T86</f>
        <v/>
      </c>
    </row>
  </sheetData>
  <conditionalFormatting sqref="R1:R3">
    <cfRule type="cellIs" priority="1" operator="lessThan" dxfId="2">
      <formula>0</formula>
    </cfRule>
  </conditionalFormatting>
  <pageMargins left="0.7" right="0.7" top="0.75" bottom="0.75" header="0.3" footer="0.3"/>
  <pageSetup orientation="portrait" paperSize="8" scale="10"/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K25"/>
  <sheetViews>
    <sheetView showGridLines="0" workbookViewId="0">
      <selection activeCell="B5" sqref="B5"/>
    </sheetView>
  </sheetViews>
  <sheetFormatPr baseColWidth="10" defaultColWidth="11.42578125" defaultRowHeight="12"/>
  <cols>
    <col width="22.140625" bestFit="1" customWidth="1" style="216" min="1" max="1"/>
    <col width="11.85546875" bestFit="1" customWidth="1" style="216" min="2" max="2"/>
    <col width="12" bestFit="1" customWidth="1" style="216" min="3" max="4"/>
    <col width="11.42578125" customWidth="1" style="216" min="5" max="16384"/>
  </cols>
  <sheetData>
    <row r="1" ht="15" customHeight="1">
      <c r="A1" s="219" t="inlineStr">
        <is>
          <t>Inputs</t>
        </is>
      </c>
      <c r="B1" s="235" t="inlineStr">
        <is>
          <t>Véhicule</t>
        </is>
      </c>
      <c r="D1" s="216" t="n">
        <v>13</v>
      </c>
    </row>
    <row r="2" ht="15" customHeight="1">
      <c r="A2" s="219" t="inlineStr">
        <is>
          <t>Prix catalogue</t>
        </is>
      </c>
      <c r="B2" s="232" t="n">
        <v>41990</v>
      </c>
      <c r="D2" s="234" t="inlineStr">
        <is>
          <t>A saisir</t>
        </is>
      </c>
      <c r="E2" s="216" t="inlineStr">
        <is>
          <t xml:space="preserve">en LOA 120 mois : prix remisé / en LOB : prix catalogue  </t>
        </is>
      </c>
    </row>
    <row r="3" ht="15" customHeight="1">
      <c r="A3" s="219" t="inlineStr">
        <is>
          <t>remise</t>
        </is>
      </c>
      <c r="B3" s="232" t="n">
        <v>2000</v>
      </c>
      <c r="D3" s="234" t="n"/>
    </row>
    <row r="4" ht="15" customHeight="1">
      <c r="A4" s="219" t="inlineStr">
        <is>
          <t>Apport  ou 1er loyer TTC</t>
        </is>
      </c>
      <c r="B4" s="233" t="n">
        <v>3900</v>
      </c>
    </row>
    <row r="5" ht="15" customHeight="1">
      <c r="A5" s="219" t="inlineStr">
        <is>
          <t>Prix moyen Fin HT</t>
        </is>
      </c>
      <c r="B5" s="233">
        <f>(B2-B4-B3)/1.2</f>
        <v/>
      </c>
      <c r="C5" s="216">
        <f>+B5*1.2</f>
        <v/>
      </c>
    </row>
    <row r="6" ht="15" customHeight="1">
      <c r="A6" s="219" t="inlineStr">
        <is>
          <t>Km/an</t>
        </is>
      </c>
      <c r="B6" s="232" t="n"/>
    </row>
    <row r="7" ht="15" customHeight="1">
      <c r="A7" s="219" t="inlineStr">
        <is>
          <t>Durée</t>
        </is>
      </c>
      <c r="B7" s="231" t="n">
        <v>36</v>
      </c>
      <c r="C7" s="230" t="n"/>
    </row>
    <row r="8" ht="15" customHeight="1">
      <c r="A8" s="219" t="inlineStr">
        <is>
          <t>Base Rate</t>
        </is>
      </c>
      <c r="B8" s="229" t="n">
        <v>0.078</v>
      </c>
      <c r="C8" s="216" t="inlineStr">
        <is>
          <t>(taux y compris compensation)</t>
        </is>
      </c>
      <c r="J8" s="225" t="n">
        <v>0.0225</v>
      </c>
      <c r="K8" s="245">
        <f>5%/1.72</f>
        <v/>
      </c>
    </row>
    <row r="9" ht="15" customHeight="1">
      <c r="A9" s="219" t="inlineStr">
        <is>
          <t>VR en Mtt HT</t>
        </is>
      </c>
      <c r="B9" s="227">
        <f>+D9/1.2</f>
        <v/>
      </c>
      <c r="C9" s="225">
        <f>+D9/B2</f>
        <v/>
      </c>
      <c r="D9" s="226" t="n">
        <v>21878</v>
      </c>
      <c r="F9" s="223" t="n"/>
      <c r="J9" s="225" t="n">
        <v>0.0445</v>
      </c>
    </row>
    <row r="10" ht="12.75" customHeight="1">
      <c r="A10" s="224" t="n"/>
      <c r="B10" s="224" t="n"/>
      <c r="J10" s="223">
        <f>1%/1.96</f>
        <v/>
      </c>
    </row>
    <row r="11" ht="15" customHeight="1">
      <c r="A11" s="219" t="inlineStr">
        <is>
          <t>Taux Client</t>
        </is>
      </c>
      <c r="B11" s="222" t="n">
        <v>0.0595</v>
      </c>
      <c r="D11" s="216" t="inlineStr">
        <is>
          <t>par palier de 5bp</t>
        </is>
      </c>
    </row>
    <row r="13" ht="12.75" customHeight="1" thickBot="1"/>
    <row r="14" ht="15.75" customHeight="1" thickBot="1">
      <c r="A14" s="221" t="inlineStr">
        <is>
          <t>Compensations</t>
        </is>
      </c>
      <c r="B14" s="246">
        <f>CALCULETTE!B624</f>
        <v/>
      </c>
      <c r="C14" s="216" t="n">
        <v>1228.58636354399</v>
      </c>
      <c r="E14" s="247" t="n"/>
    </row>
    <row r="15" ht="12.75" customHeight="1" thickBot="1"/>
    <row r="16" ht="15.75" customHeight="1" thickBot="1">
      <c r="A16" s="221" t="inlineStr">
        <is>
          <t>mensualité HT</t>
        </is>
      </c>
      <c r="B16" s="246">
        <f>+CALCULETTE!E624</f>
        <v/>
      </c>
    </row>
    <row r="17" ht="15.75" customHeight="1" thickBot="1">
      <c r="A17" s="221" t="inlineStr">
        <is>
          <t>mensualité TTC</t>
        </is>
      </c>
      <c r="B17" s="246">
        <f>+B16*1.2</f>
        <v/>
      </c>
      <c r="C17" s="247">
        <f>+B17+50</f>
        <v/>
      </c>
      <c r="D17" s="216" t="inlineStr">
        <is>
          <t>arrondi à l'entier du dessous pour les mentions légales</t>
        </is>
      </c>
    </row>
    <row r="19" ht="15" customHeight="1">
      <c r="A19" s="219" t="inlineStr">
        <is>
          <t>coef de surface</t>
        </is>
      </c>
      <c r="B19" s="218">
        <f>+[3]renta_retail!$C$16</f>
        <v/>
      </c>
    </row>
    <row r="25">
      <c r="B25" s="247" t="n"/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Feuil2">
    <outlinePr summaryBelow="1" summaryRight="1"/>
    <pageSetUpPr/>
  </sheetPr>
  <dimension ref="A1:AE812"/>
  <sheetViews>
    <sheetView showGridLines="0" topLeftCell="A621" zoomScale="130" zoomScaleNormal="130" workbookViewId="0">
      <selection activeCell="C632" sqref="C632"/>
    </sheetView>
  </sheetViews>
  <sheetFormatPr baseColWidth="10" defaultColWidth="11.42578125" defaultRowHeight="12" outlineLevelRow="1"/>
  <cols>
    <col width="27.42578125" customWidth="1" style="1" min="1" max="1"/>
    <col width="43.42578125" customWidth="1" style="2" min="2" max="2"/>
    <col width="10.28515625" bestFit="1" customWidth="1" style="1" min="3" max="3"/>
    <col width="40.85546875" customWidth="1" style="1" min="4" max="4"/>
    <col width="11.42578125" customWidth="1" style="1" min="5" max="14"/>
    <col width="11.42578125" customWidth="1" style="1" min="15" max="16384"/>
  </cols>
  <sheetData>
    <row r="1" hidden="1" outlineLevel="1">
      <c r="D1" s="3">
        <f>IF(OR(ISBLANK(#REF!),ISBLANK(#REF!),ISBLANK(D$25),ISBLANK(D$23)),0,1)</f>
        <v/>
      </c>
      <c r="E1" s="3">
        <f>IF(OR(ISBLANK(#REF!),ISBLANK(#REF!),ISBLANK(E$25),ISBLANK(E$23)),0,1)</f>
        <v/>
      </c>
      <c r="F1" s="3">
        <f>IF(OR(ISBLANK(#REF!),ISBLANK(#REF!),ISBLANK(F$25),ISBLANK(F$23)),0,1)</f>
        <v/>
      </c>
      <c r="G1" s="3">
        <f>IF(OR(ISBLANK(#REF!),ISBLANK(#REF!),ISBLANK(G$25),ISBLANK(G$23)),0,1)</f>
        <v/>
      </c>
      <c r="H1" s="3">
        <f>IF(OR(ISBLANK(#REF!),ISBLANK(#REF!),ISBLANK(H$25),ISBLANK(H$23)),0,1)</f>
        <v/>
      </c>
      <c r="I1" s="3">
        <f>IF(OR(ISBLANK(#REF!),ISBLANK(#REF!),ISBLANK(I$25),ISBLANK(I$23)),0,1)</f>
        <v/>
      </c>
      <c r="J1" s="3">
        <f>IF(OR(ISBLANK(#REF!),ISBLANK(#REF!),ISBLANK(J$25),ISBLANK(J$23)),0,1)</f>
        <v/>
      </c>
      <c r="K1" s="3">
        <f>IF(OR(ISBLANK(#REF!),ISBLANK(#REF!),ISBLANK(K$25),ISBLANK(K$23)),0,1)</f>
        <v/>
      </c>
      <c r="L1" s="3">
        <f>IF(OR(ISBLANK(#REF!),ISBLANK(#REF!),ISBLANK(L$25),ISBLANK(L$23)),0,1)</f>
        <v/>
      </c>
      <c r="M1" s="3">
        <f>IF(OR(ISBLANK(#REF!),ISBLANK(#REF!),ISBLANK(M$25),ISBLANK(M$23)),0,1)</f>
        <v/>
      </c>
    </row>
    <row r="2" collapsed="1"/>
    <row r="3" ht="36" customHeight="1">
      <c r="B3" s="238" t="inlineStr">
        <is>
          <t xml:space="preserve">Subsidies calculator incl. early repayment
</t>
        </is>
      </c>
    </row>
    <row r="5">
      <c r="B5" s="12" t="n"/>
      <c r="C5" s="13" t="n"/>
      <c r="D5" s="13" t="n"/>
      <c r="E5" s="13" t="n"/>
      <c r="F5" s="13" t="n"/>
      <c r="G5" s="13" t="n"/>
      <c r="H5" s="13" t="n"/>
      <c r="I5" s="13" t="n"/>
      <c r="J5" s="13" t="n"/>
      <c r="K5" s="13" t="n"/>
      <c r="L5" s="13" t="n"/>
      <c r="M5" s="14" t="n"/>
    </row>
    <row r="6">
      <c r="B6" s="240" t="inlineStr">
        <is>
          <t>principles</t>
        </is>
      </c>
      <c r="D6" s="19" t="inlineStr">
        <is>
          <t>Financed amount without downpayment</t>
        </is>
      </c>
      <c r="M6" s="15" t="n"/>
    </row>
    <row r="7">
      <c r="B7" s="248" t="n"/>
      <c r="D7" s="101" t="n"/>
      <c r="M7" s="15" t="n"/>
    </row>
    <row r="8" hidden="1">
      <c r="B8" s="248" t="n"/>
      <c r="D8" s="20" t="n"/>
      <c r="M8" s="15" t="n"/>
    </row>
    <row r="9" hidden="1">
      <c r="B9" s="248" t="n"/>
      <c r="D9" s="23" t="n"/>
      <c r="M9" s="15" t="n"/>
    </row>
    <row r="10" hidden="1">
      <c r="B10" s="248" t="n"/>
      <c r="D10" s="24" t="n"/>
      <c r="M10" s="15" t="n"/>
    </row>
    <row r="11" hidden="1">
      <c r="B11" s="16" t="n"/>
      <c r="C11" s="5" t="n"/>
      <c r="D11" s="17" t="n"/>
      <c r="E11" s="5" t="n"/>
      <c r="F11" s="5" t="n"/>
      <c r="G11" s="5" t="n"/>
      <c r="H11" s="5" t="n"/>
      <c r="I11" s="5" t="n"/>
      <c r="J11" s="5" t="n"/>
      <c r="K11" s="5" t="n"/>
      <c r="L11" s="5" t="n"/>
      <c r="M11" s="18" t="n"/>
    </row>
    <row r="14" ht="21" customHeight="1">
      <c r="D14" s="9" t="inlineStr">
        <is>
          <t>simul_1</t>
        </is>
      </c>
      <c r="E14" s="9" t="inlineStr">
        <is>
          <t>simul_2</t>
        </is>
      </c>
      <c r="F14" s="9" t="inlineStr">
        <is>
          <t>simul_3</t>
        </is>
      </c>
      <c r="G14" s="9" t="inlineStr">
        <is>
          <t>simul_4</t>
        </is>
      </c>
      <c r="H14" s="9" t="inlineStr">
        <is>
          <t>simul_5</t>
        </is>
      </c>
      <c r="I14" s="9" t="inlineStr">
        <is>
          <t>simul_6</t>
        </is>
      </c>
      <c r="J14" s="9" t="inlineStr">
        <is>
          <t>simul_7</t>
        </is>
      </c>
      <c r="K14" s="9" t="inlineStr">
        <is>
          <t>simul_8</t>
        </is>
      </c>
      <c r="L14" s="9" t="inlineStr">
        <is>
          <t>simul_9</t>
        </is>
      </c>
      <c r="M14" s="9" t="inlineStr">
        <is>
          <t>simul_10</t>
        </is>
      </c>
    </row>
    <row r="15">
      <c r="D15" s="188" t="n"/>
      <c r="E15" s="7" t="n"/>
      <c r="F15" s="7" t="n"/>
      <c r="G15" s="7" t="n"/>
      <c r="H15" s="7" t="n"/>
      <c r="I15" s="7" t="n"/>
      <c r="J15" s="7" t="n"/>
      <c r="K15" s="7" t="n"/>
      <c r="L15" s="7" t="n"/>
      <c r="M15" s="7" t="n"/>
    </row>
    <row r="16">
      <c r="B16" s="6" t="inlineStr">
        <is>
          <t>Main caracteristics</t>
        </is>
      </c>
      <c r="D16" s="188" t="n"/>
      <c r="E16" s="7" t="n"/>
      <c r="F16" s="7" t="n"/>
      <c r="G16" s="7" t="n"/>
      <c r="H16" s="7" t="n"/>
      <c r="I16" s="7" t="n"/>
      <c r="J16" s="7" t="n"/>
      <c r="K16" s="7" t="n"/>
      <c r="L16" s="7" t="n"/>
      <c r="M16" s="7" t="n"/>
    </row>
    <row r="17" outlineLevel="1">
      <c r="B17" s="117" t="inlineStr">
        <is>
          <t>MSRP (VAT Included</t>
        </is>
      </c>
      <c r="D17" s="249" t="n"/>
      <c r="E17" s="7" t="n"/>
      <c r="F17" s="7" t="n"/>
      <c r="G17" s="7" t="n"/>
      <c r="H17" s="7" t="n"/>
      <c r="I17" s="7" t="n"/>
      <c r="J17" s="7" t="n"/>
      <c r="K17" s="7" t="n"/>
      <c r="L17" s="7" t="n"/>
      <c r="M17" s="7" t="n"/>
    </row>
    <row r="18" outlineLevel="1">
      <c r="B18" s="4" t="inlineStr">
        <is>
          <t>Discount HMF (VAT included)</t>
        </is>
      </c>
      <c r="D18" s="249" t="n"/>
      <c r="E18" s="7" t="n"/>
      <c r="F18" s="7" t="n"/>
      <c r="G18" s="7" t="n"/>
      <c r="H18" s="7" t="n"/>
      <c r="I18" s="7" t="n"/>
      <c r="J18" s="7" t="n"/>
      <c r="K18" s="7" t="n"/>
      <c r="L18" s="7" t="n"/>
      <c r="M18" s="7" t="n"/>
    </row>
    <row r="19" outlineLevel="1">
      <c r="B19" s="4" t="inlineStr">
        <is>
          <t>MSRP discounted (VAT included)</t>
        </is>
      </c>
      <c r="D19" s="250" t="n"/>
      <c r="E19" s="7" t="n"/>
      <c r="F19" s="7" t="n"/>
      <c r="G19" s="7" t="n"/>
      <c r="H19" s="7" t="n"/>
      <c r="I19" s="7" t="n"/>
      <c r="J19" s="7" t="n"/>
      <c r="K19" s="7" t="n"/>
      <c r="L19" s="7" t="n"/>
      <c r="M19" s="7" t="n"/>
      <c r="N19" s="251" t="n"/>
    </row>
    <row r="20" outlineLevel="1">
      <c r="B20" s="4" t="inlineStr">
        <is>
          <t>Down payment (VAT included)</t>
        </is>
      </c>
      <c r="D20" s="249">
        <f>compensation!B4</f>
        <v/>
      </c>
      <c r="E20" s="7" t="n"/>
      <c r="F20" s="7" t="n"/>
      <c r="G20" s="7" t="n"/>
      <c r="H20" s="7" t="n"/>
      <c r="I20" s="7" t="n"/>
      <c r="J20" s="7" t="n"/>
      <c r="K20" s="7" t="n"/>
      <c r="L20" s="7" t="n"/>
      <c r="M20" s="7" t="n"/>
      <c r="N20" s="251" t="n"/>
    </row>
    <row r="21" outlineLevel="1">
      <c r="B21" s="4" t="inlineStr">
        <is>
          <t>Financed amount (VAT included)</t>
        </is>
      </c>
      <c r="D21" s="250" t="n"/>
      <c r="E21" s="7" t="n"/>
      <c r="F21" s="7" t="n"/>
      <c r="G21" s="7" t="n"/>
      <c r="H21" s="7" t="n"/>
      <c r="I21" s="7" t="n"/>
      <c r="J21" s="7" t="n"/>
      <c r="K21" s="7" t="n"/>
      <c r="L21" s="7" t="n"/>
      <c r="M21" s="7" t="n"/>
    </row>
    <row r="22" ht="11.25" customHeight="1">
      <c r="B22" s="4" t="inlineStr">
        <is>
          <t>Financed amount (HT)</t>
        </is>
      </c>
      <c r="D22" s="252">
        <f>+compensation!B5</f>
        <v/>
      </c>
      <c r="E22" s="253" t="n"/>
      <c r="F22" s="253" t="n"/>
      <c r="G22" s="253" t="n"/>
      <c r="H22" s="253" t="n"/>
      <c r="I22" s="253" t="n"/>
      <c r="J22" s="253" t="n"/>
      <c r="K22" s="253" t="n"/>
      <c r="L22" s="253" t="n"/>
      <c r="M22" s="253" t="n"/>
    </row>
    <row r="23" outlineLevel="1" ht="11.25" customHeight="1">
      <c r="B23" s="4" t="inlineStr">
        <is>
          <t>Durée</t>
        </is>
      </c>
      <c r="D23" s="254">
        <f>+IF(D20=0,D24,D24-1)</f>
        <v/>
      </c>
      <c r="E23" s="255" t="n"/>
      <c r="F23" s="255" t="n"/>
      <c r="G23" s="255" t="n"/>
      <c r="H23" s="255" t="n"/>
      <c r="I23" s="255" t="n"/>
      <c r="J23" s="255" t="n"/>
      <c r="K23" s="255" t="n"/>
      <c r="L23" s="255" t="n"/>
      <c r="M23" s="255" t="n"/>
      <c r="N23" s="256" t="n"/>
    </row>
    <row r="24" ht="11.25" customHeight="1">
      <c r="B24" s="4" t="inlineStr">
        <is>
          <t>Duration with linear first payment</t>
        </is>
      </c>
      <c r="D24" s="254">
        <f>compensation!B7</f>
        <v/>
      </c>
      <c r="E24" s="255" t="n"/>
      <c r="F24" s="255" t="n"/>
      <c r="G24" s="255" t="n"/>
      <c r="H24" s="255" t="n"/>
      <c r="I24" s="255" t="n"/>
      <c r="J24" s="255" t="n"/>
      <c r="K24" s="255" t="n"/>
      <c r="L24" s="255" t="n"/>
      <c r="M24" s="255" t="n"/>
      <c r="N24" s="257" t="n"/>
    </row>
    <row r="25">
      <c r="B25" s="4" t="inlineStr">
        <is>
          <t>Reference Rate</t>
        </is>
      </c>
      <c r="D25" s="210">
        <f>+compensation!B8</f>
        <v/>
      </c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93" t="n"/>
      <c r="O25" s="93" t="n"/>
    </row>
    <row r="26">
      <c r="B26" s="4" t="inlineStr">
        <is>
          <t>Customer APR (Promo rate)</t>
        </is>
      </c>
      <c r="D26" s="211">
        <f>+compensation!B11</f>
        <v/>
      </c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  <c r="N26" s="93" t="n"/>
    </row>
    <row r="27">
      <c r="B27" s="4" t="inlineStr">
        <is>
          <t>Residual Value (% of the financed amount)</t>
        </is>
      </c>
      <c r="D27" s="211">
        <f>+D29/D22</f>
        <v/>
      </c>
      <c r="E27" s="10" t="n"/>
      <c r="F27" s="10" t="n"/>
      <c r="G27" s="10" t="n"/>
      <c r="H27" s="10" t="n"/>
      <c r="I27" s="10" t="n"/>
      <c r="J27" s="10" t="n"/>
      <c r="K27" s="10" t="n"/>
      <c r="L27" s="10" t="n"/>
      <c r="M27" s="10" t="n"/>
    </row>
    <row r="28" hidden="1" outlineLevel="1">
      <c r="B28" s="4" t="inlineStr">
        <is>
          <t>Amount of the RV (in € - VAT included)</t>
        </is>
      </c>
      <c r="D28" s="258" t="n"/>
      <c r="E28" s="258">
        <f>IF(E22=0,"",E27*E22)</f>
        <v/>
      </c>
      <c r="F28" s="258">
        <f>IF(F22=0,"",F27*F22)</f>
        <v/>
      </c>
      <c r="G28" s="258">
        <f>IF(G22=0,"",G27*G22)</f>
        <v/>
      </c>
      <c r="H28" s="258">
        <f>IF(H22=0,"",H27*H22)</f>
        <v/>
      </c>
      <c r="I28" s="258">
        <f>IF(I22=0,"",I27*I22)</f>
        <v/>
      </c>
      <c r="J28" s="258">
        <f>IF(J22=0,"",J27*J22)</f>
        <v/>
      </c>
      <c r="K28" s="258">
        <f>IF(K22=0,"",K27*K22)</f>
        <v/>
      </c>
      <c r="L28" s="258">
        <f>IF(L22=0,"",L27*L22)</f>
        <v/>
      </c>
      <c r="M28" s="259">
        <f>IF(M22=0,"",M27*M22)</f>
        <v/>
      </c>
      <c r="N28" s="183">
        <f>+D28/D17</f>
        <v/>
      </c>
      <c r="O28" s="184" t="n"/>
      <c r="P28" s="260" t="n"/>
    </row>
    <row r="29" collapsed="1" ht="11.45" customHeight="1">
      <c r="B29" s="4" t="inlineStr">
        <is>
          <t>Amount of the RV (in € - HT)</t>
        </is>
      </c>
      <c r="D29" s="252">
        <f>+compensation!B9</f>
        <v/>
      </c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9" t="n"/>
      <c r="N29" s="261">
        <f>+D29/D22</f>
        <v/>
      </c>
      <c r="P29" s="260" t="n"/>
    </row>
    <row r="30" hidden="1" outlineLevel="1">
      <c r="B30" s="2" t="inlineStr">
        <is>
          <t>VAT rate</t>
        </is>
      </c>
      <c r="D30" s="88" t="n"/>
      <c r="E30" s="258" t="n"/>
      <c r="F30" s="258" t="n"/>
      <c r="G30" s="258" t="n"/>
      <c r="H30" s="258" t="n"/>
      <c r="I30" s="258" t="n"/>
      <c r="J30" s="258" t="n"/>
      <c r="K30" s="258" t="n"/>
      <c r="L30" s="258" t="n"/>
      <c r="M30" s="259" t="n"/>
      <c r="N30" s="185" t="n"/>
      <c r="O30" s="185" t="n"/>
      <c r="P30" s="260" t="n"/>
    </row>
    <row r="31" collapsed="1">
      <c r="D31" s="188" t="n"/>
      <c r="E31" s="7" t="n"/>
      <c r="F31" s="7" t="n"/>
      <c r="G31" s="7" t="n"/>
      <c r="H31" s="7" t="n"/>
      <c r="I31" s="7" t="n"/>
      <c r="J31" s="7" t="n"/>
      <c r="K31" s="7" t="n"/>
      <c r="L31" s="7" t="n"/>
      <c r="M31" s="7" t="n"/>
      <c r="N31" s="185" t="n"/>
      <c r="O31" s="262" t="n"/>
    </row>
    <row r="32" ht="21" customHeight="1">
      <c r="B32" s="6" t="inlineStr">
        <is>
          <t>Dealer commission</t>
        </is>
      </c>
      <c r="D32" s="188" t="n"/>
      <c r="E32" s="7" t="n"/>
      <c r="F32" s="7" t="n"/>
      <c r="G32" s="7" t="n"/>
      <c r="H32" s="7" t="n"/>
      <c r="I32" s="7" t="n"/>
      <c r="J32" s="7" t="n"/>
      <c r="K32" s="7" t="n"/>
      <c r="L32" s="7" t="n"/>
      <c r="M32" s="7" t="n"/>
      <c r="N32" s="185" t="n"/>
      <c r="O32" s="185" t="n"/>
    </row>
    <row r="33" hidden="1" outlineLevel="1">
      <c r="B33" s="4" t="inlineStr">
        <is>
          <t>Standard commission of the reference rate (average)</t>
        </is>
      </c>
      <c r="D33" s="88" t="n">
        <v>0</v>
      </c>
      <c r="E33" s="211">
        <f>IF(E22=0,"",2.5%)</f>
        <v/>
      </c>
      <c r="F33" s="211">
        <f>IF(F22=0,"",2.5%)</f>
        <v/>
      </c>
      <c r="G33" s="211">
        <f>IF(G22=0,"",2.5%)</f>
        <v/>
      </c>
      <c r="H33" s="211">
        <f>IF(H22=0,"",2.5%)</f>
        <v/>
      </c>
      <c r="I33" s="211">
        <f>IF(I22=0,"",2.5%)</f>
        <v/>
      </c>
      <c r="J33" s="211">
        <f>IF(J22=0,"",2.5%)</f>
        <v/>
      </c>
      <c r="K33" s="211">
        <f>IF(K22=0,"",2.5%)</f>
        <v/>
      </c>
      <c r="L33" s="211">
        <f>IF(L22=0,"",2.5%)</f>
        <v/>
      </c>
      <c r="M33" s="211">
        <f>IF(M22=0,"",2.5%)</f>
        <v/>
      </c>
      <c r="N33" s="185" t="n"/>
      <c r="O33" s="185" t="n"/>
    </row>
    <row r="34" collapsed="1">
      <c r="B34" s="4" t="inlineStr">
        <is>
          <t>Commission agreed with the OEM</t>
        </is>
      </c>
      <c r="D34" s="181" t="n"/>
      <c r="E34" s="10" t="n"/>
      <c r="F34" s="10" t="n"/>
      <c r="G34" s="10" t="n"/>
      <c r="H34" s="10" t="n"/>
      <c r="I34" s="10" t="n"/>
      <c r="J34" s="10" t="n"/>
      <c r="K34" s="10" t="n"/>
      <c r="L34" s="10" t="n"/>
      <c r="M34" s="10" t="n"/>
      <c r="N34" s="185" t="n"/>
      <c r="O34" s="185" t="n"/>
    </row>
    <row r="35"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  <c r="M35" s="7" t="n"/>
      <c r="N35" s="185" t="n"/>
      <c r="O35" s="185" t="n"/>
      <c r="R35" s="120" t="n"/>
    </row>
    <row r="36" ht="21" customHeight="1">
      <c r="B36" s="119" t="inlineStr">
        <is>
          <t xml:space="preserve"> Subsidies (rate / prod)</t>
        </is>
      </c>
      <c r="D36" s="8">
        <f>IF(D1=0,"",(D25*D40-D33)-(D26*D43-D34))</f>
        <v/>
      </c>
      <c r="E36" s="8">
        <f>IF(E1=0,"",(E25*E40-E33)-(E26*E43-E34))</f>
        <v/>
      </c>
      <c r="F36" s="8">
        <f>IF(F1=0,"",(F25*F40-F33)-(F26*F43-F34))</f>
        <v/>
      </c>
      <c r="G36" s="8">
        <f>IF(G1=0,"",(G25*G40-G33)-(G26*G43-G34))</f>
        <v/>
      </c>
      <c r="H36" s="8">
        <f>IF(H1=0,"",(H25*H40-H33)-(H26*H43-H34))</f>
        <v/>
      </c>
      <c r="I36" s="8">
        <f>IF(I1=0,"",(I25*I40-I33)-(I26*I43-I34))</f>
        <v/>
      </c>
      <c r="J36" s="8">
        <f>IF(J1=0,"",(J25*J40-J33)-(J26*J43-J34))</f>
        <v/>
      </c>
      <c r="K36" s="8">
        <f>IF(K1=0,"",(K25*K40-K33)-(K26*K43-K34))</f>
        <v/>
      </c>
      <c r="L36" s="8">
        <f>IF(L1=0,"",(L25*L40-L33)-(L26*L43-L34))</f>
        <v/>
      </c>
      <c r="M36" s="8">
        <f>IF(M1=0,"",(M25*M40-M33)-(M26*M43-M34))</f>
        <v/>
      </c>
      <c r="N36" s="185" t="n"/>
      <c r="O36" s="185" t="n"/>
      <c r="R36" s="120" t="n"/>
    </row>
    <row r="37" ht="21" customHeight="1">
      <c r="B37" s="119" t="inlineStr">
        <is>
          <t>Subsidies per unit (in €) - VAT excluded</t>
        </is>
      </c>
      <c r="D37" s="263">
        <f>IF(D36="","",D22*D36)</f>
        <v/>
      </c>
      <c r="E37" s="8" t="n"/>
      <c r="F37" s="8" t="n"/>
      <c r="G37" s="8" t="n"/>
      <c r="H37" s="8" t="n"/>
      <c r="I37" s="8" t="n"/>
      <c r="J37" s="8" t="n"/>
      <c r="K37" s="8" t="n"/>
      <c r="L37" s="8" t="n"/>
      <c r="M37" s="90" t="n"/>
      <c r="N37" s="264">
        <f>+D37*1.2</f>
        <v/>
      </c>
      <c r="O37" s="184" t="inlineStr">
        <is>
          <t>with VAT</t>
        </is>
      </c>
      <c r="P37" s="260" t="n"/>
      <c r="Q37" s="265" t="n"/>
      <c r="R37" s="266" t="n"/>
    </row>
    <row r="38" ht="21" customHeight="1">
      <c r="B38" s="119" t="inlineStr">
        <is>
          <t>Monthly payment - VAT excluded</t>
        </is>
      </c>
      <c r="D38" s="263">
        <f>CALCULETTE!C632</f>
        <v/>
      </c>
      <c r="E38" s="8" t="n"/>
      <c r="F38" s="8" t="n"/>
      <c r="G38" s="8" t="n"/>
      <c r="H38" s="8" t="n"/>
      <c r="I38" s="8" t="n"/>
      <c r="J38" s="8" t="n"/>
      <c r="K38" s="8" t="n"/>
      <c r="L38" s="8" t="n"/>
      <c r="M38" s="8" t="n"/>
      <c r="N38" s="264">
        <f>+(ROUND(PMT(D26/12,IF(IF(D20=0,0,1)&gt;0,+D24-1,D24-0),-(FV(D26/12,0,0/(1+D30),-(((1-ROUND(D20/D19,5))/(1+D30))-0)*(1+D26*(+D24-(IF(IF(D20=0,0,1)&gt;0,+D24-1,D24-0)+0))/12),1)),ROUND(+D28/D19,5)/(1+D30)-0,1)*(1+D30),6)*D19)</f>
        <v/>
      </c>
      <c r="O38" s="184" t="inlineStr">
        <is>
          <t>with VAT</t>
        </is>
      </c>
      <c r="P38" s="265" t="n"/>
      <c r="Q38" s="267" t="n"/>
    </row>
    <row r="39">
      <c r="D39" s="120" t="n"/>
      <c r="E39" s="120" t="n"/>
    </row>
    <row r="40" hidden="1" outlineLevel="1" customFormat="1" s="36">
      <c r="B40" s="34" t="inlineStr">
        <is>
          <t>Ratio Outstanding/Production with Reference Rate</t>
        </is>
      </c>
      <c r="D40" s="268">
        <f>IF(D$1=0,"",SUM(D53:D232)/12)</f>
        <v/>
      </c>
      <c r="E40" s="268">
        <f>IF(E$1=0,"",SUM(E53:E232)/12)</f>
        <v/>
      </c>
      <c r="F40" s="268">
        <f>IF(F$1=0,"",SUM(F53:F232)/12)</f>
        <v/>
      </c>
      <c r="G40" s="268">
        <f>IF(G$1=0,"",SUM(G53:G232)/12)</f>
        <v/>
      </c>
      <c r="H40" s="268">
        <f>IF(H$1=0,"",SUM(H53:H232)/12)</f>
        <v/>
      </c>
      <c r="I40" s="268">
        <f>IF(I$1=0,"",SUM(I53:I232)/12)</f>
        <v/>
      </c>
      <c r="J40" s="268">
        <f>IF(J$1=0,"",SUM(J53:J232)/12)</f>
        <v/>
      </c>
      <c r="K40" s="268">
        <f>IF(K$1=0,"",SUM(K53:K232)/12)</f>
        <v/>
      </c>
      <c r="L40" s="268">
        <f>IF(L$1=0,"",SUM(L53:L232)/12)</f>
        <v/>
      </c>
      <c r="M40" s="268">
        <f>IF(M$1=0,"",SUM(M53:M232)/12)</f>
        <v/>
      </c>
      <c r="O40" s="267" t="n"/>
      <c r="P40" s="269" t="n"/>
    </row>
    <row r="41" hidden="1" outlineLevel="1" customFormat="1" s="36">
      <c r="B41" s="81" t="inlineStr">
        <is>
          <t>Outstandings</t>
        </is>
      </c>
      <c r="D41" s="270">
        <f>D40*D22</f>
        <v/>
      </c>
      <c r="E41" s="271" t="n"/>
      <c r="F41" s="271" t="n"/>
      <c r="G41" s="271" t="n"/>
      <c r="H41" s="271" t="n"/>
      <c r="I41" s="271" t="n"/>
      <c r="J41" s="271" t="n"/>
      <c r="K41" s="271" t="n"/>
      <c r="L41" s="271" t="n"/>
      <c r="M41" s="271" t="n"/>
      <c r="P41" s="260" t="n"/>
    </row>
    <row r="42" hidden="1" outlineLevel="1" customFormat="1" s="30">
      <c r="B42" s="31" t="inlineStr">
        <is>
          <t>Interest generated with Reference Rate</t>
        </is>
      </c>
      <c r="D42" s="272">
        <f>IF(D22=0,"",D40*D22*D25)</f>
        <v/>
      </c>
      <c r="E42" s="272">
        <f>IF(E22=0,"",E40*E22*E25)</f>
        <v/>
      </c>
      <c r="F42" s="272">
        <f>IF(F22=0,"",F40*F22*F25)</f>
        <v/>
      </c>
      <c r="G42" s="272">
        <f>IF(G22=0,"",G40*G22*G25)</f>
        <v/>
      </c>
      <c r="H42" s="272">
        <f>IF(H22=0,"",H40*H22*H25)</f>
        <v/>
      </c>
      <c r="I42" s="272">
        <f>IF(I22=0,"",I40*I22*I25)</f>
        <v/>
      </c>
      <c r="J42" s="272">
        <f>IF(J22=0,"",J40*J22*J25)</f>
        <v/>
      </c>
      <c r="K42" s="272">
        <f>IF(K22=0,"",K40*K22*K25)</f>
        <v/>
      </c>
      <c r="L42" s="272">
        <f>IF(L22=0,"",L40*L22*L25)</f>
        <v/>
      </c>
      <c r="M42" s="272">
        <f>IF(M22=0,"",M40*M22*M25)</f>
        <v/>
      </c>
      <c r="P42" s="260" t="n"/>
    </row>
    <row r="43" hidden="1" outlineLevel="1" customFormat="1" s="36">
      <c r="B43" s="34" t="inlineStr">
        <is>
          <t>Ration O/P With Promo campaign</t>
        </is>
      </c>
      <c r="D43" s="268">
        <f>IF(D$1=0,"",SUM(D235:D596)/12)</f>
        <v/>
      </c>
      <c r="E43" s="268">
        <f>IF(E$1=0,"",SUM(E235:E596)/12)</f>
        <v/>
      </c>
      <c r="F43" s="268">
        <f>IF(F$1=0,"",SUM(F235:F596)/12)</f>
        <v/>
      </c>
      <c r="G43" s="268">
        <f>IF(G$1=0,"",SUM(G235:G596)/12)</f>
        <v/>
      </c>
      <c r="H43" s="268">
        <f>IF(H$1=0,"",SUM(H235:H596)/12)</f>
        <v/>
      </c>
      <c r="I43" s="268">
        <f>IF(I$1=0,"",SUM(I235:I596)/12)</f>
        <v/>
      </c>
      <c r="J43" s="268">
        <f>IF(J$1=0,"",SUM(J235:J596)/12)</f>
        <v/>
      </c>
      <c r="K43" s="268">
        <f>IF(K$1=0,"",SUM(K235:K596)/12)</f>
        <v/>
      </c>
      <c r="L43" s="268">
        <f>IF(L$1=0,"",SUM(L235:L596)/12)</f>
        <v/>
      </c>
      <c r="M43" s="268">
        <f>IF(M$1=0,"",SUM(M235:M596)/12)</f>
        <v/>
      </c>
    </row>
    <row r="44" hidden="1" outlineLevel="1" customFormat="1" s="36">
      <c r="B44" s="81" t="inlineStr">
        <is>
          <t>Outstandings</t>
        </is>
      </c>
      <c r="D44" s="270">
        <f>D43*D22</f>
        <v/>
      </c>
      <c r="E44" s="271" t="n"/>
      <c r="F44" s="271" t="n"/>
      <c r="G44" s="271" t="n"/>
      <c r="H44" s="271" t="n"/>
      <c r="I44" s="271" t="n"/>
      <c r="J44" s="271" t="n"/>
      <c r="K44" s="271" t="n"/>
      <c r="L44" s="271" t="n"/>
      <c r="M44" s="271" t="n"/>
      <c r="P44" s="260" t="n"/>
    </row>
    <row r="45" hidden="1" outlineLevel="1" customFormat="1" s="30">
      <c r="B45" s="31" t="inlineStr">
        <is>
          <t>Interests generated with Promo Rate</t>
        </is>
      </c>
      <c r="D45" s="273">
        <f>IF(D22=0,"",D43*D22*D26)</f>
        <v/>
      </c>
      <c r="E45" s="273">
        <f>IF(E22=0,"",E43*E22*E26)</f>
        <v/>
      </c>
      <c r="F45" s="273">
        <f>IF(F22=0,"",F43*F22*F26)</f>
        <v/>
      </c>
      <c r="G45" s="273">
        <f>IF(G22=0,"",G43*G22*G26)</f>
        <v/>
      </c>
      <c r="H45" s="273">
        <f>IF(H22=0,"",H43*H22*H26)</f>
        <v/>
      </c>
      <c r="I45" s="273">
        <f>IF(I22=0,"",I43*I22*I26)</f>
        <v/>
      </c>
      <c r="J45" s="273">
        <f>IF(J22=0,"",J43*J22*J26)</f>
        <v/>
      </c>
      <c r="K45" s="273">
        <f>IF(K22=0,"",K43*K22*K26)</f>
        <v/>
      </c>
      <c r="L45" s="273">
        <f>IF(L22=0,"",L43*L22*L26)</f>
        <v/>
      </c>
      <c r="M45" s="273">
        <f>IF(M22=0,"",M43*M22*M26)</f>
        <v/>
      </c>
      <c r="O45" s="274" t="n"/>
      <c r="P45" s="260" t="n"/>
    </row>
    <row r="46" hidden="1" outlineLevel="1" customFormat="1" s="30">
      <c r="B46" s="37" t="inlineStr">
        <is>
          <t>Ecart de rémunération</t>
        </is>
      </c>
      <c r="C46" s="1" t="n"/>
      <c r="D46" s="275">
        <f>IF(D22=0,"",D42-D45)</f>
        <v/>
      </c>
      <c r="E46" s="275">
        <f>IF(E22=0,"",E42-E45)</f>
        <v/>
      </c>
      <c r="F46" s="275">
        <f>IF(F22=0,"",F42-F45)</f>
        <v/>
      </c>
      <c r="G46" s="275">
        <f>IF(G22=0,"",G42-G45)</f>
        <v/>
      </c>
      <c r="H46" s="275">
        <f>IF(H22=0,"",H42-H45)</f>
        <v/>
      </c>
      <c r="I46" s="275">
        <f>IF(I22=0,"",I42-I45)</f>
        <v/>
      </c>
      <c r="J46" s="275">
        <f>IF(J22=0,"",J42-J45)</f>
        <v/>
      </c>
      <c r="K46" s="275">
        <f>IF(K22=0,"",K42-K45)</f>
        <v/>
      </c>
      <c r="L46" s="275">
        <f>IF(L22=0,"",L42-L45)</f>
        <v/>
      </c>
      <c r="M46" s="275">
        <f>IF(M22=0,"",M42-M45)</f>
        <v/>
      </c>
      <c r="O46" s="274" t="n"/>
    </row>
    <row r="47" hidden="1" outlineLevel="1">
      <c r="B47" s="38" t="inlineStr">
        <is>
          <t>Standard Commissions (reference)</t>
        </is>
      </c>
      <c r="D47" s="276">
        <f>IF(D22=0,"",D33*D22)</f>
        <v/>
      </c>
      <c r="E47" s="276">
        <f>IF(E22=0,"",E33*E22)</f>
        <v/>
      </c>
      <c r="F47" s="276">
        <f>IF(F22=0,"",F33*F22)</f>
        <v/>
      </c>
      <c r="G47" s="276">
        <f>IF(G22=0,"",G33*G22)</f>
        <v/>
      </c>
      <c r="H47" s="276">
        <f>IF(H22=0,"",H33*H22)</f>
        <v/>
      </c>
      <c r="I47" s="276">
        <f>IF(I22=0,"",I33*I22)</f>
        <v/>
      </c>
      <c r="J47" s="276">
        <f>IF(J22=0,"",J33*J22)</f>
        <v/>
      </c>
      <c r="K47" s="276">
        <f>IF(K22=0,"",K33*K22)</f>
        <v/>
      </c>
      <c r="L47" s="276">
        <f>IF(L22=0,"",L33*L22)</f>
        <v/>
      </c>
      <c r="M47" s="276">
        <f>IF(M22=0,"",M33*M22)</f>
        <v/>
      </c>
    </row>
    <row r="48" hidden="1" outlineLevel="1">
      <c r="B48" s="38" t="inlineStr">
        <is>
          <t>commissions agreed with the OEM</t>
        </is>
      </c>
      <c r="D48" s="276">
        <f>IF(D22=0,"",D22*D34)</f>
        <v/>
      </c>
      <c r="E48" s="276">
        <f>IF(E22=0,"",E22*E34)</f>
        <v/>
      </c>
      <c r="F48" s="276">
        <f>IF(F22=0,"",F22*F34)</f>
        <v/>
      </c>
      <c r="G48" s="276">
        <f>IF(G22=0,"",G22*G34)</f>
        <v/>
      </c>
      <c r="H48" s="276">
        <f>IF(H22=0,"",H22*H34)</f>
        <v/>
      </c>
      <c r="I48" s="276">
        <f>IF(I22=0,"",I22*I34)</f>
        <v/>
      </c>
      <c r="J48" s="276">
        <f>IF(J22=0,"",J22*J34)</f>
        <v/>
      </c>
      <c r="K48" s="276">
        <f>IF(K22=0,"",K22*K34)</f>
        <v/>
      </c>
      <c r="L48" s="276">
        <f>IF(L22=0,"",L22*L34)</f>
        <v/>
      </c>
      <c r="M48" s="276">
        <f>IF(M22=0,"",M22*M34)</f>
        <v/>
      </c>
      <c r="O48" s="265" t="n"/>
    </row>
    <row r="49" hidden="1" outlineLevel="1">
      <c r="B49" s="39" t="inlineStr">
        <is>
          <t>Commission delta (standard - agreed)</t>
        </is>
      </c>
      <c r="D49" s="277">
        <f>IF(D22=0,"",D47-D48)</f>
        <v/>
      </c>
      <c r="E49" s="277">
        <f>IF(E22=0,"",E47-E48)</f>
        <v/>
      </c>
      <c r="F49" s="277">
        <f>IF(F22=0,"",F47-F48)</f>
        <v/>
      </c>
      <c r="G49" s="277">
        <f>IF(G22=0,"",G47-G48)</f>
        <v/>
      </c>
      <c r="H49" s="277">
        <f>IF(H22=0,"",H47-H48)</f>
        <v/>
      </c>
      <c r="I49" s="277">
        <f>IF(I22=0,"",I47-I48)</f>
        <v/>
      </c>
      <c r="J49" s="277">
        <f>IF(J22=0,"",J47-J48)</f>
        <v/>
      </c>
      <c r="K49" s="277">
        <f>IF(K22=0,"",K47-K48)</f>
        <v/>
      </c>
      <c r="L49" s="277">
        <f>IF(L22=0,"",L47-L48)</f>
        <v/>
      </c>
      <c r="M49" s="277">
        <f>IF(M22=0,"",M47-M48)</f>
        <v/>
      </c>
      <c r="O49" s="265" t="n"/>
      <c r="P49" s="260" t="n"/>
    </row>
    <row r="50" collapsed="1">
      <c r="D50" s="278" t="n"/>
    </row>
    <row r="51">
      <c r="D51" s="278" t="n"/>
    </row>
    <row r="52" hidden="1" outlineLevel="1">
      <c r="B52" s="21" t="inlineStr">
        <is>
          <t>amort tx std</t>
        </is>
      </c>
      <c r="R52" s="1" t="n">
        <v>607.7036000000001</v>
      </c>
    </row>
    <row r="53" hidden="1" outlineLevel="1">
      <c r="B53" s="2" t="n">
        <v>0</v>
      </c>
      <c r="D53" s="279">
        <f>IF(B53&lt;$D$24,(+CALCULETTE!T632/CALCULETTE!$B$612),0)</f>
        <v/>
      </c>
      <c r="E53" s="279">
        <f>IF(E$1=0,"",1)</f>
        <v/>
      </c>
      <c r="F53" s="279">
        <f>IF(F$1=0,"",1)</f>
        <v/>
      </c>
      <c r="G53" s="279">
        <f>IF(G$1=0,"",1)</f>
        <v/>
      </c>
      <c r="H53" s="279">
        <f>IF(H$1=0,"",1)</f>
        <v/>
      </c>
      <c r="I53" s="279">
        <f>IF(I$1=0,"",1)</f>
        <v/>
      </c>
      <c r="J53" s="279">
        <f>IF(J$1=0,"",1)</f>
        <v/>
      </c>
      <c r="K53" s="279">
        <f>IF(K$1=0,"",1)</f>
        <v/>
      </c>
      <c r="L53" s="279">
        <f>IF(L$1=0,"",1)</f>
        <v/>
      </c>
      <c r="M53" s="279">
        <f>IF(M$1=0,"",1)</f>
        <v/>
      </c>
      <c r="N53" s="280" t="n"/>
      <c r="O53" s="281" t="n"/>
      <c r="R53" s="1" t="n">
        <v>789.7107</v>
      </c>
    </row>
    <row r="54" hidden="1" outlineLevel="1">
      <c r="B54" s="2">
        <f>B53+1</f>
        <v/>
      </c>
      <c r="D54" s="279">
        <f>IF(B54&lt;$D$24,(+CALCULETTE!T633/CALCULETTE!$B$612),0)</f>
        <v/>
      </c>
      <c r="E54" s="279">
        <f>IF(E$1=0,"",IF($B54&lt;E$23,E53+PPMT(E$25/12,$B54,E$23,E$53,-E$27,0),IF($B54=E$23,E53+PPMT(E$25/12,$B54,E$23,E$53,-E$27,0)-E$27,0)))</f>
        <v/>
      </c>
      <c r="F54" s="279">
        <f>IF(F$1=0,"",IF($B54&lt;F$23,F53+PPMT(F$25/12,$B54,F$23,F$53,-F$27,0),IF($B54=F$23,F53+PPMT(F$25/12,$B54,F$23,F$53,-F$27,0)-F$27,0)))</f>
        <v/>
      </c>
      <c r="G54" s="279">
        <f>IF(G$1=0,"",IF($B54&lt;G$23,G53+PPMT(G$25/12,$B54,G$23,G$53,-G$27,0),IF($B54=G$23,G53+PPMT(G$25/12,$B54,G$23,G$53,-G$27,0)-G$27,0)))</f>
        <v/>
      </c>
      <c r="H54" s="279">
        <f>IF(H$1=0,"",IF($B54&lt;H$23,H53+PPMT(H$25/12,$B54,H$23,H$53,-H$27,0),IF($B54=H$23,H53+PPMT(H$25/12,$B54,H$23,H$53,-H$27,0)-H$27,0)))</f>
        <v/>
      </c>
      <c r="I54" s="279">
        <f>IF(I$1=0,"",IF($B54&lt;I$23,I53+PPMT(I$25/12,$B54,I$23,I$53,-I$27,0),IF($B54=I$23,I53+PPMT(I$25/12,$B54,I$23,I$53,-I$27,0)-I$27,0)))</f>
        <v/>
      </c>
      <c r="J54" s="279">
        <f>IF(J$1=0,"",IF($B54&lt;J$23,J53+PPMT(J$25/12,$B54,J$23,J$53,-J$27,0),IF($B54=J$23,J53+PPMT(J$25/12,$B54,J$23,J$53,-J$27,0)-J$27,0)))</f>
        <v/>
      </c>
      <c r="K54" s="279">
        <f>IF(K$1=0,"",IF($B54&lt;K$23,K53+PPMT(K$25/12,$B54,K$23,K$53,-K$27,0),IF($B54=K$23,K53+PPMT(K$25/12,$B54,K$23,K$53,-K$27,0)-K$27,0)))</f>
        <v/>
      </c>
      <c r="L54" s="279">
        <f>IF(L$1=0,"",IF($B54&lt;L$23,L53+PPMT(L$25/12,$B54,L$23,L$53,-L$27,0),IF($B54=L$23,L53+PPMT(L$25/12,$B54,L$23,L$53,-L$27,0)-L$27,0)))</f>
        <v/>
      </c>
      <c r="M54" s="279">
        <f>IF(M$1=0,"",IF($B54&lt;M$23,M53+PPMT(M$25/12,$B54,M$23,M$53,-M$27,0),IF($B54=M$23,M53+PPMT(M$25/12,$B54,M$23,M$53,-M$27,0)-M$27,0)))</f>
        <v/>
      </c>
      <c r="N54" s="280" t="n"/>
      <c r="O54" s="281" t="n"/>
      <c r="R54" s="1" t="n">
        <v>670.6819</v>
      </c>
    </row>
    <row r="55" hidden="1" outlineLevel="1">
      <c r="B55" s="2">
        <f>B54+1</f>
        <v/>
      </c>
      <c r="D55" s="279">
        <f>IF(B55&lt;$D$24,(+CALCULETTE!T634/CALCULETTE!$B$612),0)</f>
        <v/>
      </c>
      <c r="E55" s="279">
        <f>IF(E$1=0,"",IF($B55&lt;E$23,E54+PPMT(E$25/12,$B55,E$23,E$53,-E$27,0),IF($B55=E$23,E54+PPMT(E$25/12,$B55,E$23,E$53,-E$27,0)-E$27,0)))</f>
        <v/>
      </c>
      <c r="F55" s="279">
        <f>IF(F$1=0,"",IF($B55&lt;F$23,F54+PPMT(F$25/12,$B55,F$23,F$53,-F$27,0),IF($B55=F$23,F54+PPMT(F$25/12,$B55,F$23,F$53,-F$27,0)-F$27,0)))</f>
        <v/>
      </c>
      <c r="G55" s="279">
        <f>IF(G$1=0,"",IF($B55&lt;G$23,G54+PPMT(G$25/12,$B55,G$23,G$53,-G$27,0),IF($B55=G$23,G54+PPMT(G$25/12,$B55,G$23,G$53,-G$27,0)-G$27,0)))</f>
        <v/>
      </c>
      <c r="H55" s="279">
        <f>IF(H$1=0,"",IF($B55&lt;H$23,H54+PPMT(H$25/12,$B55,H$23,H$53,-H$27,0),IF($B55=H$23,H54+PPMT(H$25/12,$B55,H$23,H$53,-H$27,0)-H$27,0)))</f>
        <v/>
      </c>
      <c r="I55" s="279">
        <f>IF(I$1=0,"",IF($B55&lt;I$23,I54+PPMT(I$25/12,$B55,I$23,I$53,-I$27,0),IF($B55=I$23,I54+PPMT(I$25/12,$B55,I$23,I$53,-I$27,0)-I$27,0)))</f>
        <v/>
      </c>
      <c r="J55" s="279">
        <f>IF(J$1=0,"",IF($B55&lt;J$23,J54+PPMT(J$25/12,$B55,J$23,J$53,-J$27,0),IF($B55=J$23,J54+PPMT(J$25/12,$B55,J$23,J$53,-J$27,0)-J$27,0)))</f>
        <v/>
      </c>
      <c r="K55" s="279">
        <f>IF(K$1=0,"",IF($B55&lt;K$23,K54+PPMT(K$25/12,$B55,K$23,K$53,-K$27,0),IF($B55=K$23,K54+PPMT(K$25/12,$B55,K$23,K$53,-K$27,0)-K$27,0)))</f>
        <v/>
      </c>
      <c r="L55" s="279">
        <f>IF(L$1=0,"",IF($B55&lt;L$23,L54+PPMT(L$25/12,$B55,L$23,L$53,-L$27,0),IF($B55=L$23,L54+PPMT(L$25/12,$B55,L$23,L$53,-L$27,0)-L$27,0)))</f>
        <v/>
      </c>
      <c r="M55" s="279">
        <f>IF(M$1=0,"",IF($B55&lt;M$23,M54+PPMT(M$25/12,$B55,M$23,M$53,-M$27,0),IF($B55=M$23,M54+PPMT(M$25/12,$B55,M$23,M$53,-M$27,0)-M$27,0)))</f>
        <v/>
      </c>
      <c r="N55" s="280" t="n"/>
      <c r="O55" s="281" t="n"/>
      <c r="R55" s="1" t="n">
        <v>720.0637</v>
      </c>
    </row>
    <row r="56" hidden="1" outlineLevel="1">
      <c r="B56" s="2">
        <f>B55+1</f>
        <v/>
      </c>
      <c r="D56" s="279">
        <f>IF(B56&lt;$D$24,(+CALCULETTE!T635/CALCULETTE!$B$612),0)</f>
        <v/>
      </c>
      <c r="E56" s="279">
        <f>IF(E$1=0,"",IF($B56&lt;E$23,E55+PPMT(E$25/12,$B56,E$23,E$53,-E$27,0),IF($B56=E$23,E55+PPMT(E$25/12,$B56,E$23,E$53,-E$27,0)-E$27,0)))</f>
        <v/>
      </c>
      <c r="F56" s="279">
        <f>IF(F$1=0,"",IF($B56&lt;F$23,F55+PPMT(F$25/12,$B56,F$23,F$53,-F$27,0),IF($B56=F$23,F55+PPMT(F$25/12,$B56,F$23,F$53,-F$27,0)-F$27,0)))</f>
        <v/>
      </c>
      <c r="G56" s="279">
        <f>IF(G$1=0,"",IF($B56&lt;G$23,G55+PPMT(G$25/12,$B56,G$23,G$53,-G$27,0),IF($B56=G$23,G55+PPMT(G$25/12,$B56,G$23,G$53,-G$27,0)-G$27,0)))</f>
        <v/>
      </c>
      <c r="H56" s="279">
        <f>IF(H$1=0,"",IF($B56&lt;H$23,H55+PPMT(H$25/12,$B56,H$23,H$53,-H$27,0),IF($B56=H$23,H55+PPMT(H$25/12,$B56,H$23,H$53,-H$27,0)-H$27,0)))</f>
        <v/>
      </c>
      <c r="I56" s="279">
        <f>IF(I$1=0,"",IF($B56&lt;I$23,I55+PPMT(I$25/12,$B56,I$23,I$53,-I$27,0),IF($B56=I$23,I55+PPMT(I$25/12,$B56,I$23,I$53,-I$27,0)-I$27,0)))</f>
        <v/>
      </c>
      <c r="J56" s="279">
        <f>IF(J$1=0,"",IF($B56&lt;J$23,J55+PPMT(J$25/12,$B56,J$23,J$53,-J$27,0),IF($B56=J$23,J55+PPMT(J$25/12,$B56,J$23,J$53,-J$27,0)-J$27,0)))</f>
        <v/>
      </c>
      <c r="K56" s="279">
        <f>IF(K$1=0,"",IF($B56&lt;K$23,K55+PPMT(K$25/12,$B56,K$23,K$53,-K$27,0),IF($B56=K$23,K55+PPMT(K$25/12,$B56,K$23,K$53,-K$27,0)-K$27,0)))</f>
        <v/>
      </c>
      <c r="L56" s="279">
        <f>IF(L$1=0,"",IF($B56&lt;L$23,L55+PPMT(L$25/12,$B56,L$23,L$53,-L$27,0),IF($B56=L$23,L55+PPMT(L$25/12,$B56,L$23,L$53,-L$27,0)-L$27,0)))</f>
        <v/>
      </c>
      <c r="M56" s="279">
        <f>IF(M$1=0,"",IF($B56&lt;M$23,M55+PPMT(M$25/12,$B56,M$23,M$53,-M$27,0),IF($B56=M$23,M55+PPMT(M$25/12,$B56,M$23,M$53,-M$27,0)-M$27,0)))</f>
        <v/>
      </c>
      <c r="N56" s="280" t="n"/>
      <c r="O56" s="281" t="n"/>
      <c r="R56" s="1" t="n">
        <v>326.0798</v>
      </c>
    </row>
    <row r="57" hidden="1" outlineLevel="1">
      <c r="B57" s="2">
        <f>B56+1</f>
        <v/>
      </c>
      <c r="D57" s="279">
        <f>IF(B57&lt;$D$24,(+CALCULETTE!T636/CALCULETTE!$B$612),0)</f>
        <v/>
      </c>
      <c r="E57" s="279">
        <f>IF(E$1=0,"",IF($B57&lt;E$23,E56+PPMT(E$25/12,$B57,E$23,E$53,-E$27,0),IF($B57=E$23,E56+PPMT(E$25/12,$B57,E$23,E$53,-E$27,0)-E$27,0)))</f>
        <v/>
      </c>
      <c r="F57" s="279">
        <f>IF(F$1=0,"",IF($B57&lt;F$23,F56+PPMT(F$25/12,$B57,F$23,F$53,-F$27,0),IF($B57=F$23,F56+PPMT(F$25/12,$B57,F$23,F$53,-F$27,0)-F$27,0)))</f>
        <v/>
      </c>
      <c r="G57" s="279">
        <f>IF(G$1=0,"",IF($B57&lt;G$23,G56+PPMT(G$25/12,$B57,G$23,G$53,-G$27,0),IF($B57=G$23,G56+PPMT(G$25/12,$B57,G$23,G$53,-G$27,0)-G$27,0)))</f>
        <v/>
      </c>
      <c r="H57" s="279">
        <f>IF(H$1=0,"",IF($B57&lt;H$23,H56+PPMT(H$25/12,$B57,H$23,H$53,-H$27,0),IF($B57=H$23,H56+PPMT(H$25/12,$B57,H$23,H$53,-H$27,0)-H$27,0)))</f>
        <v/>
      </c>
      <c r="I57" s="279">
        <f>IF(I$1=0,"",IF($B57&lt;I$23,I56+PPMT(I$25/12,$B57,I$23,I$53,-I$27,0),IF($B57=I$23,I56+PPMT(I$25/12,$B57,I$23,I$53,-I$27,0)-I$27,0)))</f>
        <v/>
      </c>
      <c r="J57" s="279">
        <f>IF(J$1=0,"",IF($B57&lt;J$23,J56+PPMT(J$25/12,$B57,J$23,J$53,-J$27,0),IF($B57=J$23,J56+PPMT(J$25/12,$B57,J$23,J$53,-J$27,0)-J$27,0)))</f>
        <v/>
      </c>
      <c r="K57" s="279">
        <f>IF(K$1=0,"",IF($B57&lt;K$23,K56+PPMT(K$25/12,$B57,K$23,K$53,-K$27,0),IF($B57=K$23,K56+PPMT(K$25/12,$B57,K$23,K$53,-K$27,0)-K$27,0)))</f>
        <v/>
      </c>
      <c r="L57" s="279">
        <f>IF(L$1=0,"",IF($B57&lt;L$23,L56+PPMT(L$25/12,$B57,L$23,L$53,-L$27,0),IF($B57=L$23,L56+PPMT(L$25/12,$B57,L$23,L$53,-L$27,0)-L$27,0)))</f>
        <v/>
      </c>
      <c r="M57" s="279">
        <f>IF(M$1=0,"",IF($B57&lt;M$23,M56+PPMT(M$25/12,$B57,M$23,M$53,-M$27,0),IF($B57=M$23,M56+PPMT(M$25/12,$B57,M$23,M$53,-M$27,0)-M$27,0)))</f>
        <v/>
      </c>
      <c r="N57" s="280" t="n"/>
      <c r="O57" s="281" t="n"/>
      <c r="R57" s="1" t="n">
        <v>731.3092</v>
      </c>
    </row>
    <row r="58" hidden="1" outlineLevel="1">
      <c r="B58" s="2">
        <f>B57+1</f>
        <v/>
      </c>
      <c r="D58" s="279">
        <f>IF(B58&lt;$D$24,(+CALCULETTE!T637/CALCULETTE!$B$612),0)</f>
        <v/>
      </c>
      <c r="E58" s="279">
        <f>IF(E$1=0,"",IF($B58&lt;E$23,E57+PPMT(E$25/12,$B58,E$23,E$53,-E$27,0),IF($B58=E$23,E57+PPMT(E$25/12,$B58,E$23,E$53,-E$27,0)-E$27,0)))</f>
        <v/>
      </c>
      <c r="F58" s="279">
        <f>IF(F$1=0,"",IF($B58&lt;F$23,F57+PPMT(F$25/12,$B58,F$23,F$53,-F$27,0),IF($B58=F$23,F57+PPMT(F$25/12,$B58,F$23,F$53,-F$27,0)-F$27,0)))</f>
        <v/>
      </c>
      <c r="G58" s="279">
        <f>IF(G$1=0,"",IF($B58&lt;G$23,G57+PPMT(G$25/12,$B58,G$23,G$53,-G$27,0),IF($B58=G$23,G57+PPMT(G$25/12,$B58,G$23,G$53,-G$27,0)-G$27,0)))</f>
        <v/>
      </c>
      <c r="H58" s="279">
        <f>IF(H$1=0,"",IF($B58&lt;H$23,H57+PPMT(H$25/12,$B58,H$23,H$53,-H$27,0),IF($B58=H$23,H57+PPMT(H$25/12,$B58,H$23,H$53,-H$27,0)-H$27,0)))</f>
        <v/>
      </c>
      <c r="I58" s="279">
        <f>IF(I$1=0,"",IF($B58&lt;I$23,I57+PPMT(I$25/12,$B58,I$23,I$53,-I$27,0),IF($B58=I$23,I57+PPMT(I$25/12,$B58,I$23,I$53,-I$27,0)-I$27,0)))</f>
        <v/>
      </c>
      <c r="J58" s="279">
        <f>IF(J$1=0,"",IF($B58&lt;J$23,J57+PPMT(J$25/12,$B58,J$23,J$53,-J$27,0),IF($B58=J$23,J57+PPMT(J$25/12,$B58,J$23,J$53,-J$27,0)-J$27,0)))</f>
        <v/>
      </c>
      <c r="K58" s="279">
        <f>IF(K$1=0,"",IF($B58&lt;K$23,K57+PPMT(K$25/12,$B58,K$23,K$53,-K$27,0),IF($B58=K$23,K57+PPMT(K$25/12,$B58,K$23,K$53,-K$27,0)-K$27,0)))</f>
        <v/>
      </c>
      <c r="L58" s="279">
        <f>IF(L$1=0,"",IF($B58&lt;L$23,L57+PPMT(L$25/12,$B58,L$23,L$53,-L$27,0),IF($B58=L$23,L57+PPMT(L$25/12,$B58,L$23,L$53,-L$27,0)-L$27,0)))</f>
        <v/>
      </c>
      <c r="M58" s="279">
        <f>IF(M$1=0,"",IF($B58&lt;M$23,M57+PPMT(M$25/12,$B58,M$23,M$53,-M$27,0),IF($B58=M$23,M57+PPMT(M$25/12,$B58,M$23,M$53,-M$27,0)-M$27,0)))</f>
        <v/>
      </c>
      <c r="N58" s="280" t="n"/>
      <c r="O58" s="281" t="n"/>
      <c r="R58" s="1" t="n">
        <v>414.4938</v>
      </c>
    </row>
    <row r="59" hidden="1" outlineLevel="1">
      <c r="B59" s="2">
        <f>B58+1</f>
        <v/>
      </c>
      <c r="D59" s="279">
        <f>IF(B59&lt;$D$24,(+CALCULETTE!T638/CALCULETTE!$B$612),0)</f>
        <v/>
      </c>
      <c r="E59" s="279">
        <f>IF(E$1=0,"",IF($B59&lt;E$23,E58+PPMT(E$25/12,$B59,E$23,E$53,-E$27,0),IF($B59=E$23,E58+PPMT(E$25/12,$B59,E$23,E$53,-E$27,0)-E$27,0)))</f>
        <v/>
      </c>
      <c r="F59" s="279">
        <f>IF(F$1=0,"",IF($B59&lt;F$23,F58+PPMT(F$25/12,$B59,F$23,F$53,-F$27,0),IF($B59=F$23,F58+PPMT(F$25/12,$B59,F$23,F$53,-F$27,0)-F$27,0)))</f>
        <v/>
      </c>
      <c r="G59" s="279">
        <f>IF(G$1=0,"",IF($B59&lt;G$23,G58+PPMT(G$25/12,$B59,G$23,G$53,-G$27,0),IF($B59=G$23,G58+PPMT(G$25/12,$B59,G$23,G$53,-G$27,0)-G$27,0)))</f>
        <v/>
      </c>
      <c r="H59" s="279">
        <f>IF(H$1=0,"",IF($B59&lt;H$23,H58+PPMT(H$25/12,$B59,H$23,H$53,-H$27,0),IF($B59=H$23,H58+PPMT(H$25/12,$B59,H$23,H$53,-H$27,0)-H$27,0)))</f>
        <v/>
      </c>
      <c r="I59" s="279">
        <f>IF(I$1=0,"",IF($B59&lt;I$23,I58+PPMT(I$25/12,$B59,I$23,I$53,-I$27,0),IF($B59=I$23,I58+PPMT(I$25/12,$B59,I$23,I$53,-I$27,0)-I$27,0)))</f>
        <v/>
      </c>
      <c r="J59" s="279">
        <f>IF(J$1=0,"",IF($B59&lt;J$23,J58+PPMT(J$25/12,$B59,J$23,J$53,-J$27,0),IF($B59=J$23,J58+PPMT(J$25/12,$B59,J$23,J$53,-J$27,0)-J$27,0)))</f>
        <v/>
      </c>
      <c r="K59" s="279">
        <f>IF(K$1=0,"",IF($B59&lt;K$23,K58+PPMT(K$25/12,$B59,K$23,K$53,-K$27,0),IF($B59=K$23,K58+PPMT(K$25/12,$B59,K$23,K$53,-K$27,0)-K$27,0)))</f>
        <v/>
      </c>
      <c r="L59" s="279">
        <f>IF(L$1=0,"",IF($B59&lt;L$23,L58+PPMT(L$25/12,$B59,L$23,L$53,-L$27,0),IF($B59=L$23,L58+PPMT(L$25/12,$B59,L$23,L$53,-L$27,0)-L$27,0)))</f>
        <v/>
      </c>
      <c r="M59" s="279">
        <f>IF(M$1=0,"",IF($B59&lt;M$23,M58+PPMT(M$25/12,$B59,M$23,M$53,-M$27,0),IF($B59=M$23,M58+PPMT(M$25/12,$B59,M$23,M$53,-M$27,0)-M$27,0)))</f>
        <v/>
      </c>
      <c r="N59" s="280" t="n"/>
      <c r="O59" s="281" t="n"/>
      <c r="R59" s="1" t="n">
        <v>570.5993</v>
      </c>
    </row>
    <row r="60" hidden="1" outlineLevel="1">
      <c r="B60" s="2">
        <f>B59+1</f>
        <v/>
      </c>
      <c r="D60" s="279">
        <f>IF(B60&lt;$D$24,(+CALCULETTE!T639/CALCULETTE!$B$612),0)</f>
        <v/>
      </c>
      <c r="E60" s="279">
        <f>IF(E$1=0,"",IF($B60&lt;E$23,E59+PPMT(E$25/12,$B60,E$23,E$53,-E$27,0),IF($B60=E$23,E59+PPMT(E$25/12,$B60,E$23,E$53,-E$27,0)-E$27,0)))</f>
        <v/>
      </c>
      <c r="F60" s="279">
        <f>IF(F$1=0,"",IF($B60&lt;F$23,F59+PPMT(F$25/12,$B60,F$23,F$53,-F$27,0),IF($B60=F$23,F59+PPMT(F$25/12,$B60,F$23,F$53,-F$27,0)-F$27,0)))</f>
        <v/>
      </c>
      <c r="G60" s="279">
        <f>IF(G$1=0,"",IF($B60&lt;G$23,G59+PPMT(G$25/12,$B60,G$23,G$53,-G$27,0),IF($B60=G$23,G59+PPMT(G$25/12,$B60,G$23,G$53,-G$27,0)-G$27,0)))</f>
        <v/>
      </c>
      <c r="H60" s="279">
        <f>IF(H$1=0,"",IF($B60&lt;H$23,H59+PPMT(H$25/12,$B60,H$23,H$53,-H$27,0),IF($B60=H$23,H59+PPMT(H$25/12,$B60,H$23,H$53,-H$27,0)-H$27,0)))</f>
        <v/>
      </c>
      <c r="I60" s="279">
        <f>IF(I$1=0,"",IF($B60&lt;I$23,I59+PPMT(I$25/12,$B60,I$23,I$53,-I$27,0),IF($B60=I$23,I59+PPMT(I$25/12,$B60,I$23,I$53,-I$27,0)-I$27,0)))</f>
        <v/>
      </c>
      <c r="J60" s="279">
        <f>IF(J$1=0,"",IF($B60&lt;J$23,J59+PPMT(J$25/12,$B60,J$23,J$53,-J$27,0),IF($B60=J$23,J59+PPMT(J$25/12,$B60,J$23,J$53,-J$27,0)-J$27,0)))</f>
        <v/>
      </c>
      <c r="K60" s="279">
        <f>IF(K$1=0,"",IF($B60&lt;K$23,K59+PPMT(K$25/12,$B60,K$23,K$53,-K$27,0),IF($B60=K$23,K59+PPMT(K$25/12,$B60,K$23,K$53,-K$27,0)-K$27,0)))</f>
        <v/>
      </c>
      <c r="L60" s="279">
        <f>IF(L$1=0,"",IF($B60&lt;L$23,L59+PPMT(L$25/12,$B60,L$23,L$53,-L$27,0),IF($B60=L$23,L59+PPMT(L$25/12,$B60,L$23,L$53,-L$27,0)-L$27,0)))</f>
        <v/>
      </c>
      <c r="M60" s="279">
        <f>IF(M$1=0,"",IF($B60&lt;M$23,M59+PPMT(M$25/12,$B60,M$23,M$53,-M$27,0),IF($B60=M$23,M59+PPMT(M$25/12,$B60,M$23,M$53,-M$27,0)-M$27,0)))</f>
        <v/>
      </c>
      <c r="N60" s="280" t="n"/>
      <c r="O60" s="281" t="n"/>
      <c r="R60" s="1" t="n">
        <v>701.2910000000001</v>
      </c>
    </row>
    <row r="61" hidden="1" outlineLevel="1">
      <c r="B61" s="2">
        <f>B60+1</f>
        <v/>
      </c>
      <c r="D61" s="279">
        <f>IF(B61&lt;$D$24,(+CALCULETTE!T640/CALCULETTE!$B$612),0)</f>
        <v/>
      </c>
      <c r="E61" s="279">
        <f>IF(E$1=0,"",IF($B61&lt;E$23,E60+PPMT(E$25/12,$B61,E$23,E$53,-E$27,0),IF($B61=E$23,E60+PPMT(E$25/12,$B61,E$23,E$53,-E$27,0)-E$27,0)))</f>
        <v/>
      </c>
      <c r="F61" s="279">
        <f>IF(F$1=0,"",IF($B61&lt;F$23,F60+PPMT(F$25/12,$B61,F$23,F$53,-F$27,0),IF($B61=F$23,F60+PPMT(F$25/12,$B61,F$23,F$53,-F$27,0)-F$27,0)))</f>
        <v/>
      </c>
      <c r="G61" s="279">
        <f>IF(G$1=0,"",IF($B61&lt;G$23,G60+PPMT(G$25/12,$B61,G$23,G$53,-G$27,0),IF($B61=G$23,G60+PPMT(G$25/12,$B61,G$23,G$53,-G$27,0)-G$27,0)))</f>
        <v/>
      </c>
      <c r="H61" s="279">
        <f>IF(H$1=0,"",IF($B61&lt;H$23,H60+PPMT(H$25/12,$B61,H$23,H$53,-H$27,0),IF($B61=H$23,H60+PPMT(H$25/12,$B61,H$23,H$53,-H$27,0)-H$27,0)))</f>
        <v/>
      </c>
      <c r="I61" s="279">
        <f>IF(I$1=0,"",IF($B61&lt;I$23,I60+PPMT(I$25/12,$B61,I$23,I$53,-I$27,0),IF($B61=I$23,I60+PPMT(I$25/12,$B61,I$23,I$53,-I$27,0)-I$27,0)))</f>
        <v/>
      </c>
      <c r="J61" s="279">
        <f>IF(J$1=0,"",IF($B61&lt;J$23,J60+PPMT(J$25/12,$B61,J$23,J$53,-J$27,0),IF($B61=J$23,J60+PPMT(J$25/12,$B61,J$23,J$53,-J$27,0)-J$27,0)))</f>
        <v/>
      </c>
      <c r="K61" s="279">
        <f>IF(K$1=0,"",IF($B61&lt;K$23,K60+PPMT(K$25/12,$B61,K$23,K$53,-K$27,0),IF($B61=K$23,K60+PPMT(K$25/12,$B61,K$23,K$53,-K$27,0)-K$27,0)))</f>
        <v/>
      </c>
      <c r="L61" s="279">
        <f>IF(L$1=0,"",IF($B61&lt;L$23,L60+PPMT(L$25/12,$B61,L$23,L$53,-L$27,0),IF($B61=L$23,L60+PPMT(L$25/12,$B61,L$23,L$53,-L$27,0)-L$27,0)))</f>
        <v/>
      </c>
      <c r="M61" s="279">
        <f>IF(M$1=0,"",IF($B61&lt;M$23,M60+PPMT(M$25/12,$B61,M$23,M$53,-M$27,0),IF($B61=M$23,M60+PPMT(M$25/12,$B61,M$23,M$53,-M$27,0)-M$27,0)))</f>
        <v/>
      </c>
      <c r="N61" s="280" t="n"/>
      <c r="O61" s="281" t="n"/>
      <c r="R61" s="1" t="n">
        <v>411.4772</v>
      </c>
    </row>
    <row r="62" hidden="1" outlineLevel="1">
      <c r="B62" s="2">
        <f>B61+1</f>
        <v/>
      </c>
      <c r="D62" s="279">
        <f>IF(B62&lt;$D$24,(+CALCULETTE!T641/CALCULETTE!$B$612),0)</f>
        <v/>
      </c>
      <c r="E62" s="279">
        <f>IF(E$1=0,"",IF($B62&lt;E$23,E61+PPMT(E$25/12,$B62,E$23,E$53,-E$27,0),IF($B62=E$23,E61+PPMT(E$25/12,$B62,E$23,E$53,-E$27,0)-E$27,0)))</f>
        <v/>
      </c>
      <c r="F62" s="279">
        <f>IF(F$1=0,"",IF($B62&lt;F$23,F61+PPMT(F$25/12,$B62,F$23,F$53,-F$27,0),IF($B62=F$23,F61+PPMT(F$25/12,$B62,F$23,F$53,-F$27,0)-F$27,0)))</f>
        <v/>
      </c>
      <c r="G62" s="279">
        <f>IF(G$1=0,"",IF($B62&lt;G$23,G61+PPMT(G$25/12,$B62,G$23,G$53,-G$27,0),IF($B62=G$23,G61+PPMT(G$25/12,$B62,G$23,G$53,-G$27,0)-G$27,0)))</f>
        <v/>
      </c>
      <c r="H62" s="279">
        <f>IF(H$1=0,"",IF($B62&lt;H$23,H61+PPMT(H$25/12,$B62,H$23,H$53,-H$27,0),IF($B62=H$23,H61+PPMT(H$25/12,$B62,H$23,H$53,-H$27,0)-H$27,0)))</f>
        <v/>
      </c>
      <c r="I62" s="279">
        <f>IF(I$1=0,"",IF($B62&lt;I$23,I61+PPMT(I$25/12,$B62,I$23,I$53,-I$27,0),IF($B62=I$23,I61+PPMT(I$25/12,$B62,I$23,I$53,-I$27,0)-I$27,0)))</f>
        <v/>
      </c>
      <c r="J62" s="279">
        <f>IF(J$1=0,"",IF($B62&lt;J$23,J61+PPMT(J$25/12,$B62,J$23,J$53,-J$27,0),IF($B62=J$23,J61+PPMT(J$25/12,$B62,J$23,J$53,-J$27,0)-J$27,0)))</f>
        <v/>
      </c>
      <c r="K62" s="279">
        <f>IF(K$1=0,"",IF($B62&lt;K$23,K61+PPMT(K$25/12,$B62,K$23,K$53,-K$27,0),IF($B62=K$23,K61+PPMT(K$25/12,$B62,K$23,K$53,-K$27,0)-K$27,0)))</f>
        <v/>
      </c>
      <c r="L62" s="279">
        <f>IF(L$1=0,"",IF($B62&lt;L$23,L61+PPMT(L$25/12,$B62,L$23,L$53,-L$27,0),IF($B62=L$23,L61+PPMT(L$25/12,$B62,L$23,L$53,-L$27,0)-L$27,0)))</f>
        <v/>
      </c>
      <c r="M62" s="279">
        <f>IF(M$1=0,"",IF($B62&lt;M$23,M61+PPMT(M$25/12,$B62,M$23,M$53,-M$27,0),IF($B62=M$23,M61+PPMT(M$25/12,$B62,M$23,M$53,-M$27,0)-M$27,0)))</f>
        <v/>
      </c>
      <c r="N62" s="280" t="n"/>
      <c r="O62" s="281" t="n"/>
      <c r="R62" s="1" t="n">
        <v>629.6702</v>
      </c>
    </row>
    <row r="63" hidden="1" outlineLevel="1">
      <c r="B63" s="2">
        <f>B62+1</f>
        <v/>
      </c>
      <c r="D63" s="279">
        <f>IF(B63&lt;$D$24,(+CALCULETTE!T642/CALCULETTE!$B$612),0)</f>
        <v/>
      </c>
      <c r="E63" s="279">
        <f>IF(E$1=0,"",IF($B63&lt;E$23,E62+PPMT(E$25/12,$B63,E$23,E$53,-E$27,0),IF($B63=E$23,E62+PPMT(E$25/12,$B63,E$23,E$53,-E$27,0)-E$27,0)))</f>
        <v/>
      </c>
      <c r="F63" s="279">
        <f>IF(F$1=0,"",IF($B63&lt;F$23,F62+PPMT(F$25/12,$B63,F$23,F$53,-F$27,0),IF($B63=F$23,F62+PPMT(F$25/12,$B63,F$23,F$53,-F$27,0)-F$27,0)))</f>
        <v/>
      </c>
      <c r="G63" s="279">
        <f>IF(G$1=0,"",IF($B63&lt;G$23,G62+PPMT(G$25/12,$B63,G$23,G$53,-G$27,0),IF($B63=G$23,G62+PPMT(G$25/12,$B63,G$23,G$53,-G$27,0)-G$27,0)))</f>
        <v/>
      </c>
      <c r="H63" s="279">
        <f>IF(H$1=0,"",IF($B63&lt;H$23,H62+PPMT(H$25/12,$B63,H$23,H$53,-H$27,0),IF($B63=H$23,H62+PPMT(H$25/12,$B63,H$23,H$53,-H$27,0)-H$27,0)))</f>
        <v/>
      </c>
      <c r="I63" s="279">
        <f>IF(I$1=0,"",IF($B63&lt;I$23,I62+PPMT(I$25/12,$B63,I$23,I$53,-I$27,0),IF($B63=I$23,I62+PPMT(I$25/12,$B63,I$23,I$53,-I$27,0)-I$27,0)))</f>
        <v/>
      </c>
      <c r="J63" s="279">
        <f>IF(J$1=0,"",IF($B63&lt;J$23,J62+PPMT(J$25/12,$B63,J$23,J$53,-J$27,0),IF($B63=J$23,J62+PPMT(J$25/12,$B63,J$23,J$53,-J$27,0)-J$27,0)))</f>
        <v/>
      </c>
      <c r="K63" s="279">
        <f>IF(K$1=0,"",IF($B63&lt;K$23,K62+PPMT(K$25/12,$B63,K$23,K$53,-K$27,0),IF($B63=K$23,K62+PPMT(K$25/12,$B63,K$23,K$53,-K$27,0)-K$27,0)))</f>
        <v/>
      </c>
      <c r="L63" s="279">
        <f>IF(L$1=0,"",IF($B63&lt;L$23,L62+PPMT(L$25/12,$B63,L$23,L$53,-L$27,0),IF($B63=L$23,L62+PPMT(L$25/12,$B63,L$23,L$53,-L$27,0)-L$27,0)))</f>
        <v/>
      </c>
      <c r="M63" s="279">
        <f>IF(M$1=0,"",IF($B63&lt;M$23,M62+PPMT(M$25/12,$B63,M$23,M$53,-M$27,0),IF($B63=M$23,M62+PPMT(M$25/12,$B63,M$23,M$53,-M$27,0)-M$27,0)))</f>
        <v/>
      </c>
      <c r="N63" s="280" t="n"/>
      <c r="O63" s="281" t="n"/>
      <c r="R63" s="1" t="n">
        <v>745.9533</v>
      </c>
    </row>
    <row r="64" hidden="1" outlineLevel="1">
      <c r="B64" s="2">
        <f>B63+1</f>
        <v/>
      </c>
      <c r="D64" s="279">
        <f>IF(B64&lt;$D$24,(+CALCULETTE!T643/CALCULETTE!$B$612),0)</f>
        <v/>
      </c>
      <c r="E64" s="279">
        <f>IF(E$1=0,"",IF($B64&lt;E$23,E63+PPMT(E$25/12,$B64,E$23,E$53,-E$27,0),IF($B64=E$23,E63+PPMT(E$25/12,$B64,E$23,E$53,-E$27,0)-E$27,0)))</f>
        <v/>
      </c>
      <c r="F64" s="279">
        <f>IF(F$1=0,"",IF($B64&lt;F$23,F63+PPMT(F$25/12,$B64,F$23,F$53,-F$27,0),IF($B64=F$23,F63+PPMT(F$25/12,$B64,F$23,F$53,-F$27,0)-F$27,0)))</f>
        <v/>
      </c>
      <c r="G64" s="279">
        <f>IF(G$1=0,"",IF($B64&lt;G$23,G63+PPMT(G$25/12,$B64,G$23,G$53,-G$27,0),IF($B64=G$23,G63+PPMT(G$25/12,$B64,G$23,G$53,-G$27,0)-G$27,0)))</f>
        <v/>
      </c>
      <c r="H64" s="279">
        <f>IF(H$1=0,"",IF($B64&lt;H$23,H63+PPMT(H$25/12,$B64,H$23,H$53,-H$27,0),IF($B64=H$23,H63+PPMT(H$25/12,$B64,H$23,H$53,-H$27,0)-H$27,0)))</f>
        <v/>
      </c>
      <c r="I64" s="279">
        <f>IF(I$1=0,"",IF($B64&lt;I$23,I63+PPMT(I$25/12,$B64,I$23,I$53,-I$27,0),IF($B64=I$23,I63+PPMT(I$25/12,$B64,I$23,I$53,-I$27,0)-I$27,0)))</f>
        <v/>
      </c>
      <c r="J64" s="279">
        <f>IF(J$1=0,"",IF($B64&lt;J$23,J63+PPMT(J$25/12,$B64,J$23,J$53,-J$27,0),IF($B64=J$23,J63+PPMT(J$25/12,$B64,J$23,J$53,-J$27,0)-J$27,0)))</f>
        <v/>
      </c>
      <c r="K64" s="279">
        <f>IF(K$1=0,"",IF($B64&lt;K$23,K63+PPMT(K$25/12,$B64,K$23,K$53,-K$27,0),IF($B64=K$23,K63+PPMT(K$25/12,$B64,K$23,K$53,-K$27,0)-K$27,0)))</f>
        <v/>
      </c>
      <c r="L64" s="279">
        <f>IF(L$1=0,"",IF($B64&lt;L$23,L63+PPMT(L$25/12,$B64,L$23,L$53,-L$27,0),IF($B64=L$23,L63+PPMT(L$25/12,$B64,L$23,L$53,-L$27,0)-L$27,0)))</f>
        <v/>
      </c>
      <c r="M64" s="279">
        <f>IF(M$1=0,"",IF($B64&lt;M$23,M63+PPMT(M$25/12,$B64,M$23,M$53,-M$27,0),IF($B64=M$23,M63+PPMT(M$25/12,$B64,M$23,M$53,-M$27,0)-M$27,0)))</f>
        <v/>
      </c>
      <c r="N64" s="280" t="n"/>
      <c r="O64" s="281" t="n"/>
      <c r="R64" s="1" t="n">
        <v>584.2302</v>
      </c>
    </row>
    <row r="65" hidden="1" outlineLevel="1">
      <c r="B65" s="2">
        <f>B64+1</f>
        <v/>
      </c>
      <c r="D65" s="279">
        <f>IF(B65&lt;$D$24,(+CALCULETTE!T644/CALCULETTE!$B$612),0)</f>
        <v/>
      </c>
      <c r="E65" s="279">
        <f>IF(E$1=0,"",IF($B65&lt;E$23,E64+PPMT(E$25/12,$B65,E$23,E$53,-E$27,0),IF($B65=E$23,E64+PPMT(E$25/12,$B65,E$23,E$53,-E$27,0)-E$27,0)))</f>
        <v/>
      </c>
      <c r="F65" s="279">
        <f>IF(F$1=0,"",IF($B65&lt;F$23,F64+PPMT(F$25/12,$B65,F$23,F$53,-F$27,0),IF($B65=F$23,F64+PPMT(F$25/12,$B65,F$23,F$53,-F$27,0)-F$27,0)))</f>
        <v/>
      </c>
      <c r="G65" s="279">
        <f>IF(G$1=0,"",IF($B65&lt;G$23,G64+PPMT(G$25/12,$B65,G$23,G$53,-G$27,0),IF($B65=G$23,G64+PPMT(G$25/12,$B65,G$23,G$53,-G$27,0)-G$27,0)))</f>
        <v/>
      </c>
      <c r="H65" s="279">
        <f>IF(H$1=0,"",IF($B65&lt;H$23,H64+PPMT(H$25/12,$B65,H$23,H$53,-H$27,0),IF($B65=H$23,H64+PPMT(H$25/12,$B65,H$23,H$53,-H$27,0)-H$27,0)))</f>
        <v/>
      </c>
      <c r="I65" s="279">
        <f>IF(I$1=0,"",IF($B65&lt;I$23,I64+PPMT(I$25/12,$B65,I$23,I$53,-I$27,0),IF($B65=I$23,I64+PPMT(I$25/12,$B65,I$23,I$53,-I$27,0)-I$27,0)))</f>
        <v/>
      </c>
      <c r="J65" s="279">
        <f>IF(J$1=0,"",IF($B65&lt;J$23,J64+PPMT(J$25/12,$B65,J$23,J$53,-J$27,0),IF($B65=J$23,J64+PPMT(J$25/12,$B65,J$23,J$53,-J$27,0)-J$27,0)))</f>
        <v/>
      </c>
      <c r="K65" s="279">
        <f>IF(K$1=0,"",IF($B65&lt;K$23,K64+PPMT(K$25/12,$B65,K$23,K$53,-K$27,0),IF($B65=K$23,K64+PPMT(K$25/12,$B65,K$23,K$53,-K$27,0)-K$27,0)))</f>
        <v/>
      </c>
      <c r="L65" s="279">
        <f>IF(L$1=0,"",IF($B65&lt;L$23,L64+PPMT(L$25/12,$B65,L$23,L$53,-L$27,0),IF($B65=L$23,L64+PPMT(L$25/12,$B65,L$23,L$53,-L$27,0)-L$27,0)))</f>
        <v/>
      </c>
      <c r="M65" s="279">
        <f>IF(M$1=0,"",IF($B65&lt;M$23,M64+PPMT(M$25/12,$B65,M$23,M$53,-M$27,0),IF($B65=M$23,M64+PPMT(M$25/12,$B65,M$23,M$53,-M$27,0)-M$27,0)))</f>
        <v/>
      </c>
      <c r="N65" s="280" t="n"/>
      <c r="O65" s="281" t="n"/>
      <c r="R65" s="1" t="n">
        <v>607.7021</v>
      </c>
    </row>
    <row r="66" hidden="1" outlineLevel="1">
      <c r="B66" s="2">
        <f>B65+1</f>
        <v/>
      </c>
      <c r="D66" s="279">
        <f>IF(B66&lt;$D$24,(+CALCULETTE!T645/CALCULETTE!$B$612),0)</f>
        <v/>
      </c>
      <c r="E66" s="279">
        <f>IF(E$1=0,"",IF($B66&lt;E$23,E65+PPMT(E$25/12,$B66,E$23,E$53,-E$27,0),IF($B66=E$23,E65+PPMT(E$25/12,$B66,E$23,E$53,-E$27,0)-E$27,0)))</f>
        <v/>
      </c>
      <c r="F66" s="279">
        <f>IF(F$1=0,"",IF($B66&lt;F$23,F65+PPMT(F$25/12,$B66,F$23,F$53,-F$27,0),IF($B66=F$23,F65+PPMT(F$25/12,$B66,F$23,F$53,-F$27,0)-F$27,0)))</f>
        <v/>
      </c>
      <c r="G66" s="279">
        <f>IF(G$1=0,"",IF($B66&lt;G$23,G65+PPMT(G$25/12,$B66,G$23,G$53,-G$27,0),IF($B66=G$23,G65+PPMT(G$25/12,$B66,G$23,G$53,-G$27,0)-G$27,0)))</f>
        <v/>
      </c>
      <c r="H66" s="279">
        <f>IF(H$1=0,"",IF($B66&lt;H$23,H65+PPMT(H$25/12,$B66,H$23,H$53,-H$27,0),IF($B66=H$23,H65+PPMT(H$25/12,$B66,H$23,H$53,-H$27,0)-H$27,0)))</f>
        <v/>
      </c>
      <c r="I66" s="279">
        <f>IF(I$1=0,"",IF($B66&lt;I$23,I65+PPMT(I$25/12,$B66,I$23,I$53,-I$27,0),IF($B66=I$23,I65+PPMT(I$25/12,$B66,I$23,I$53,-I$27,0)-I$27,0)))</f>
        <v/>
      </c>
      <c r="J66" s="279">
        <f>IF(J$1=0,"",IF($B66&lt;J$23,J65+PPMT(J$25/12,$B66,J$23,J$53,-J$27,0),IF($B66=J$23,J65+PPMT(J$25/12,$B66,J$23,J$53,-J$27,0)-J$27,0)))</f>
        <v/>
      </c>
      <c r="K66" s="279">
        <f>IF(K$1=0,"",IF($B66&lt;K$23,K65+PPMT(K$25/12,$B66,K$23,K$53,-K$27,0),IF($B66=K$23,K65+PPMT(K$25/12,$B66,K$23,K$53,-K$27,0)-K$27,0)))</f>
        <v/>
      </c>
      <c r="L66" s="279">
        <f>IF(L$1=0,"",IF($B66&lt;L$23,L65+PPMT(L$25/12,$B66,L$23,L$53,-L$27,0),IF($B66=L$23,L65+PPMT(L$25/12,$B66,L$23,L$53,-L$27,0)-L$27,0)))</f>
        <v/>
      </c>
      <c r="M66" s="279">
        <f>IF(M$1=0,"",IF($B66&lt;M$23,M65+PPMT(M$25/12,$B66,M$23,M$53,-M$27,0),IF($B66=M$23,M65+PPMT(M$25/12,$B66,M$23,M$53,-M$27,0)-M$27,0)))</f>
        <v/>
      </c>
      <c r="N66" s="280" t="n"/>
      <c r="O66" s="281" t="n"/>
      <c r="R66" s="1" t="n">
        <v>323.6291</v>
      </c>
    </row>
    <row r="67" hidden="1" outlineLevel="1">
      <c r="B67" s="2">
        <f>B66+1</f>
        <v/>
      </c>
      <c r="D67" s="279">
        <f>IF(B67&lt;$D$24,(+CALCULETTE!T646/CALCULETTE!$B$612),0)</f>
        <v/>
      </c>
      <c r="E67" s="279">
        <f>IF(E$1=0,"",IF($B67&lt;E$23,E66+PPMT(E$25/12,$B67,E$23,E$53,-E$27,0),IF($B67=E$23,E66+PPMT(E$25/12,$B67,E$23,E$53,-E$27,0)-E$27,0)))</f>
        <v/>
      </c>
      <c r="F67" s="279">
        <f>IF(F$1=0,"",IF($B67&lt;F$23,F66+PPMT(F$25/12,$B67,F$23,F$53,-F$27,0),IF($B67=F$23,F66+PPMT(F$25/12,$B67,F$23,F$53,-F$27,0)-F$27,0)))</f>
        <v/>
      </c>
      <c r="G67" s="279">
        <f>IF(G$1=0,"",IF($B67&lt;G$23,G66+PPMT(G$25/12,$B67,G$23,G$53,-G$27,0),IF($B67=G$23,G66+PPMT(G$25/12,$B67,G$23,G$53,-G$27,0)-G$27,0)))</f>
        <v/>
      </c>
      <c r="H67" s="279">
        <f>IF(H$1=0,"",IF($B67&lt;H$23,H66+PPMT(H$25/12,$B67,H$23,H$53,-H$27,0),IF($B67=H$23,H66+PPMT(H$25/12,$B67,H$23,H$53,-H$27,0)-H$27,0)))</f>
        <v/>
      </c>
      <c r="I67" s="279">
        <f>IF(I$1=0,"",IF($B67&lt;I$23,I66+PPMT(I$25/12,$B67,I$23,I$53,-I$27,0),IF($B67=I$23,I66+PPMT(I$25/12,$B67,I$23,I$53,-I$27,0)-I$27,0)))</f>
        <v/>
      </c>
      <c r="J67" s="279">
        <f>IF(J$1=0,"",IF($B67&lt;J$23,J66+PPMT(J$25/12,$B67,J$23,J$53,-J$27,0),IF($B67=J$23,J66+PPMT(J$25/12,$B67,J$23,J$53,-J$27,0)-J$27,0)))</f>
        <v/>
      </c>
      <c r="K67" s="279">
        <f>IF(K$1=0,"",IF($B67&lt;K$23,K66+PPMT(K$25/12,$B67,K$23,K$53,-K$27,0),IF($B67=K$23,K66+PPMT(K$25/12,$B67,K$23,K$53,-K$27,0)-K$27,0)))</f>
        <v/>
      </c>
      <c r="L67" s="279">
        <f>IF(L$1=0,"",IF($B67&lt;L$23,L66+PPMT(L$25/12,$B67,L$23,L$53,-L$27,0),IF($B67=L$23,L66+PPMT(L$25/12,$B67,L$23,L$53,-L$27,0)-L$27,0)))</f>
        <v/>
      </c>
      <c r="M67" s="279">
        <f>IF(M$1=0,"",IF($B67&lt;M$23,M66+PPMT(M$25/12,$B67,M$23,M$53,-M$27,0),IF($B67=M$23,M66+PPMT(M$25/12,$B67,M$23,M$53,-M$27,0)-M$27,0)))</f>
        <v/>
      </c>
      <c r="N67" s="280" t="n"/>
      <c r="O67" s="281" t="n"/>
      <c r="R67" s="1" t="n">
        <v>309.8704</v>
      </c>
    </row>
    <row r="68" hidden="1" outlineLevel="1">
      <c r="B68" s="2">
        <f>B67+1</f>
        <v/>
      </c>
      <c r="D68" s="279">
        <f>IF(B68&lt;$D$24,(+CALCULETTE!T647/CALCULETTE!$B$612),0)</f>
        <v/>
      </c>
      <c r="E68" s="279">
        <f>IF(E$1=0,"",IF($B68&lt;E$23,E67+PPMT(E$25/12,$B68,E$23,E$53,-E$27,0),IF($B68=E$23,E67+PPMT(E$25/12,$B68,E$23,E$53,-E$27,0)-E$27,0)))</f>
        <v/>
      </c>
      <c r="F68" s="279">
        <f>IF(F$1=0,"",IF($B68&lt;F$23,F67+PPMT(F$25/12,$B68,F$23,F$53,-F$27,0),IF($B68=F$23,F67+PPMT(F$25/12,$B68,F$23,F$53,-F$27,0)-F$27,0)))</f>
        <v/>
      </c>
      <c r="G68" s="279">
        <f>IF(G$1=0,"",IF($B68&lt;G$23,G67+PPMT(G$25/12,$B68,G$23,G$53,-G$27,0),IF($B68=G$23,G67+PPMT(G$25/12,$B68,G$23,G$53,-G$27,0)-G$27,0)))</f>
        <v/>
      </c>
      <c r="H68" s="279">
        <f>IF(H$1=0,"",IF($B68&lt;H$23,H67+PPMT(H$25/12,$B68,H$23,H$53,-H$27,0),IF($B68=H$23,H67+PPMT(H$25/12,$B68,H$23,H$53,-H$27,0)-H$27,0)))</f>
        <v/>
      </c>
      <c r="I68" s="279">
        <f>IF(I$1=0,"",IF($B68&lt;I$23,I67+PPMT(I$25/12,$B68,I$23,I$53,-I$27,0),IF($B68=I$23,I67+PPMT(I$25/12,$B68,I$23,I$53,-I$27,0)-I$27,0)))</f>
        <v/>
      </c>
      <c r="J68" s="279">
        <f>IF(J$1=0,"",IF($B68&lt;J$23,J67+PPMT(J$25/12,$B68,J$23,J$53,-J$27,0),IF($B68=J$23,J67+PPMT(J$25/12,$B68,J$23,J$53,-J$27,0)-J$27,0)))</f>
        <v/>
      </c>
      <c r="K68" s="279">
        <f>IF(K$1=0,"",IF($B68&lt;K$23,K67+PPMT(K$25/12,$B68,K$23,K$53,-K$27,0),IF($B68=K$23,K67+PPMT(K$25/12,$B68,K$23,K$53,-K$27,0)-K$27,0)))</f>
        <v/>
      </c>
      <c r="L68" s="279">
        <f>IF(L$1=0,"",IF($B68&lt;L$23,L67+PPMT(L$25/12,$B68,L$23,L$53,-L$27,0),IF($B68=L$23,L67+PPMT(L$25/12,$B68,L$23,L$53,-L$27,0)-L$27,0)))</f>
        <v/>
      </c>
      <c r="M68" s="279">
        <f>IF(M$1=0,"",IF($B68&lt;M$23,M67+PPMT(M$25/12,$B68,M$23,M$53,-M$27,0),IF($B68=M$23,M67+PPMT(M$25/12,$B68,M$23,M$53,-M$27,0)-M$27,0)))</f>
        <v/>
      </c>
      <c r="N68" s="280" t="n"/>
      <c r="O68" s="281" t="n"/>
      <c r="R68" s="1" t="n">
        <v>807.0311</v>
      </c>
    </row>
    <row r="69" hidden="1" outlineLevel="1">
      <c r="B69" s="2">
        <f>B68+1</f>
        <v/>
      </c>
      <c r="D69" s="279">
        <f>IF(B69&lt;$D$24,(+CALCULETTE!T648/CALCULETTE!$B$612),0)</f>
        <v/>
      </c>
      <c r="E69" s="279">
        <f>IF(E$1=0,"",IF($B69&lt;E$23,E68+PPMT(E$25/12,$B69,E$23,E$53,-E$27,0),IF($B69=E$23,E68+PPMT(E$25/12,$B69,E$23,E$53,-E$27,0)-E$27,0)))</f>
        <v/>
      </c>
      <c r="F69" s="279">
        <f>IF(F$1=0,"",IF($B69&lt;F$23,F68+PPMT(F$25/12,$B69,F$23,F$53,-F$27,0),IF($B69=F$23,F68+PPMT(F$25/12,$B69,F$23,F$53,-F$27,0)-F$27,0)))</f>
        <v/>
      </c>
      <c r="G69" s="279">
        <f>IF(G$1=0,"",IF($B69&lt;G$23,G68+PPMT(G$25/12,$B69,G$23,G$53,-G$27,0),IF($B69=G$23,G68+PPMT(G$25/12,$B69,G$23,G$53,-G$27,0)-G$27,0)))</f>
        <v/>
      </c>
      <c r="H69" s="279">
        <f>IF(H$1=0,"",IF($B69&lt;H$23,H68+PPMT(H$25/12,$B69,H$23,H$53,-H$27,0),IF($B69=H$23,H68+PPMT(H$25/12,$B69,H$23,H$53,-H$27,0)-H$27,0)))</f>
        <v/>
      </c>
      <c r="I69" s="279">
        <f>IF(I$1=0,"",IF($B69&lt;I$23,I68+PPMT(I$25/12,$B69,I$23,I$53,-I$27,0),IF($B69=I$23,I68+PPMT(I$25/12,$B69,I$23,I$53,-I$27,0)-I$27,0)))</f>
        <v/>
      </c>
      <c r="J69" s="279">
        <f>IF(J$1=0,"",IF($B69&lt;J$23,J68+PPMT(J$25/12,$B69,J$23,J$53,-J$27,0),IF($B69=J$23,J68+PPMT(J$25/12,$B69,J$23,J$53,-J$27,0)-J$27,0)))</f>
        <v/>
      </c>
      <c r="K69" s="279">
        <f>IF(K$1=0,"",IF($B69&lt;K$23,K68+PPMT(K$25/12,$B69,K$23,K$53,-K$27,0),IF($B69=K$23,K68+PPMT(K$25/12,$B69,K$23,K$53,-K$27,0)-K$27,0)))</f>
        <v/>
      </c>
      <c r="L69" s="279">
        <f>IF(L$1=0,"",IF($B69&lt;L$23,L68+PPMT(L$25/12,$B69,L$23,L$53,-L$27,0),IF($B69=L$23,L68+PPMT(L$25/12,$B69,L$23,L$53,-L$27,0)-L$27,0)))</f>
        <v/>
      </c>
      <c r="M69" s="279">
        <f>IF(M$1=0,"",IF($B69&lt;M$23,M68+PPMT(M$25/12,$B69,M$23,M$53,-M$27,0),IF($B69=M$23,M68+PPMT(M$25/12,$B69,M$23,M$53,-M$27,0)-M$27,0)))</f>
        <v/>
      </c>
      <c r="N69" s="280" t="n"/>
      <c r="O69" s="281" t="n"/>
      <c r="R69" s="1" t="n">
        <v>590.5029</v>
      </c>
    </row>
    <row r="70" hidden="1" outlineLevel="1">
      <c r="B70" s="2">
        <f>B69+1</f>
        <v/>
      </c>
      <c r="D70" s="279">
        <f>IF(B70&lt;$D$24,(+CALCULETTE!T649/CALCULETTE!$B$612),0)</f>
        <v/>
      </c>
      <c r="E70" s="279">
        <f>IF(E$1=0,"",IF($B70&lt;E$23,E69+PPMT(E$25/12,$B70,E$23,E$53,-E$27,0),IF($B70=E$23,E69+PPMT(E$25/12,$B70,E$23,E$53,-E$27,0)-E$27,0)))</f>
        <v/>
      </c>
      <c r="F70" s="279">
        <f>IF(F$1=0,"",IF($B70&lt;F$23,F69+PPMT(F$25/12,$B70,F$23,F$53,-F$27,0),IF($B70=F$23,F69+PPMT(F$25/12,$B70,F$23,F$53,-F$27,0)-F$27,0)))</f>
        <v/>
      </c>
      <c r="G70" s="279">
        <f>IF(G$1=0,"",IF($B70&lt;G$23,G69+PPMT(G$25/12,$B70,G$23,G$53,-G$27,0),IF($B70=G$23,G69+PPMT(G$25/12,$B70,G$23,G$53,-G$27,0)-G$27,0)))</f>
        <v/>
      </c>
      <c r="H70" s="279">
        <f>IF(H$1=0,"",IF($B70&lt;H$23,H69+PPMT(H$25/12,$B70,H$23,H$53,-H$27,0),IF($B70=H$23,H69+PPMT(H$25/12,$B70,H$23,H$53,-H$27,0)-H$27,0)))</f>
        <v/>
      </c>
      <c r="I70" s="279">
        <f>IF(I$1=0,"",IF($B70&lt;I$23,I69+PPMT(I$25/12,$B70,I$23,I$53,-I$27,0),IF($B70=I$23,I69+PPMT(I$25/12,$B70,I$23,I$53,-I$27,0)-I$27,0)))</f>
        <v/>
      </c>
      <c r="J70" s="279">
        <f>IF(J$1=0,"",IF($B70&lt;J$23,J69+PPMT(J$25/12,$B70,J$23,J$53,-J$27,0),IF($B70=J$23,J69+PPMT(J$25/12,$B70,J$23,J$53,-J$27,0)-J$27,0)))</f>
        <v/>
      </c>
      <c r="K70" s="279">
        <f>IF(K$1=0,"",IF($B70&lt;K$23,K69+PPMT(K$25/12,$B70,K$23,K$53,-K$27,0),IF($B70=K$23,K69+PPMT(K$25/12,$B70,K$23,K$53,-K$27,0)-K$27,0)))</f>
        <v/>
      </c>
      <c r="L70" s="279">
        <f>IF(L$1=0,"",IF($B70&lt;L$23,L69+PPMT(L$25/12,$B70,L$23,L$53,-L$27,0),IF($B70=L$23,L69+PPMT(L$25/12,$B70,L$23,L$53,-L$27,0)-L$27,0)))</f>
        <v/>
      </c>
      <c r="M70" s="279">
        <f>IF(M$1=0,"",IF($B70&lt;M$23,M69+PPMT(M$25/12,$B70,M$23,M$53,-M$27,0),IF($B70=M$23,M69+PPMT(M$25/12,$B70,M$23,M$53,-M$27,0)-M$27,0)))</f>
        <v/>
      </c>
      <c r="N70" s="280" t="n"/>
      <c r="O70" s="281" t="n"/>
      <c r="R70" s="1" t="n">
        <v>407.3501</v>
      </c>
    </row>
    <row r="71" hidden="1" outlineLevel="1">
      <c r="B71" s="2">
        <f>B70+1</f>
        <v/>
      </c>
      <c r="D71" s="279">
        <f>IF(B71&lt;$D$24,(+CALCULETTE!T650/CALCULETTE!$B$612),0)</f>
        <v/>
      </c>
      <c r="E71" s="279">
        <f>IF(E$1=0,"",IF($B71&lt;E$23,E70+PPMT(E$25/12,$B71,E$23,E$53,-E$27,0),IF($B71=E$23,E70+PPMT(E$25/12,$B71,E$23,E$53,-E$27,0)-E$27,0)))</f>
        <v/>
      </c>
      <c r="F71" s="279">
        <f>IF(F$1=0,"",IF($B71&lt;F$23,F70+PPMT(F$25/12,$B71,F$23,F$53,-F$27,0),IF($B71=F$23,F70+PPMT(F$25/12,$B71,F$23,F$53,-F$27,0)-F$27,0)))</f>
        <v/>
      </c>
      <c r="G71" s="279">
        <f>IF(G$1=0,"",IF($B71&lt;G$23,G70+PPMT(G$25/12,$B71,G$23,G$53,-G$27,0),IF($B71=G$23,G70+PPMT(G$25/12,$B71,G$23,G$53,-G$27,0)-G$27,0)))</f>
        <v/>
      </c>
      <c r="H71" s="279">
        <f>IF(H$1=0,"",IF($B71&lt;H$23,H70+PPMT(H$25/12,$B71,H$23,H$53,-H$27,0),IF($B71=H$23,H70+PPMT(H$25/12,$B71,H$23,H$53,-H$27,0)-H$27,0)))</f>
        <v/>
      </c>
      <c r="I71" s="279">
        <f>IF(I$1=0,"",IF($B71&lt;I$23,I70+PPMT(I$25/12,$B71,I$23,I$53,-I$27,0),IF($B71=I$23,I70+PPMT(I$25/12,$B71,I$23,I$53,-I$27,0)-I$27,0)))</f>
        <v/>
      </c>
      <c r="J71" s="279">
        <f>IF(J$1=0,"",IF($B71&lt;J$23,J70+PPMT(J$25/12,$B71,J$23,J$53,-J$27,0),IF($B71=J$23,J70+PPMT(J$25/12,$B71,J$23,J$53,-J$27,0)-J$27,0)))</f>
        <v/>
      </c>
      <c r="K71" s="279">
        <f>IF(K$1=0,"",IF($B71&lt;K$23,K70+PPMT(K$25/12,$B71,K$23,K$53,-K$27,0),IF($B71=K$23,K70+PPMT(K$25/12,$B71,K$23,K$53,-K$27,0)-K$27,0)))</f>
        <v/>
      </c>
      <c r="L71" s="279">
        <f>IF(L$1=0,"",IF($B71&lt;L$23,L70+PPMT(L$25/12,$B71,L$23,L$53,-L$27,0),IF($B71=L$23,L70+PPMT(L$25/12,$B71,L$23,L$53,-L$27,0)-L$27,0)))</f>
        <v/>
      </c>
      <c r="M71" s="279">
        <f>IF(M$1=0,"",IF($B71&lt;M$23,M70+PPMT(M$25/12,$B71,M$23,M$53,-M$27,0),IF($B71=M$23,M70+PPMT(M$25/12,$B71,M$23,M$53,-M$27,0)-M$27,0)))</f>
        <v/>
      </c>
      <c r="N71" s="280" t="n"/>
      <c r="O71" s="281" t="n"/>
      <c r="R71" s="1" t="n">
        <v>603.9492</v>
      </c>
    </row>
    <row r="72" hidden="1" outlineLevel="1">
      <c r="B72" s="2">
        <f>B71+1</f>
        <v/>
      </c>
      <c r="D72" s="279">
        <f>IF(B72&lt;$D$24,(+CALCULETTE!T651/CALCULETTE!$B$612),0)</f>
        <v/>
      </c>
      <c r="E72" s="279">
        <f>IF(E$1=0,"",IF($B72&lt;E$23,E71+PPMT(E$25/12,$B72,E$23,E$53,-E$27,0),IF($B72=E$23,E71+PPMT(E$25/12,$B72,E$23,E$53,-E$27,0)-E$27,0)))</f>
        <v/>
      </c>
      <c r="F72" s="279">
        <f>IF(F$1=0,"",IF($B72&lt;F$23,F71+PPMT(F$25/12,$B72,F$23,F$53,-F$27,0),IF($B72=F$23,F71+PPMT(F$25/12,$B72,F$23,F$53,-F$27,0)-F$27,0)))</f>
        <v/>
      </c>
      <c r="G72" s="279">
        <f>IF(G$1=0,"",IF($B72&lt;G$23,G71+PPMT(G$25/12,$B72,G$23,G$53,-G$27,0),IF($B72=G$23,G71+PPMT(G$25/12,$B72,G$23,G$53,-G$27,0)-G$27,0)))</f>
        <v/>
      </c>
      <c r="H72" s="279">
        <f>IF(H$1=0,"",IF($B72&lt;H$23,H71+PPMT(H$25/12,$B72,H$23,H$53,-H$27,0),IF($B72=H$23,H71+PPMT(H$25/12,$B72,H$23,H$53,-H$27,0)-H$27,0)))</f>
        <v/>
      </c>
      <c r="I72" s="279">
        <f>IF(I$1=0,"",IF($B72&lt;I$23,I71+PPMT(I$25/12,$B72,I$23,I$53,-I$27,0),IF($B72=I$23,I71+PPMT(I$25/12,$B72,I$23,I$53,-I$27,0)-I$27,0)))</f>
        <v/>
      </c>
      <c r="J72" s="279">
        <f>IF(J$1=0,"",IF($B72&lt;J$23,J71+PPMT(J$25/12,$B72,J$23,J$53,-J$27,0),IF($B72=J$23,J71+PPMT(J$25/12,$B72,J$23,J$53,-J$27,0)-J$27,0)))</f>
        <v/>
      </c>
      <c r="K72" s="279">
        <f>IF(K$1=0,"",IF($B72&lt;K$23,K71+PPMT(K$25/12,$B72,K$23,K$53,-K$27,0),IF($B72=K$23,K71+PPMT(K$25/12,$B72,K$23,K$53,-K$27,0)-K$27,0)))</f>
        <v/>
      </c>
      <c r="L72" s="279">
        <f>IF(L$1=0,"",IF($B72&lt;L$23,L71+PPMT(L$25/12,$B72,L$23,L$53,-L$27,0),IF($B72=L$23,L71+PPMT(L$25/12,$B72,L$23,L$53,-L$27,0)-L$27,0)))</f>
        <v/>
      </c>
      <c r="M72" s="279">
        <f>IF(M$1=0,"",IF($B72&lt;M$23,M71+PPMT(M$25/12,$B72,M$23,M$53,-M$27,0),IF($B72=M$23,M71+PPMT(M$25/12,$B72,M$23,M$53,-M$27,0)-M$27,0)))</f>
        <v/>
      </c>
      <c r="N72" s="280" t="n"/>
      <c r="O72" s="281" t="n"/>
      <c r="R72" s="1" t="n">
        <v>374.8461</v>
      </c>
    </row>
    <row r="73" hidden="1" outlineLevel="1">
      <c r="B73" s="2">
        <f>B72+1</f>
        <v/>
      </c>
      <c r="D73" s="279">
        <f>IF(B73&lt;$D$24,(+CALCULETTE!T652/CALCULETTE!$B$612),0)</f>
        <v/>
      </c>
      <c r="E73" s="279">
        <f>IF(E$1=0,"",IF($B73&lt;E$23,E72+PPMT(E$25/12,$B73,E$23,E$53,-E$27,0),IF($B73=E$23,E72+PPMT(E$25/12,$B73,E$23,E$53,-E$27,0)-E$27,0)))</f>
        <v/>
      </c>
      <c r="F73" s="279">
        <f>IF(F$1=0,"",IF($B73&lt;F$23,F72+PPMT(F$25/12,$B73,F$23,F$53,-F$27,0),IF($B73=F$23,F72+PPMT(F$25/12,$B73,F$23,F$53,-F$27,0)-F$27,0)))</f>
        <v/>
      </c>
      <c r="G73" s="279">
        <f>IF(G$1=0,"",IF($B73&lt;G$23,G72+PPMT(G$25/12,$B73,G$23,G$53,-G$27,0),IF($B73=G$23,G72+PPMT(G$25/12,$B73,G$23,G$53,-G$27,0)-G$27,0)))</f>
        <v/>
      </c>
      <c r="H73" s="279">
        <f>IF(H$1=0,"",IF($B73&lt;H$23,H72+PPMT(H$25/12,$B73,H$23,H$53,-H$27,0),IF($B73=H$23,H72+PPMT(H$25/12,$B73,H$23,H$53,-H$27,0)-H$27,0)))</f>
        <v/>
      </c>
      <c r="I73" s="279">
        <f>IF(I$1=0,"",IF($B73&lt;I$23,I72+PPMT(I$25/12,$B73,I$23,I$53,-I$27,0),IF($B73=I$23,I72+PPMT(I$25/12,$B73,I$23,I$53,-I$27,0)-I$27,0)))</f>
        <v/>
      </c>
      <c r="J73" s="279">
        <f>IF(J$1=0,"",IF($B73&lt;J$23,J72+PPMT(J$25/12,$B73,J$23,J$53,-J$27,0),IF($B73=J$23,J72+PPMT(J$25/12,$B73,J$23,J$53,-J$27,0)-J$27,0)))</f>
        <v/>
      </c>
      <c r="K73" s="279">
        <f>IF(K$1=0,"",IF($B73&lt;K$23,K72+PPMT(K$25/12,$B73,K$23,K$53,-K$27,0),IF($B73=K$23,K72+PPMT(K$25/12,$B73,K$23,K$53,-K$27,0)-K$27,0)))</f>
        <v/>
      </c>
      <c r="L73" s="279">
        <f>IF(L$1=0,"",IF($B73&lt;L$23,L72+PPMT(L$25/12,$B73,L$23,L$53,-L$27,0),IF($B73=L$23,L72+PPMT(L$25/12,$B73,L$23,L$53,-L$27,0)-L$27,0)))</f>
        <v/>
      </c>
      <c r="M73" s="279">
        <f>IF(M$1=0,"",IF($B73&lt;M$23,M72+PPMT(M$25/12,$B73,M$23,M$53,-M$27,0),IF($B73=M$23,M72+PPMT(M$25/12,$B73,M$23,M$53,-M$27,0)-M$27,0)))</f>
        <v/>
      </c>
      <c r="N73" s="280" t="n"/>
      <c r="O73" s="281" t="n"/>
      <c r="R73" s="1" t="n">
        <v>868.6702</v>
      </c>
    </row>
    <row r="74" hidden="1" outlineLevel="1">
      <c r="B74" s="2">
        <f>B73+1</f>
        <v/>
      </c>
      <c r="D74" s="279">
        <f>IF(B74&lt;$D$24,(+CALCULETTE!T653/CALCULETTE!$B$612),0)</f>
        <v/>
      </c>
      <c r="E74" s="279">
        <f>IF(E$1=0,"",IF($B74&lt;E$23,E73+PPMT(E$25/12,$B74,E$23,E$53,-E$27,0),IF($B74=E$23,E73+PPMT(E$25/12,$B74,E$23,E$53,-E$27,0)-E$27,0)))</f>
        <v/>
      </c>
      <c r="F74" s="279">
        <f>IF(F$1=0,"",IF($B74&lt;F$23,F73+PPMT(F$25/12,$B74,F$23,F$53,-F$27,0),IF($B74=F$23,F73+PPMT(F$25/12,$B74,F$23,F$53,-F$27,0)-F$27,0)))</f>
        <v/>
      </c>
      <c r="G74" s="279">
        <f>IF(G$1=0,"",IF($B74&lt;G$23,G73+PPMT(G$25/12,$B74,G$23,G$53,-G$27,0),IF($B74=G$23,G73+PPMT(G$25/12,$B74,G$23,G$53,-G$27,0)-G$27,0)))</f>
        <v/>
      </c>
      <c r="H74" s="279">
        <f>IF(H$1=0,"",IF($B74&lt;H$23,H73+PPMT(H$25/12,$B74,H$23,H$53,-H$27,0),IF($B74=H$23,H73+PPMT(H$25/12,$B74,H$23,H$53,-H$27,0)-H$27,0)))</f>
        <v/>
      </c>
      <c r="I74" s="279">
        <f>IF(I$1=0,"",IF($B74&lt;I$23,I73+PPMT(I$25/12,$B74,I$23,I$53,-I$27,0),IF($B74=I$23,I73+PPMT(I$25/12,$B74,I$23,I$53,-I$27,0)-I$27,0)))</f>
        <v/>
      </c>
      <c r="J74" s="279">
        <f>IF(J$1=0,"",IF($B74&lt;J$23,J73+PPMT(J$25/12,$B74,J$23,J$53,-J$27,0),IF($B74=J$23,J73+PPMT(J$25/12,$B74,J$23,J$53,-J$27,0)-J$27,0)))</f>
        <v/>
      </c>
      <c r="K74" s="279">
        <f>IF(K$1=0,"",IF($B74&lt;K$23,K73+PPMT(K$25/12,$B74,K$23,K$53,-K$27,0),IF($B74=K$23,K73+PPMT(K$25/12,$B74,K$23,K$53,-K$27,0)-K$27,0)))</f>
        <v/>
      </c>
      <c r="L74" s="279">
        <f>IF(L$1=0,"",IF($B74&lt;L$23,L73+PPMT(L$25/12,$B74,L$23,L$53,-L$27,0),IF($B74=L$23,L73+PPMT(L$25/12,$B74,L$23,L$53,-L$27,0)-L$27,0)))</f>
        <v/>
      </c>
      <c r="M74" s="279">
        <f>IF(M$1=0,"",IF($B74&lt;M$23,M73+PPMT(M$25/12,$B74,M$23,M$53,-M$27,0),IF($B74=M$23,M73+PPMT(M$25/12,$B74,M$23,M$53,-M$27,0)-M$27,0)))</f>
        <v/>
      </c>
      <c r="N74" s="280" t="n"/>
      <c r="O74" s="281" t="n"/>
      <c r="R74" s="1" t="n">
        <v>749.2016</v>
      </c>
    </row>
    <row r="75" hidden="1" outlineLevel="1">
      <c r="B75" s="2">
        <f>B74+1</f>
        <v/>
      </c>
      <c r="D75" s="279">
        <f>IF(B75&lt;$D$24,(+CALCULETTE!T654/CALCULETTE!$B$612),0)</f>
        <v/>
      </c>
      <c r="E75" s="279">
        <f>IF(E$1=0,"",IF($B75&lt;E$23,E74+PPMT(E$25/12,$B75,E$23,E$53,-E$27,0),IF($B75=E$23,E74+PPMT(E$25/12,$B75,E$23,E$53,-E$27,0)-E$27,0)))</f>
        <v/>
      </c>
      <c r="F75" s="279">
        <f>IF(F$1=0,"",IF($B75&lt;F$23,F74+PPMT(F$25/12,$B75,F$23,F$53,-F$27,0),IF($B75=F$23,F74+PPMT(F$25/12,$B75,F$23,F$53,-F$27,0)-F$27,0)))</f>
        <v/>
      </c>
      <c r="G75" s="279">
        <f>IF(G$1=0,"",IF($B75&lt;G$23,G74+PPMT(G$25/12,$B75,G$23,G$53,-G$27,0),IF($B75=G$23,G74+PPMT(G$25/12,$B75,G$23,G$53,-G$27,0)-G$27,0)))</f>
        <v/>
      </c>
      <c r="H75" s="279">
        <f>IF(H$1=0,"",IF($B75&lt;H$23,H74+PPMT(H$25/12,$B75,H$23,H$53,-H$27,0),IF($B75=H$23,H74+PPMT(H$25/12,$B75,H$23,H$53,-H$27,0)-H$27,0)))</f>
        <v/>
      </c>
      <c r="I75" s="279">
        <f>IF(I$1=0,"",IF($B75&lt;I$23,I74+PPMT(I$25/12,$B75,I$23,I$53,-I$27,0),IF($B75=I$23,I74+PPMT(I$25/12,$B75,I$23,I$53,-I$27,0)-I$27,0)))</f>
        <v/>
      </c>
      <c r="J75" s="279">
        <f>IF(J$1=0,"",IF($B75&lt;J$23,J74+PPMT(J$25/12,$B75,J$23,J$53,-J$27,0),IF($B75=J$23,J74+PPMT(J$25/12,$B75,J$23,J$53,-J$27,0)-J$27,0)))</f>
        <v/>
      </c>
      <c r="K75" s="279">
        <f>IF(K$1=0,"",IF($B75&lt;K$23,K74+PPMT(K$25/12,$B75,K$23,K$53,-K$27,0),IF($B75=K$23,K74+PPMT(K$25/12,$B75,K$23,K$53,-K$27,0)-K$27,0)))</f>
        <v/>
      </c>
      <c r="L75" s="279">
        <f>IF(L$1=0,"",IF($B75&lt;L$23,L74+PPMT(L$25/12,$B75,L$23,L$53,-L$27,0),IF($B75=L$23,L74+PPMT(L$25/12,$B75,L$23,L$53,-L$27,0)-L$27,0)))</f>
        <v/>
      </c>
      <c r="M75" s="279">
        <f>IF(M$1=0,"",IF($B75&lt;M$23,M74+PPMT(M$25/12,$B75,M$23,M$53,-M$27,0),IF($B75=M$23,M74+PPMT(M$25/12,$B75,M$23,M$53,-M$27,0)-M$27,0)))</f>
        <v/>
      </c>
      <c r="N75" s="280" t="n"/>
      <c r="O75" s="281" t="n"/>
      <c r="R75" s="1" t="n">
        <v>858.0152</v>
      </c>
    </row>
    <row r="76" hidden="1" outlineLevel="1">
      <c r="B76" s="2">
        <f>B75+1</f>
        <v/>
      </c>
      <c r="D76" s="279">
        <f>IF(B76&lt;$D$24,(+CALCULETTE!T655/CALCULETTE!$B$612),0)</f>
        <v/>
      </c>
      <c r="E76" s="279">
        <f>IF(E$1=0,"",IF($B76&lt;E$23,E75+PPMT(E$25/12,$B76,E$23,E$53,-E$27,0),IF($B76=E$23,E75+PPMT(E$25/12,$B76,E$23,E$53,-E$27,0)-E$27,0)))</f>
        <v/>
      </c>
      <c r="F76" s="279">
        <f>IF(F$1=0,"",IF($B76&lt;F$23,F75+PPMT(F$25/12,$B76,F$23,F$53,-F$27,0),IF($B76=F$23,F75+PPMT(F$25/12,$B76,F$23,F$53,-F$27,0)-F$27,0)))</f>
        <v/>
      </c>
      <c r="G76" s="279">
        <f>IF(G$1=0,"",IF($B76&lt;G$23,G75+PPMT(G$25/12,$B76,G$23,G$53,-G$27,0),IF($B76=G$23,G75+PPMT(G$25/12,$B76,G$23,G$53,-G$27,0)-G$27,0)))</f>
        <v/>
      </c>
      <c r="H76" s="279">
        <f>IF(H$1=0,"",IF($B76&lt;H$23,H75+PPMT(H$25/12,$B76,H$23,H$53,-H$27,0),IF($B76=H$23,H75+PPMT(H$25/12,$B76,H$23,H$53,-H$27,0)-H$27,0)))</f>
        <v/>
      </c>
      <c r="I76" s="279">
        <f>IF(I$1=0,"",IF($B76&lt;I$23,I75+PPMT(I$25/12,$B76,I$23,I$53,-I$27,0),IF($B76=I$23,I75+PPMT(I$25/12,$B76,I$23,I$53,-I$27,0)-I$27,0)))</f>
        <v/>
      </c>
      <c r="J76" s="279">
        <f>IF(J$1=0,"",IF($B76&lt;J$23,J75+PPMT(J$25/12,$B76,J$23,J$53,-J$27,0),IF($B76=J$23,J75+PPMT(J$25/12,$B76,J$23,J$53,-J$27,0)-J$27,0)))</f>
        <v/>
      </c>
      <c r="K76" s="279">
        <f>IF(K$1=0,"",IF($B76&lt;K$23,K75+PPMT(K$25/12,$B76,K$23,K$53,-K$27,0),IF($B76=K$23,K75+PPMT(K$25/12,$B76,K$23,K$53,-K$27,0)-K$27,0)))</f>
        <v/>
      </c>
      <c r="L76" s="279">
        <f>IF(L$1=0,"",IF($B76&lt;L$23,L75+PPMT(L$25/12,$B76,L$23,L$53,-L$27,0),IF($B76=L$23,L75+PPMT(L$25/12,$B76,L$23,L$53,-L$27,0)-L$27,0)))</f>
        <v/>
      </c>
      <c r="M76" s="279">
        <f>IF(M$1=0,"",IF($B76&lt;M$23,M75+PPMT(M$25/12,$B76,M$23,M$53,-M$27,0),IF($B76=M$23,M75+PPMT(M$25/12,$B76,M$23,M$53,-M$27,0)-M$27,0)))</f>
        <v/>
      </c>
      <c r="N76" s="280" t="n"/>
      <c r="O76" s="281" t="n"/>
      <c r="R76" s="1" t="n">
        <v>289.4676</v>
      </c>
    </row>
    <row r="77" hidden="1" outlineLevel="1">
      <c r="B77" s="2">
        <f>B76+1</f>
        <v/>
      </c>
      <c r="D77" s="279">
        <f>IF(B77&lt;$D$24,(+CALCULETTE!T656/CALCULETTE!$B$612),0)</f>
        <v/>
      </c>
      <c r="E77" s="279">
        <f>IF(E$1=0,"",IF($B77&lt;E$23,E76+PPMT(E$25/12,$B77,E$23,E$53,-E$27,0),IF($B77=E$23,E76+PPMT(E$25/12,$B77,E$23,E$53,-E$27,0)-E$27,0)))</f>
        <v/>
      </c>
      <c r="F77" s="279">
        <f>IF(F$1=0,"",IF($B77&lt;F$23,F76+PPMT(F$25/12,$B77,F$23,F$53,-F$27,0),IF($B77=F$23,F76+PPMT(F$25/12,$B77,F$23,F$53,-F$27,0)-F$27,0)))</f>
        <v/>
      </c>
      <c r="G77" s="279">
        <f>IF(G$1=0,"",IF($B77&lt;G$23,G76+PPMT(G$25/12,$B77,G$23,G$53,-G$27,0),IF($B77=G$23,G76+PPMT(G$25/12,$B77,G$23,G$53,-G$27,0)-G$27,0)))</f>
        <v/>
      </c>
      <c r="H77" s="279">
        <f>IF(H$1=0,"",IF($B77&lt;H$23,H76+PPMT(H$25/12,$B77,H$23,H$53,-H$27,0),IF($B77=H$23,H76+PPMT(H$25/12,$B77,H$23,H$53,-H$27,0)-H$27,0)))</f>
        <v/>
      </c>
      <c r="I77" s="279">
        <f>IF(I$1=0,"",IF($B77&lt;I$23,I76+PPMT(I$25/12,$B77,I$23,I$53,-I$27,0),IF($B77=I$23,I76+PPMT(I$25/12,$B77,I$23,I$53,-I$27,0)-I$27,0)))</f>
        <v/>
      </c>
      <c r="J77" s="279">
        <f>IF(J$1=0,"",IF($B77&lt;J$23,J76+PPMT(J$25/12,$B77,J$23,J$53,-J$27,0),IF($B77=J$23,J76+PPMT(J$25/12,$B77,J$23,J$53,-J$27,0)-J$27,0)))</f>
        <v/>
      </c>
      <c r="K77" s="279">
        <f>IF(K$1=0,"",IF($B77&lt;K$23,K76+PPMT(K$25/12,$B77,K$23,K$53,-K$27,0),IF($B77=K$23,K76+PPMT(K$25/12,$B77,K$23,K$53,-K$27,0)-K$27,0)))</f>
        <v/>
      </c>
      <c r="L77" s="279">
        <f>IF(L$1=0,"",IF($B77&lt;L$23,L76+PPMT(L$25/12,$B77,L$23,L$53,-L$27,0),IF($B77=L$23,L76+PPMT(L$25/12,$B77,L$23,L$53,-L$27,0)-L$27,0)))</f>
        <v/>
      </c>
      <c r="M77" s="279">
        <f>IF(M$1=0,"",IF($B77&lt;M$23,M76+PPMT(M$25/12,$B77,M$23,M$53,-M$27,0),IF($B77=M$23,M76+PPMT(M$25/12,$B77,M$23,M$53,-M$27,0)-M$27,0)))</f>
        <v/>
      </c>
      <c r="N77" s="280" t="n"/>
      <c r="O77" s="281" t="n"/>
      <c r="R77" s="1" t="n">
        <v>699.9061</v>
      </c>
    </row>
    <row r="78" hidden="1" outlineLevel="1">
      <c r="B78" s="2">
        <f>B77+1</f>
        <v/>
      </c>
      <c r="D78" s="279">
        <f>IF(B78&lt;$D$24,(+CALCULETTE!T657/CALCULETTE!$B$612),0)</f>
        <v/>
      </c>
      <c r="E78" s="279">
        <f>IF(E$1=0,"",IF($B78&lt;E$23,E77+PPMT(E$25/12,$B78,E$23,E$53,-E$27,0),IF($B78=E$23,E77+PPMT(E$25/12,$B78,E$23,E$53,-E$27,0)-E$27,0)))</f>
        <v/>
      </c>
      <c r="F78" s="279">
        <f>IF(F$1=0,"",IF($B78&lt;F$23,F77+PPMT(F$25/12,$B78,F$23,F$53,-F$27,0),IF($B78=F$23,F77+PPMT(F$25/12,$B78,F$23,F$53,-F$27,0)-F$27,0)))</f>
        <v/>
      </c>
      <c r="G78" s="279">
        <f>IF(G$1=0,"",IF($B78&lt;G$23,G77+PPMT(G$25/12,$B78,G$23,G$53,-G$27,0),IF($B78=G$23,G77+PPMT(G$25/12,$B78,G$23,G$53,-G$27,0)-G$27,0)))</f>
        <v/>
      </c>
      <c r="H78" s="279">
        <f>IF(H$1=0,"",IF($B78&lt;H$23,H77+PPMT(H$25/12,$B78,H$23,H$53,-H$27,0),IF($B78=H$23,H77+PPMT(H$25/12,$B78,H$23,H$53,-H$27,0)-H$27,0)))</f>
        <v/>
      </c>
      <c r="I78" s="279">
        <f>IF(I$1=0,"",IF($B78&lt;I$23,I77+PPMT(I$25/12,$B78,I$23,I$53,-I$27,0),IF($B78=I$23,I77+PPMT(I$25/12,$B78,I$23,I$53,-I$27,0)-I$27,0)))</f>
        <v/>
      </c>
      <c r="J78" s="279">
        <f>IF(J$1=0,"",IF($B78&lt;J$23,J77+PPMT(J$25/12,$B78,J$23,J$53,-J$27,0),IF($B78=J$23,J77+PPMT(J$25/12,$B78,J$23,J$53,-J$27,0)-J$27,0)))</f>
        <v/>
      </c>
      <c r="K78" s="279">
        <f>IF(K$1=0,"",IF($B78&lt;K$23,K77+PPMT(K$25/12,$B78,K$23,K$53,-K$27,0),IF($B78=K$23,K77+PPMT(K$25/12,$B78,K$23,K$53,-K$27,0)-K$27,0)))</f>
        <v/>
      </c>
      <c r="L78" s="279">
        <f>IF(L$1=0,"",IF($B78&lt;L$23,L77+PPMT(L$25/12,$B78,L$23,L$53,-L$27,0),IF($B78=L$23,L77+PPMT(L$25/12,$B78,L$23,L$53,-L$27,0)-L$27,0)))</f>
        <v/>
      </c>
      <c r="M78" s="279">
        <f>IF(M$1=0,"",IF($B78&lt;M$23,M77+PPMT(M$25/12,$B78,M$23,M$53,-M$27,0),IF($B78=M$23,M77+PPMT(M$25/12,$B78,M$23,M$53,-M$27,0)-M$27,0)))</f>
        <v/>
      </c>
      <c r="N78" s="280" t="n"/>
      <c r="O78" s="281" t="n"/>
      <c r="R78" s="1" t="n">
        <v>740.2597</v>
      </c>
    </row>
    <row r="79" hidden="1" outlineLevel="1">
      <c r="B79" s="2">
        <f>B78+1</f>
        <v/>
      </c>
      <c r="D79" s="279">
        <f>IF(B79&lt;$D$24,(+CALCULETTE!T658/CALCULETTE!$B$612),0)</f>
        <v/>
      </c>
      <c r="E79" s="279">
        <f>IF(E$1=0,"",IF($B79&lt;E$23,E78+PPMT(E$25/12,$B79,E$23,E$53,-E$27,0),IF($B79=E$23,E78+PPMT(E$25/12,$B79,E$23,E$53,-E$27,0)-E$27,0)))</f>
        <v/>
      </c>
      <c r="F79" s="279">
        <f>IF(F$1=0,"",IF($B79&lt;F$23,F78+PPMT(F$25/12,$B79,F$23,F$53,-F$27,0),IF($B79=F$23,F78+PPMT(F$25/12,$B79,F$23,F$53,-F$27,0)-F$27,0)))</f>
        <v/>
      </c>
      <c r="G79" s="279">
        <f>IF(G$1=0,"",IF($B79&lt;G$23,G78+PPMT(G$25/12,$B79,G$23,G$53,-G$27,0),IF($B79=G$23,G78+PPMT(G$25/12,$B79,G$23,G$53,-G$27,0)-G$27,0)))</f>
        <v/>
      </c>
      <c r="H79" s="279">
        <f>IF(H$1=0,"",IF($B79&lt;H$23,H78+PPMT(H$25/12,$B79,H$23,H$53,-H$27,0),IF($B79=H$23,H78+PPMT(H$25/12,$B79,H$23,H$53,-H$27,0)-H$27,0)))</f>
        <v/>
      </c>
      <c r="I79" s="279">
        <f>IF(I$1=0,"",IF($B79&lt;I$23,I78+PPMT(I$25/12,$B79,I$23,I$53,-I$27,0),IF($B79=I$23,I78+PPMT(I$25/12,$B79,I$23,I$53,-I$27,0)-I$27,0)))</f>
        <v/>
      </c>
      <c r="J79" s="279">
        <f>IF(J$1=0,"",IF($B79&lt;J$23,J78+PPMT(J$25/12,$B79,J$23,J$53,-J$27,0),IF($B79=J$23,J78+PPMT(J$25/12,$B79,J$23,J$53,-J$27,0)-J$27,0)))</f>
        <v/>
      </c>
      <c r="K79" s="279">
        <f>IF(K$1=0,"",IF($B79&lt;K$23,K78+PPMT(K$25/12,$B79,K$23,K$53,-K$27,0),IF($B79=K$23,K78+PPMT(K$25/12,$B79,K$23,K$53,-K$27,0)-K$27,0)))</f>
        <v/>
      </c>
      <c r="L79" s="279">
        <f>IF(L$1=0,"",IF($B79&lt;L$23,L78+PPMT(L$25/12,$B79,L$23,L$53,-L$27,0),IF($B79=L$23,L78+PPMT(L$25/12,$B79,L$23,L$53,-L$27,0)-L$27,0)))</f>
        <v/>
      </c>
      <c r="M79" s="279">
        <f>IF(M$1=0,"",IF($B79&lt;M$23,M78+PPMT(M$25/12,$B79,M$23,M$53,-M$27,0),IF($B79=M$23,M78+PPMT(M$25/12,$B79,M$23,M$53,-M$27,0)-M$27,0)))</f>
        <v/>
      </c>
      <c r="N79" s="280" t="n"/>
      <c r="O79" s="281" t="n"/>
      <c r="R79" s="1" t="n">
        <v>584.419</v>
      </c>
    </row>
    <row r="80" hidden="1" outlineLevel="1">
      <c r="B80" s="2">
        <f>B79+1</f>
        <v/>
      </c>
      <c r="D80" s="279">
        <f>IF(B80&lt;$D$24,(+CALCULETTE!T659/CALCULETTE!$B$612),0)</f>
        <v/>
      </c>
      <c r="E80" s="279">
        <f>IF(E$1=0,"",IF($B80&lt;E$23,E79+PPMT(E$25/12,$B80,E$23,E$53,-E$27,0),IF($B80=E$23,E79+PPMT(E$25/12,$B80,E$23,E$53,-E$27,0)-E$27,0)))</f>
        <v/>
      </c>
      <c r="F80" s="279">
        <f>IF(F$1=0,"",IF($B80&lt;F$23,F79+PPMT(F$25/12,$B80,F$23,F$53,-F$27,0),IF($B80=F$23,F79+PPMT(F$25/12,$B80,F$23,F$53,-F$27,0)-F$27,0)))</f>
        <v/>
      </c>
      <c r="G80" s="279">
        <f>IF(G$1=0,"",IF($B80&lt;G$23,G79+PPMT(G$25/12,$B80,G$23,G$53,-G$27,0),IF($B80=G$23,G79+PPMT(G$25/12,$B80,G$23,G$53,-G$27,0)-G$27,0)))</f>
        <v/>
      </c>
      <c r="H80" s="279">
        <f>IF(H$1=0,"",IF($B80&lt;H$23,H79+PPMT(H$25/12,$B80,H$23,H$53,-H$27,0),IF($B80=H$23,H79+PPMT(H$25/12,$B80,H$23,H$53,-H$27,0)-H$27,0)))</f>
        <v/>
      </c>
      <c r="I80" s="279">
        <f>IF(I$1=0,"",IF($B80&lt;I$23,I79+PPMT(I$25/12,$B80,I$23,I$53,-I$27,0),IF($B80=I$23,I79+PPMT(I$25/12,$B80,I$23,I$53,-I$27,0)-I$27,0)))</f>
        <v/>
      </c>
      <c r="J80" s="279">
        <f>IF(J$1=0,"",IF($B80&lt;J$23,J79+PPMT(J$25/12,$B80,J$23,J$53,-J$27,0),IF($B80=J$23,J79+PPMT(J$25/12,$B80,J$23,J$53,-J$27,0)-J$27,0)))</f>
        <v/>
      </c>
      <c r="K80" s="279">
        <f>IF(K$1=0,"",IF($B80&lt;K$23,K79+PPMT(K$25/12,$B80,K$23,K$53,-K$27,0),IF($B80=K$23,K79+PPMT(K$25/12,$B80,K$23,K$53,-K$27,0)-K$27,0)))</f>
        <v/>
      </c>
      <c r="L80" s="279">
        <f>IF(L$1=0,"",IF($B80&lt;L$23,L79+PPMT(L$25/12,$B80,L$23,L$53,-L$27,0),IF($B80=L$23,L79+PPMT(L$25/12,$B80,L$23,L$53,-L$27,0)-L$27,0)))</f>
        <v/>
      </c>
      <c r="M80" s="279">
        <f>IF(M$1=0,"",IF($B80&lt;M$23,M79+PPMT(M$25/12,$B80,M$23,M$53,-M$27,0),IF($B80=M$23,M79+PPMT(M$25/12,$B80,M$23,M$53,-M$27,0)-M$27,0)))</f>
        <v/>
      </c>
      <c r="N80" s="280" t="n"/>
      <c r="O80" s="281" t="n"/>
      <c r="R80" s="1" t="n">
        <v>762.6297</v>
      </c>
    </row>
    <row r="81" hidden="1" outlineLevel="1">
      <c r="B81" s="2">
        <f>B80+1</f>
        <v/>
      </c>
      <c r="D81" s="279">
        <f>IF(B81&lt;$D$24,(+CALCULETTE!T660/CALCULETTE!$B$612),0)</f>
        <v/>
      </c>
      <c r="E81" s="279">
        <f>IF(E$1=0,"",IF($B81&lt;E$23,E80+PPMT(E$25/12,$B81,E$23,E$53,-E$27,0),IF($B81=E$23,E80+PPMT(E$25/12,$B81,E$23,E$53,-E$27,0)-E$27,0)))</f>
        <v/>
      </c>
      <c r="F81" s="279">
        <f>IF(F$1=0,"",IF($B81&lt;F$23,F80+PPMT(F$25/12,$B81,F$23,F$53,-F$27,0),IF($B81=F$23,F80+PPMT(F$25/12,$B81,F$23,F$53,-F$27,0)-F$27,0)))</f>
        <v/>
      </c>
      <c r="G81" s="279">
        <f>IF(G$1=0,"",IF($B81&lt;G$23,G80+PPMT(G$25/12,$B81,G$23,G$53,-G$27,0),IF($B81=G$23,G80+PPMT(G$25/12,$B81,G$23,G$53,-G$27,0)-G$27,0)))</f>
        <v/>
      </c>
      <c r="H81" s="279">
        <f>IF(H$1=0,"",IF($B81&lt;H$23,H80+PPMT(H$25/12,$B81,H$23,H$53,-H$27,0),IF($B81=H$23,H80+PPMT(H$25/12,$B81,H$23,H$53,-H$27,0)-H$27,0)))</f>
        <v/>
      </c>
      <c r="I81" s="279">
        <f>IF(I$1=0,"",IF($B81&lt;I$23,I80+PPMT(I$25/12,$B81,I$23,I$53,-I$27,0),IF($B81=I$23,I80+PPMT(I$25/12,$B81,I$23,I$53,-I$27,0)-I$27,0)))</f>
        <v/>
      </c>
      <c r="J81" s="279">
        <f>IF(J$1=0,"",IF($B81&lt;J$23,J80+PPMT(J$25/12,$B81,J$23,J$53,-J$27,0),IF($B81=J$23,J80+PPMT(J$25/12,$B81,J$23,J$53,-J$27,0)-J$27,0)))</f>
        <v/>
      </c>
      <c r="K81" s="279">
        <f>IF(K$1=0,"",IF($B81&lt;K$23,K80+PPMT(K$25/12,$B81,K$23,K$53,-K$27,0),IF($B81=K$23,K80+PPMT(K$25/12,$B81,K$23,K$53,-K$27,0)-K$27,0)))</f>
        <v/>
      </c>
      <c r="L81" s="279">
        <f>IF(L$1=0,"",IF($B81&lt;L$23,L80+PPMT(L$25/12,$B81,L$23,L$53,-L$27,0),IF($B81=L$23,L80+PPMT(L$25/12,$B81,L$23,L$53,-L$27,0)-L$27,0)))</f>
        <v/>
      </c>
      <c r="M81" s="279">
        <f>IF(M$1=0,"",IF($B81&lt;M$23,M80+PPMT(M$25/12,$B81,M$23,M$53,-M$27,0),IF($B81=M$23,M80+PPMT(M$25/12,$B81,M$23,M$53,-M$27,0)-M$27,0)))</f>
        <v/>
      </c>
      <c r="N81" s="280" t="n"/>
      <c r="O81" s="281" t="n"/>
      <c r="R81" s="1" t="n">
        <v>307.3149</v>
      </c>
    </row>
    <row r="82" hidden="1" outlineLevel="1">
      <c r="B82" s="2">
        <f>B81+1</f>
        <v/>
      </c>
      <c r="D82" s="279">
        <f>IF(B82&lt;$D$24,(+CALCULETTE!T661/CALCULETTE!$B$612),0)</f>
        <v/>
      </c>
      <c r="E82" s="279">
        <f>IF(E$1=0,"",IF($B82&lt;E$23,E81+PPMT(E$25/12,$B82,E$23,E$53,-E$27,0),IF($B82=E$23,E81+PPMT(E$25/12,$B82,E$23,E$53,-E$27,0)-E$27,0)))</f>
        <v/>
      </c>
      <c r="F82" s="279">
        <f>IF(F$1=0,"",IF($B82&lt;F$23,F81+PPMT(F$25/12,$B82,F$23,F$53,-F$27,0),IF($B82=F$23,F81+PPMT(F$25/12,$B82,F$23,F$53,-F$27,0)-F$27,0)))</f>
        <v/>
      </c>
      <c r="G82" s="279">
        <f>IF(G$1=0,"",IF($B82&lt;G$23,G81+PPMT(G$25/12,$B82,G$23,G$53,-G$27,0),IF($B82=G$23,G81+PPMT(G$25/12,$B82,G$23,G$53,-G$27,0)-G$27,0)))</f>
        <v/>
      </c>
      <c r="H82" s="279">
        <f>IF(H$1=0,"",IF($B82&lt;H$23,H81+PPMT(H$25/12,$B82,H$23,H$53,-H$27,0),IF($B82=H$23,H81+PPMT(H$25/12,$B82,H$23,H$53,-H$27,0)-H$27,0)))</f>
        <v/>
      </c>
      <c r="I82" s="279">
        <f>IF(I$1=0,"",IF($B82&lt;I$23,I81+PPMT(I$25/12,$B82,I$23,I$53,-I$27,0),IF($B82=I$23,I81+PPMT(I$25/12,$B82,I$23,I$53,-I$27,0)-I$27,0)))</f>
        <v/>
      </c>
      <c r="J82" s="279">
        <f>IF(J$1=0,"",IF($B82&lt;J$23,J81+PPMT(J$25/12,$B82,J$23,J$53,-J$27,0),IF($B82=J$23,J81+PPMT(J$25/12,$B82,J$23,J$53,-J$27,0)-J$27,0)))</f>
        <v/>
      </c>
      <c r="K82" s="279">
        <f>IF(K$1=0,"",IF($B82&lt;K$23,K81+PPMT(K$25/12,$B82,K$23,K$53,-K$27,0),IF($B82=K$23,K81+PPMT(K$25/12,$B82,K$23,K$53,-K$27,0)-K$27,0)))</f>
        <v/>
      </c>
      <c r="L82" s="279">
        <f>IF(L$1=0,"",IF($B82&lt;L$23,L81+PPMT(L$25/12,$B82,L$23,L$53,-L$27,0),IF($B82=L$23,L81+PPMT(L$25/12,$B82,L$23,L$53,-L$27,0)-L$27,0)))</f>
        <v/>
      </c>
      <c r="M82" s="279">
        <f>IF(M$1=0,"",IF($B82&lt;M$23,M81+PPMT(M$25/12,$B82,M$23,M$53,-M$27,0),IF($B82=M$23,M81+PPMT(M$25/12,$B82,M$23,M$53,-M$27,0)-M$27,0)))</f>
        <v/>
      </c>
      <c r="N82" s="280" t="n"/>
      <c r="O82" s="281" t="n"/>
      <c r="R82" s="1" t="n">
        <v>349.0949</v>
      </c>
    </row>
    <row r="83" hidden="1" outlineLevel="1">
      <c r="B83" s="2">
        <f>B82+1</f>
        <v/>
      </c>
      <c r="D83" s="279">
        <f>IF(B83&lt;$D$24,(+CALCULETTE!T662/CALCULETTE!$B$612),0)</f>
        <v/>
      </c>
      <c r="E83" s="279">
        <f>IF(E$1=0,"",IF($B83&lt;E$23,E82+PPMT(E$25/12,$B83,E$23,E$53,-E$27,0),IF($B83=E$23,E82+PPMT(E$25/12,$B83,E$23,E$53,-E$27,0)-E$27,0)))</f>
        <v/>
      </c>
      <c r="F83" s="279">
        <f>IF(F$1=0,"",IF($B83&lt;F$23,F82+PPMT(F$25/12,$B83,F$23,F$53,-F$27,0),IF($B83=F$23,F82+PPMT(F$25/12,$B83,F$23,F$53,-F$27,0)-F$27,0)))</f>
        <v/>
      </c>
      <c r="G83" s="279">
        <f>IF(G$1=0,"",IF($B83&lt;G$23,G82+PPMT(G$25/12,$B83,G$23,G$53,-G$27,0),IF($B83=G$23,G82+PPMT(G$25/12,$B83,G$23,G$53,-G$27,0)-G$27,0)))</f>
        <v/>
      </c>
      <c r="H83" s="279">
        <f>IF(H$1=0,"",IF($B83&lt;H$23,H82+PPMT(H$25/12,$B83,H$23,H$53,-H$27,0),IF($B83=H$23,H82+PPMT(H$25/12,$B83,H$23,H$53,-H$27,0)-H$27,0)))</f>
        <v/>
      </c>
      <c r="I83" s="279">
        <f>IF(I$1=0,"",IF($B83&lt;I$23,I82+PPMT(I$25/12,$B83,I$23,I$53,-I$27,0),IF($B83=I$23,I82+PPMT(I$25/12,$B83,I$23,I$53,-I$27,0)-I$27,0)))</f>
        <v/>
      </c>
      <c r="J83" s="279">
        <f>IF(J$1=0,"",IF($B83&lt;J$23,J82+PPMT(J$25/12,$B83,J$23,J$53,-J$27,0),IF($B83=J$23,J82+PPMT(J$25/12,$B83,J$23,J$53,-J$27,0)-J$27,0)))</f>
        <v/>
      </c>
      <c r="K83" s="279">
        <f>IF(K$1=0,"",IF($B83&lt;K$23,K82+PPMT(K$25/12,$B83,K$23,K$53,-K$27,0),IF($B83=K$23,K82+PPMT(K$25/12,$B83,K$23,K$53,-K$27,0)-K$27,0)))</f>
        <v/>
      </c>
      <c r="L83" s="279">
        <f>IF(L$1=0,"",IF($B83&lt;L$23,L82+PPMT(L$25/12,$B83,L$23,L$53,-L$27,0),IF($B83=L$23,L82+PPMT(L$25/12,$B83,L$23,L$53,-L$27,0)-L$27,0)))</f>
        <v/>
      </c>
      <c r="M83" s="279">
        <f>IF(M$1=0,"",IF($B83&lt;M$23,M82+PPMT(M$25/12,$B83,M$23,M$53,-M$27,0),IF($B83=M$23,M82+PPMT(M$25/12,$B83,M$23,M$53,-M$27,0)-M$27,0)))</f>
        <v/>
      </c>
      <c r="N83" s="280" t="n"/>
      <c r="O83" s="281" t="n"/>
      <c r="R83" s="1" t="n">
        <v>835.2501</v>
      </c>
    </row>
    <row r="84" hidden="1" outlineLevel="1">
      <c r="B84" s="2">
        <f>B83+1</f>
        <v/>
      </c>
      <c r="D84" s="279">
        <f>IF(B84&lt;$D$24,(+CALCULETTE!T663/CALCULETTE!$B$612),0)</f>
        <v/>
      </c>
      <c r="E84" s="279">
        <f>IF(E$1=0,"",IF($B84&lt;E$23,E83+PPMT(E$25/12,$B84,E$23,E$53,-E$27,0),IF($B84=E$23,E83+PPMT(E$25/12,$B84,E$23,E$53,-E$27,0)-E$27,0)))</f>
        <v/>
      </c>
      <c r="F84" s="279">
        <f>IF(F$1=0,"",IF($B84&lt;F$23,F83+PPMT(F$25/12,$B84,F$23,F$53,-F$27,0),IF($B84=F$23,F83+PPMT(F$25/12,$B84,F$23,F$53,-F$27,0)-F$27,0)))</f>
        <v/>
      </c>
      <c r="G84" s="279">
        <f>IF(G$1=0,"",IF($B84&lt;G$23,G83+PPMT(G$25/12,$B84,G$23,G$53,-G$27,0),IF($B84=G$23,G83+PPMT(G$25/12,$B84,G$23,G$53,-G$27,0)-G$27,0)))</f>
        <v/>
      </c>
      <c r="H84" s="279">
        <f>IF(H$1=0,"",IF($B84&lt;H$23,H83+PPMT(H$25/12,$B84,H$23,H$53,-H$27,0),IF($B84=H$23,H83+PPMT(H$25/12,$B84,H$23,H$53,-H$27,0)-H$27,0)))</f>
        <v/>
      </c>
      <c r="I84" s="279">
        <f>IF(I$1=0,"",IF($B84&lt;I$23,I83+PPMT(I$25/12,$B84,I$23,I$53,-I$27,0),IF($B84=I$23,I83+PPMT(I$25/12,$B84,I$23,I$53,-I$27,0)-I$27,0)))</f>
        <v/>
      </c>
      <c r="J84" s="279">
        <f>IF(J$1=0,"",IF($B84&lt;J$23,J83+PPMT(J$25/12,$B84,J$23,J$53,-J$27,0),IF($B84=J$23,J83+PPMT(J$25/12,$B84,J$23,J$53,-J$27,0)-J$27,0)))</f>
        <v/>
      </c>
      <c r="K84" s="279">
        <f>IF(K$1=0,"",IF($B84&lt;K$23,K83+PPMT(K$25/12,$B84,K$23,K$53,-K$27,0),IF($B84=K$23,K83+PPMT(K$25/12,$B84,K$23,K$53,-K$27,0)-K$27,0)))</f>
        <v/>
      </c>
      <c r="L84" s="279">
        <f>IF(L$1=0,"",IF($B84&lt;L$23,L83+PPMT(L$25/12,$B84,L$23,L$53,-L$27,0),IF($B84=L$23,L83+PPMT(L$25/12,$B84,L$23,L$53,-L$27,0)-L$27,0)))</f>
        <v/>
      </c>
      <c r="M84" s="279">
        <f>IF(M$1=0,"",IF($B84&lt;M$23,M83+PPMT(M$25/12,$B84,M$23,M$53,-M$27,0),IF($B84=M$23,M83+PPMT(M$25/12,$B84,M$23,M$53,-M$27,0)-M$27,0)))</f>
        <v/>
      </c>
      <c r="N84" s="280" t="n"/>
      <c r="O84" s="281" t="n"/>
      <c r="R84" s="1" t="n">
        <v>749.7026</v>
      </c>
    </row>
    <row r="85" hidden="1" outlineLevel="1">
      <c r="B85" s="2">
        <f>B84+1</f>
        <v/>
      </c>
      <c r="D85" s="279">
        <f>IF(B85&lt;$D$24,(+CALCULETTE!T664/CALCULETTE!$B$612),0)</f>
        <v/>
      </c>
      <c r="E85" s="279">
        <f>IF(E$1=0,"",IF($B85&lt;E$23,E84+PPMT(E$25/12,$B85,E$23,E$53,-E$27,0),IF($B85=E$23,E84+PPMT(E$25/12,$B85,E$23,E$53,-E$27,0)-E$27,0)))</f>
        <v/>
      </c>
      <c r="F85" s="279">
        <f>IF(F$1=0,"",IF($B85&lt;F$23,F84+PPMT(F$25/12,$B85,F$23,F$53,-F$27,0),IF($B85=F$23,F84+PPMT(F$25/12,$B85,F$23,F$53,-F$27,0)-F$27,0)))</f>
        <v/>
      </c>
      <c r="G85" s="279">
        <f>IF(G$1=0,"",IF($B85&lt;G$23,G84+PPMT(G$25/12,$B85,G$23,G$53,-G$27,0),IF($B85=G$23,G84+PPMT(G$25/12,$B85,G$23,G$53,-G$27,0)-G$27,0)))</f>
        <v/>
      </c>
      <c r="H85" s="279">
        <f>IF(H$1=0,"",IF($B85&lt;H$23,H84+PPMT(H$25/12,$B85,H$23,H$53,-H$27,0),IF($B85=H$23,H84+PPMT(H$25/12,$B85,H$23,H$53,-H$27,0)-H$27,0)))</f>
        <v/>
      </c>
      <c r="I85" s="279">
        <f>IF(I$1=0,"",IF($B85&lt;I$23,I84+PPMT(I$25/12,$B85,I$23,I$53,-I$27,0),IF($B85=I$23,I84+PPMT(I$25/12,$B85,I$23,I$53,-I$27,0)-I$27,0)))</f>
        <v/>
      </c>
      <c r="J85" s="279">
        <f>IF(J$1=0,"",IF($B85&lt;J$23,J84+PPMT(J$25/12,$B85,J$23,J$53,-J$27,0),IF($B85=J$23,J84+PPMT(J$25/12,$B85,J$23,J$53,-J$27,0)-J$27,0)))</f>
        <v/>
      </c>
      <c r="K85" s="279">
        <f>IF(K$1=0,"",IF($B85&lt;K$23,K84+PPMT(K$25/12,$B85,K$23,K$53,-K$27,0),IF($B85=K$23,K84+PPMT(K$25/12,$B85,K$23,K$53,-K$27,0)-K$27,0)))</f>
        <v/>
      </c>
      <c r="L85" s="279">
        <f>IF(L$1=0,"",IF($B85&lt;L$23,L84+PPMT(L$25/12,$B85,L$23,L$53,-L$27,0),IF($B85=L$23,L84+PPMT(L$25/12,$B85,L$23,L$53,-L$27,0)-L$27,0)))</f>
        <v/>
      </c>
      <c r="M85" s="279">
        <f>IF(M$1=0,"",IF($B85&lt;M$23,M84+PPMT(M$25/12,$B85,M$23,M$53,-M$27,0),IF($B85=M$23,M84+PPMT(M$25/12,$B85,M$23,M$53,-M$27,0)-M$27,0)))</f>
        <v/>
      </c>
      <c r="N85" s="280" t="n"/>
      <c r="O85" s="281" t="n"/>
      <c r="R85" s="1" t="n">
        <v>343.7599</v>
      </c>
    </row>
    <row r="86" hidden="1" outlineLevel="1">
      <c r="B86" s="2">
        <f>B85+1</f>
        <v/>
      </c>
      <c r="D86" s="279">
        <f>IF(B86&lt;$D$24,(+CALCULETTE!T665/CALCULETTE!$B$612),0)</f>
        <v/>
      </c>
      <c r="E86" s="279">
        <f>IF(E$1=0,"",IF($B86&lt;E$23,E85+PPMT(E$25/12,$B86,E$23,E$53,-E$27,0),IF($B86=E$23,E85+PPMT(E$25/12,$B86,E$23,E$53,-E$27,0)-E$27,0)))</f>
        <v/>
      </c>
      <c r="F86" s="279">
        <f>IF(F$1=0,"",IF($B86&lt;F$23,F85+PPMT(F$25/12,$B86,F$23,F$53,-F$27,0),IF($B86=F$23,F85+PPMT(F$25/12,$B86,F$23,F$53,-F$27,0)-F$27,0)))</f>
        <v/>
      </c>
      <c r="G86" s="279">
        <f>IF(G$1=0,"",IF($B86&lt;G$23,G85+PPMT(G$25/12,$B86,G$23,G$53,-G$27,0),IF($B86=G$23,G85+PPMT(G$25/12,$B86,G$23,G$53,-G$27,0)-G$27,0)))</f>
        <v/>
      </c>
      <c r="H86" s="279">
        <f>IF(H$1=0,"",IF($B86&lt;H$23,H85+PPMT(H$25/12,$B86,H$23,H$53,-H$27,0),IF($B86=H$23,H85+PPMT(H$25/12,$B86,H$23,H$53,-H$27,0)-H$27,0)))</f>
        <v/>
      </c>
      <c r="I86" s="279">
        <f>IF(I$1=0,"",IF($B86&lt;I$23,I85+PPMT(I$25/12,$B86,I$23,I$53,-I$27,0),IF($B86=I$23,I85+PPMT(I$25/12,$B86,I$23,I$53,-I$27,0)-I$27,0)))</f>
        <v/>
      </c>
      <c r="J86" s="279">
        <f>IF(J$1=0,"",IF($B86&lt;J$23,J85+PPMT(J$25/12,$B86,J$23,J$53,-J$27,0),IF($B86=J$23,J85+PPMT(J$25/12,$B86,J$23,J$53,-J$27,0)-J$27,0)))</f>
        <v/>
      </c>
      <c r="K86" s="279">
        <f>IF(K$1=0,"",IF($B86&lt;K$23,K85+PPMT(K$25/12,$B86,K$23,K$53,-K$27,0),IF($B86=K$23,K85+PPMT(K$25/12,$B86,K$23,K$53,-K$27,0)-K$27,0)))</f>
        <v/>
      </c>
      <c r="L86" s="279">
        <f>IF(L$1=0,"",IF($B86&lt;L$23,L85+PPMT(L$25/12,$B86,L$23,L$53,-L$27,0),IF($B86=L$23,L85+PPMT(L$25/12,$B86,L$23,L$53,-L$27,0)-L$27,0)))</f>
        <v/>
      </c>
      <c r="M86" s="279">
        <f>IF(M$1=0,"",IF($B86&lt;M$23,M85+PPMT(M$25/12,$B86,M$23,M$53,-M$27,0),IF($B86=M$23,M85+PPMT(M$25/12,$B86,M$23,M$53,-M$27,0)-M$27,0)))</f>
        <v/>
      </c>
      <c r="N86" s="280" t="n"/>
      <c r="O86" s="281" t="n"/>
      <c r="R86" s="1" t="n">
        <v>319.8384</v>
      </c>
    </row>
    <row r="87" hidden="1" outlineLevel="1">
      <c r="B87" s="2">
        <f>B86+1</f>
        <v/>
      </c>
      <c r="D87" s="279">
        <f>IF(B87&lt;$D$24,(+CALCULETTE!T666/CALCULETTE!$B$612),0)</f>
        <v/>
      </c>
      <c r="E87" s="279">
        <f>IF(E$1=0,"",IF($B87&lt;E$23,E86+PPMT(E$25/12,$B87,E$23,E$53,-E$27,0),IF($B87=E$23,E86+PPMT(E$25/12,$B87,E$23,E$53,-E$27,0)-E$27,0)))</f>
        <v/>
      </c>
      <c r="F87" s="279">
        <f>IF(F$1=0,"",IF($B87&lt;F$23,F86+PPMT(F$25/12,$B87,F$23,F$53,-F$27,0),IF($B87=F$23,F86+PPMT(F$25/12,$B87,F$23,F$53,-F$27,0)-F$27,0)))</f>
        <v/>
      </c>
      <c r="G87" s="279">
        <f>IF(G$1=0,"",IF($B87&lt;G$23,G86+PPMT(G$25/12,$B87,G$23,G$53,-G$27,0),IF($B87=G$23,G86+PPMT(G$25/12,$B87,G$23,G$53,-G$27,0)-G$27,0)))</f>
        <v/>
      </c>
      <c r="H87" s="279">
        <f>IF(H$1=0,"",IF($B87&lt;H$23,H86+PPMT(H$25/12,$B87,H$23,H$53,-H$27,0),IF($B87=H$23,H86+PPMT(H$25/12,$B87,H$23,H$53,-H$27,0)-H$27,0)))</f>
        <v/>
      </c>
      <c r="I87" s="279">
        <f>IF(I$1=0,"",IF($B87&lt;I$23,I86+PPMT(I$25/12,$B87,I$23,I$53,-I$27,0),IF($B87=I$23,I86+PPMT(I$25/12,$B87,I$23,I$53,-I$27,0)-I$27,0)))</f>
        <v/>
      </c>
      <c r="J87" s="279">
        <f>IF(J$1=0,"",IF($B87&lt;J$23,J86+PPMT(J$25/12,$B87,J$23,J$53,-J$27,0),IF($B87=J$23,J86+PPMT(J$25/12,$B87,J$23,J$53,-J$27,0)-J$27,0)))</f>
        <v/>
      </c>
      <c r="K87" s="279">
        <f>IF(K$1=0,"",IF($B87&lt;K$23,K86+PPMT(K$25/12,$B87,K$23,K$53,-K$27,0),IF($B87=K$23,K86+PPMT(K$25/12,$B87,K$23,K$53,-K$27,0)-K$27,0)))</f>
        <v/>
      </c>
      <c r="L87" s="279">
        <f>IF(L$1=0,"",IF($B87&lt;L$23,L86+PPMT(L$25/12,$B87,L$23,L$53,-L$27,0),IF($B87=L$23,L86+PPMT(L$25/12,$B87,L$23,L$53,-L$27,0)-L$27,0)))</f>
        <v/>
      </c>
      <c r="M87" s="279">
        <f>IF(M$1=0,"",IF($B87&lt;M$23,M86+PPMT(M$25/12,$B87,M$23,M$53,-M$27,0),IF($B87=M$23,M86+PPMT(M$25/12,$B87,M$23,M$53,-M$27,0)-M$27,0)))</f>
        <v/>
      </c>
      <c r="N87" s="280" t="n"/>
      <c r="O87" s="281" t="n"/>
    </row>
    <row r="88" hidden="1" outlineLevel="1">
      <c r="B88" s="2">
        <f>B87+1</f>
        <v/>
      </c>
      <c r="D88" s="279">
        <f>IF(B88&lt;$D$24,(+CALCULETTE!T667/CALCULETTE!$B$612),0)</f>
        <v/>
      </c>
      <c r="E88" s="279">
        <f>IF(E$1=0,"",IF($B88&lt;E$23,E87+PPMT(E$25/12,$B88,E$23,E$53,-E$27,0),IF($B88=E$23,E87+PPMT(E$25/12,$B88,E$23,E$53,-E$27,0)-E$27,0)))</f>
        <v/>
      </c>
      <c r="F88" s="279">
        <f>IF(F$1=0,"",IF($B88&lt;F$23,F87+PPMT(F$25/12,$B88,F$23,F$53,-F$27,0),IF($B88=F$23,F87+PPMT(F$25/12,$B88,F$23,F$53,-F$27,0)-F$27,0)))</f>
        <v/>
      </c>
      <c r="G88" s="279">
        <f>IF(G$1=0,"",IF($B88&lt;G$23,G87+PPMT(G$25/12,$B88,G$23,G$53,-G$27,0),IF($B88=G$23,G87+PPMT(G$25/12,$B88,G$23,G$53,-G$27,0)-G$27,0)))</f>
        <v/>
      </c>
      <c r="H88" s="279">
        <f>IF(H$1=0,"",IF($B88&lt;H$23,H87+PPMT(H$25/12,$B88,H$23,H$53,-H$27,0),IF($B88=H$23,H87+PPMT(H$25/12,$B88,H$23,H$53,-H$27,0)-H$27,0)))</f>
        <v/>
      </c>
      <c r="I88" s="279">
        <f>IF(I$1=0,"",IF($B88&lt;I$23,I87+PPMT(I$25/12,$B88,I$23,I$53,-I$27,0),IF($B88=I$23,I87+PPMT(I$25/12,$B88,I$23,I$53,-I$27,0)-I$27,0)))</f>
        <v/>
      </c>
      <c r="J88" s="279">
        <f>IF(J$1=0,"",IF($B88&lt;J$23,J87+PPMT(J$25/12,$B88,J$23,J$53,-J$27,0),IF($B88=J$23,J87+PPMT(J$25/12,$B88,J$23,J$53,-J$27,0)-J$27,0)))</f>
        <v/>
      </c>
      <c r="K88" s="279">
        <f>IF(K$1=0,"",IF($B88&lt;K$23,K87+PPMT(K$25/12,$B88,K$23,K$53,-K$27,0),IF($B88=K$23,K87+PPMT(K$25/12,$B88,K$23,K$53,-K$27,0)-K$27,0)))</f>
        <v/>
      </c>
      <c r="L88" s="279">
        <f>IF(L$1=0,"",IF($B88&lt;L$23,L87+PPMT(L$25/12,$B88,L$23,L$53,-L$27,0),IF($B88=L$23,L87+PPMT(L$25/12,$B88,L$23,L$53,-L$27,0)-L$27,0)))</f>
        <v/>
      </c>
      <c r="M88" s="279">
        <f>IF(M$1=0,"",IF($B88&lt;M$23,M87+PPMT(M$25/12,$B88,M$23,M$53,-M$27,0),IF($B88=M$23,M87+PPMT(M$25/12,$B88,M$23,M$53,-M$27,0)-M$27,0)))</f>
        <v/>
      </c>
      <c r="N88" s="280" t="n"/>
      <c r="O88" s="281" t="n"/>
    </row>
    <row r="89" hidden="1" outlineLevel="1">
      <c r="B89" s="2">
        <f>B88+1</f>
        <v/>
      </c>
      <c r="D89" s="279">
        <f>IF(B89&lt;$D$24,(+CALCULETTE!T668/CALCULETTE!$B$612),0)</f>
        <v/>
      </c>
      <c r="E89" s="279">
        <f>IF(E$1=0,"",IF($B89&lt;E$23,E88+PPMT(E$25/12,$B89,E$23,E$53,-E$27,0),IF($B89=E$23,E88+PPMT(E$25/12,$B89,E$23,E$53,-E$27,0)-E$27,0)))</f>
        <v/>
      </c>
      <c r="F89" s="279">
        <f>IF(F$1=0,"",IF($B89&lt;F$23,F88+PPMT(F$25/12,$B89,F$23,F$53,-F$27,0),IF($B89=F$23,F88+PPMT(F$25/12,$B89,F$23,F$53,-F$27,0)-F$27,0)))</f>
        <v/>
      </c>
      <c r="G89" s="279">
        <f>IF(G$1=0,"",IF($B89&lt;G$23,G88+PPMT(G$25/12,$B89,G$23,G$53,-G$27,0),IF($B89=G$23,G88+PPMT(G$25/12,$B89,G$23,G$53,-G$27,0)-G$27,0)))</f>
        <v/>
      </c>
      <c r="H89" s="279">
        <f>IF(H$1=0,"",IF($B89&lt;H$23,H88+PPMT(H$25/12,$B89,H$23,H$53,-H$27,0),IF($B89=H$23,H88+PPMT(H$25/12,$B89,H$23,H$53,-H$27,0)-H$27,0)))</f>
        <v/>
      </c>
      <c r="I89" s="279">
        <f>IF(I$1=0,"",IF($B89&lt;I$23,I88+PPMT(I$25/12,$B89,I$23,I$53,-I$27,0),IF($B89=I$23,I88+PPMT(I$25/12,$B89,I$23,I$53,-I$27,0)-I$27,0)))</f>
        <v/>
      </c>
      <c r="J89" s="279">
        <f>IF(J$1=0,"",IF($B89&lt;J$23,J88+PPMT(J$25/12,$B89,J$23,J$53,-J$27,0),IF($B89=J$23,J88+PPMT(J$25/12,$B89,J$23,J$53,-J$27,0)-J$27,0)))</f>
        <v/>
      </c>
      <c r="K89" s="279">
        <f>IF(K$1=0,"",IF($B89&lt;K$23,K88+PPMT(K$25/12,$B89,K$23,K$53,-K$27,0),IF($B89=K$23,K88+PPMT(K$25/12,$B89,K$23,K$53,-K$27,0)-K$27,0)))</f>
        <v/>
      </c>
      <c r="L89" s="279">
        <f>IF(L$1=0,"",IF($B89&lt;L$23,L88+PPMT(L$25/12,$B89,L$23,L$53,-L$27,0),IF($B89=L$23,L88+PPMT(L$25/12,$B89,L$23,L$53,-L$27,0)-L$27,0)))</f>
        <v/>
      </c>
      <c r="M89" s="279">
        <f>IF(M$1=0,"",IF($B89&lt;M$23,M88+PPMT(M$25/12,$B89,M$23,M$53,-M$27,0),IF($B89=M$23,M88+PPMT(M$25/12,$B89,M$23,M$53,-M$27,0)-M$27,0)))</f>
        <v/>
      </c>
      <c r="N89" s="280" t="n"/>
      <c r="O89" s="281" t="n"/>
    </row>
    <row r="90" hidden="1" outlineLevel="1">
      <c r="B90" s="2">
        <f>B89+1</f>
        <v/>
      </c>
      <c r="D90" s="279">
        <f>IF(B90&lt;$D$24,(+CALCULETTE!T669/CALCULETTE!$B$612),0)</f>
        <v/>
      </c>
      <c r="E90" s="279">
        <f>IF(E$1=0,"",IF($B90&lt;E$23,E89+PPMT(E$25/12,$B90,E$23,E$53,-E$27,0),IF($B90=E$23,E89+PPMT(E$25/12,$B90,E$23,E$53,-E$27,0)-E$27,0)))</f>
        <v/>
      </c>
      <c r="F90" s="279">
        <f>IF(F$1=0,"",IF($B90&lt;F$23,F89+PPMT(F$25/12,$B90,F$23,F$53,-F$27,0),IF($B90=F$23,F89+PPMT(F$25/12,$B90,F$23,F$53,-F$27,0)-F$27,0)))</f>
        <v/>
      </c>
      <c r="G90" s="279">
        <f>IF(G$1=0,"",IF($B90&lt;G$23,G89+PPMT(G$25/12,$B90,G$23,G$53,-G$27,0),IF($B90=G$23,G89+PPMT(G$25/12,$B90,G$23,G$53,-G$27,0)-G$27,0)))</f>
        <v/>
      </c>
      <c r="H90" s="279">
        <f>IF(H$1=0,"",IF($B90&lt;H$23,H89+PPMT(H$25/12,$B90,H$23,H$53,-H$27,0),IF($B90=H$23,H89+PPMT(H$25/12,$B90,H$23,H$53,-H$27,0)-H$27,0)))</f>
        <v/>
      </c>
      <c r="I90" s="279">
        <f>IF(I$1=0,"",IF($B90&lt;I$23,I89+PPMT(I$25/12,$B90,I$23,I$53,-I$27,0),IF($B90=I$23,I89+PPMT(I$25/12,$B90,I$23,I$53,-I$27,0)-I$27,0)))</f>
        <v/>
      </c>
      <c r="J90" s="279">
        <f>IF(J$1=0,"",IF($B90&lt;J$23,J89+PPMT(J$25/12,$B90,J$23,J$53,-J$27,0),IF($B90=J$23,J89+PPMT(J$25/12,$B90,J$23,J$53,-J$27,0)-J$27,0)))</f>
        <v/>
      </c>
      <c r="K90" s="279">
        <f>IF(K$1=0,"",IF($B90&lt;K$23,K89+PPMT(K$25/12,$B90,K$23,K$53,-K$27,0),IF($B90=K$23,K89+PPMT(K$25/12,$B90,K$23,K$53,-K$27,0)-K$27,0)))</f>
        <v/>
      </c>
      <c r="L90" s="279">
        <f>IF(L$1=0,"",IF($B90&lt;L$23,L89+PPMT(L$25/12,$B90,L$23,L$53,-L$27,0),IF($B90=L$23,L89+PPMT(L$25/12,$B90,L$23,L$53,-L$27,0)-L$27,0)))</f>
        <v/>
      </c>
      <c r="M90" s="279">
        <f>IF(M$1=0,"",IF($B90&lt;M$23,M89+PPMT(M$25/12,$B90,M$23,M$53,-M$27,0),IF($B90=M$23,M89+PPMT(M$25/12,$B90,M$23,M$53,-M$27,0)-M$27,0)))</f>
        <v/>
      </c>
      <c r="N90" s="280" t="n"/>
      <c r="O90" s="281" t="n"/>
    </row>
    <row r="91" hidden="1" outlineLevel="1">
      <c r="B91" s="2">
        <f>B90+1</f>
        <v/>
      </c>
      <c r="D91" s="279">
        <f>IF(B91&lt;$D$24,(+CALCULETTE!T670/CALCULETTE!$B$612),0)</f>
        <v/>
      </c>
      <c r="E91" s="279">
        <f>IF(E$1=0,"",IF($B91&lt;E$23,E90+PPMT(E$25/12,$B91,E$23,E$53,-E$27,0),IF($B91=E$23,E90+PPMT(E$25/12,$B91,E$23,E$53,-E$27,0)-E$27,0)))</f>
        <v/>
      </c>
      <c r="F91" s="279">
        <f>IF(F$1=0,"",IF($B91&lt;F$23,F90+PPMT(F$25/12,$B91,F$23,F$53,-F$27,0),IF($B91=F$23,F90+PPMT(F$25/12,$B91,F$23,F$53,-F$27,0)-F$27,0)))</f>
        <v/>
      </c>
      <c r="G91" s="279">
        <f>IF(G$1=0,"",IF($B91&lt;G$23,G90+PPMT(G$25/12,$B91,G$23,G$53,-G$27,0),IF($B91=G$23,G90+PPMT(G$25/12,$B91,G$23,G$53,-G$27,0)-G$27,0)))</f>
        <v/>
      </c>
      <c r="H91" s="279">
        <f>IF(H$1=0,"",IF($B91&lt;H$23,H90+PPMT(H$25/12,$B91,H$23,H$53,-H$27,0),IF($B91=H$23,H90+PPMT(H$25/12,$B91,H$23,H$53,-H$27,0)-H$27,0)))</f>
        <v/>
      </c>
      <c r="I91" s="279">
        <f>IF(I$1=0,"",IF($B91&lt;I$23,I90+PPMT(I$25/12,$B91,I$23,I$53,-I$27,0),IF($B91=I$23,I90+PPMT(I$25/12,$B91,I$23,I$53,-I$27,0)-I$27,0)))</f>
        <v/>
      </c>
      <c r="J91" s="279">
        <f>IF(J$1=0,"",IF($B91&lt;J$23,J90+PPMT(J$25/12,$B91,J$23,J$53,-J$27,0),IF($B91=J$23,J90+PPMT(J$25/12,$B91,J$23,J$53,-J$27,0)-J$27,0)))</f>
        <v/>
      </c>
      <c r="K91" s="279">
        <f>IF(K$1=0,"",IF($B91&lt;K$23,K90+PPMT(K$25/12,$B91,K$23,K$53,-K$27,0),IF($B91=K$23,K90+PPMT(K$25/12,$B91,K$23,K$53,-K$27,0)-K$27,0)))</f>
        <v/>
      </c>
      <c r="L91" s="279">
        <f>IF(L$1=0,"",IF($B91&lt;L$23,L90+PPMT(L$25/12,$B91,L$23,L$53,-L$27,0),IF($B91=L$23,L90+PPMT(L$25/12,$B91,L$23,L$53,-L$27,0)-L$27,0)))</f>
        <v/>
      </c>
      <c r="M91" s="279">
        <f>IF(M$1=0,"",IF($B91&lt;M$23,M90+PPMT(M$25/12,$B91,M$23,M$53,-M$27,0),IF($B91=M$23,M90+PPMT(M$25/12,$B91,M$23,M$53,-M$27,0)-M$27,0)))</f>
        <v/>
      </c>
      <c r="N91" s="280" t="n"/>
      <c r="O91" s="281" t="n"/>
    </row>
    <row r="92" hidden="1" outlineLevel="1">
      <c r="B92" s="2">
        <f>B91+1</f>
        <v/>
      </c>
      <c r="D92" s="279">
        <f>IF(B92&lt;$D$24,(+CALCULETTE!T671/CALCULETTE!$B$612),0)</f>
        <v/>
      </c>
      <c r="E92" s="279">
        <f>IF(E$1=0,"",IF($B92&lt;E$23,E91+PPMT(E$25/12,$B92,E$23,E$53,-E$27,0),IF($B92=E$23,E91+PPMT(E$25/12,$B92,E$23,E$53,-E$27,0)-E$27,0)))</f>
        <v/>
      </c>
      <c r="F92" s="279">
        <f>IF(F$1=0,"",IF($B92&lt;F$23,F91+PPMT(F$25/12,$B92,F$23,F$53,-F$27,0),IF($B92=F$23,F91+PPMT(F$25/12,$B92,F$23,F$53,-F$27,0)-F$27,0)))</f>
        <v/>
      </c>
      <c r="G92" s="279">
        <f>IF(G$1=0,"",IF($B92&lt;G$23,G91+PPMT(G$25/12,$B92,G$23,G$53,-G$27,0),IF($B92=G$23,G91+PPMT(G$25/12,$B92,G$23,G$53,-G$27,0)-G$27,0)))</f>
        <v/>
      </c>
      <c r="H92" s="279">
        <f>IF(H$1=0,"",IF($B92&lt;H$23,H91+PPMT(H$25/12,$B92,H$23,H$53,-H$27,0),IF($B92=H$23,H91+PPMT(H$25/12,$B92,H$23,H$53,-H$27,0)-H$27,0)))</f>
        <v/>
      </c>
      <c r="I92" s="279">
        <f>IF(I$1=0,"",IF($B92&lt;I$23,I91+PPMT(I$25/12,$B92,I$23,I$53,-I$27,0),IF($B92=I$23,I91+PPMT(I$25/12,$B92,I$23,I$53,-I$27,0)-I$27,0)))</f>
        <v/>
      </c>
      <c r="J92" s="279">
        <f>IF(J$1=0,"",IF($B92&lt;J$23,J91+PPMT(J$25/12,$B92,J$23,J$53,-J$27,0),IF($B92=J$23,J91+PPMT(J$25/12,$B92,J$23,J$53,-J$27,0)-J$27,0)))</f>
        <v/>
      </c>
      <c r="K92" s="279">
        <f>IF(K$1=0,"",IF($B92&lt;K$23,K91+PPMT(K$25/12,$B92,K$23,K$53,-K$27,0),IF($B92=K$23,K91+PPMT(K$25/12,$B92,K$23,K$53,-K$27,0)-K$27,0)))</f>
        <v/>
      </c>
      <c r="L92" s="279">
        <f>IF(L$1=0,"",IF($B92&lt;L$23,L91+PPMT(L$25/12,$B92,L$23,L$53,-L$27,0),IF($B92=L$23,L91+PPMT(L$25/12,$B92,L$23,L$53,-L$27,0)-L$27,0)))</f>
        <v/>
      </c>
      <c r="M92" s="279">
        <f>IF(M$1=0,"",IF($B92&lt;M$23,M91+PPMT(M$25/12,$B92,M$23,M$53,-M$27,0),IF($B92=M$23,M91+PPMT(M$25/12,$B92,M$23,M$53,-M$27,0)-M$27,0)))</f>
        <v/>
      </c>
      <c r="N92" s="280" t="n"/>
      <c r="O92" s="281" t="n"/>
    </row>
    <row r="93" hidden="1" outlineLevel="1">
      <c r="B93" s="2">
        <f>B92+1</f>
        <v/>
      </c>
      <c r="D93" s="279">
        <f>IF(B93&lt;$D$24,(+CALCULETTE!T672/CALCULETTE!$B$612),0)</f>
        <v/>
      </c>
      <c r="E93" s="279">
        <f>IF(E$1=0,"",IF($B93&lt;E$23,E92+PPMT(E$25/12,$B93,E$23,E$53,-E$27,0),IF($B93=E$23,E92+PPMT(E$25/12,$B93,E$23,E$53,-E$27,0)-E$27,0)))</f>
        <v/>
      </c>
      <c r="F93" s="279">
        <f>IF(F$1=0,"",IF($B93&lt;F$23,F92+PPMT(F$25/12,$B93,F$23,F$53,-F$27,0),IF($B93=F$23,F92+PPMT(F$25/12,$B93,F$23,F$53,-F$27,0)-F$27,0)))</f>
        <v/>
      </c>
      <c r="G93" s="279">
        <f>IF(G$1=0,"",IF($B93&lt;G$23,G92+PPMT(G$25/12,$B93,G$23,G$53,-G$27,0),IF($B93=G$23,G92+PPMT(G$25/12,$B93,G$23,G$53,-G$27,0)-G$27,0)))</f>
        <v/>
      </c>
      <c r="H93" s="279">
        <f>IF(H$1=0,"",IF($B93&lt;H$23,H92+PPMT(H$25/12,$B93,H$23,H$53,-H$27,0),IF($B93=H$23,H92+PPMT(H$25/12,$B93,H$23,H$53,-H$27,0)-H$27,0)))</f>
        <v/>
      </c>
      <c r="I93" s="279">
        <f>IF(I$1=0,"",IF($B93&lt;I$23,I92+PPMT(I$25/12,$B93,I$23,I$53,-I$27,0),IF($B93=I$23,I92+PPMT(I$25/12,$B93,I$23,I$53,-I$27,0)-I$27,0)))</f>
        <v/>
      </c>
      <c r="J93" s="279">
        <f>IF(J$1=0,"",IF($B93&lt;J$23,J92+PPMT(J$25/12,$B93,J$23,J$53,-J$27,0),IF($B93=J$23,J92+PPMT(J$25/12,$B93,J$23,J$53,-J$27,0)-J$27,0)))</f>
        <v/>
      </c>
      <c r="K93" s="279">
        <f>IF(K$1=0,"",IF($B93&lt;K$23,K92+PPMT(K$25/12,$B93,K$23,K$53,-K$27,0),IF($B93=K$23,K92+PPMT(K$25/12,$B93,K$23,K$53,-K$27,0)-K$27,0)))</f>
        <v/>
      </c>
      <c r="L93" s="279">
        <f>IF(L$1=0,"",IF($B93&lt;L$23,L92+PPMT(L$25/12,$B93,L$23,L$53,-L$27,0),IF($B93=L$23,L92+PPMT(L$25/12,$B93,L$23,L$53,-L$27,0)-L$27,0)))</f>
        <v/>
      </c>
      <c r="M93" s="279">
        <f>IF(M$1=0,"",IF($B93&lt;M$23,M92+PPMT(M$25/12,$B93,M$23,M$53,-M$27,0),IF($B93=M$23,M92+PPMT(M$25/12,$B93,M$23,M$53,-M$27,0)-M$27,0)))</f>
        <v/>
      </c>
      <c r="N93" s="280" t="n"/>
      <c r="O93" s="281" t="n"/>
    </row>
    <row r="94" hidden="1" outlineLevel="1">
      <c r="B94" s="2">
        <f>B93+1</f>
        <v/>
      </c>
      <c r="D94" s="279">
        <f>IF(B94&lt;$D$24,(+CALCULETTE!T673/CALCULETTE!$B$612),0)</f>
        <v/>
      </c>
      <c r="E94" s="279">
        <f>IF(E$1=0,"",IF($B94&lt;E$23,E93+PPMT(E$25/12,$B94,E$23,E$53,-E$27,0),IF($B94=E$23,E93+PPMT(E$25/12,$B94,E$23,E$53,-E$27,0)-E$27,0)))</f>
        <v/>
      </c>
      <c r="F94" s="279">
        <f>IF(F$1=0,"",IF($B94&lt;F$23,F93+PPMT(F$25/12,$B94,F$23,F$53,-F$27,0),IF($B94=F$23,F93+PPMT(F$25/12,$B94,F$23,F$53,-F$27,0)-F$27,0)))</f>
        <v/>
      </c>
      <c r="G94" s="279">
        <f>IF(G$1=0,"",IF($B94&lt;G$23,G93+PPMT(G$25/12,$B94,G$23,G$53,-G$27,0),IF($B94=G$23,G93+PPMT(G$25/12,$B94,G$23,G$53,-G$27,0)-G$27,0)))</f>
        <v/>
      </c>
      <c r="H94" s="279">
        <f>IF(H$1=0,"",IF($B94&lt;H$23,H93+PPMT(H$25/12,$B94,H$23,H$53,-H$27,0),IF($B94=H$23,H93+PPMT(H$25/12,$B94,H$23,H$53,-H$27,0)-H$27,0)))</f>
        <v/>
      </c>
      <c r="I94" s="279">
        <f>IF(I$1=0,"",IF($B94&lt;I$23,I93+PPMT(I$25/12,$B94,I$23,I$53,-I$27,0),IF($B94=I$23,I93+PPMT(I$25/12,$B94,I$23,I$53,-I$27,0)-I$27,0)))</f>
        <v/>
      </c>
      <c r="J94" s="279">
        <f>IF(J$1=0,"",IF($B94&lt;J$23,J93+PPMT(J$25/12,$B94,J$23,J$53,-J$27,0),IF($B94=J$23,J93+PPMT(J$25/12,$B94,J$23,J$53,-J$27,0)-J$27,0)))</f>
        <v/>
      </c>
      <c r="K94" s="279">
        <f>IF(K$1=0,"",IF($B94&lt;K$23,K93+PPMT(K$25/12,$B94,K$23,K$53,-K$27,0),IF($B94=K$23,K93+PPMT(K$25/12,$B94,K$23,K$53,-K$27,0)-K$27,0)))</f>
        <v/>
      </c>
      <c r="L94" s="279">
        <f>IF(L$1=0,"",IF($B94&lt;L$23,L93+PPMT(L$25/12,$B94,L$23,L$53,-L$27,0),IF($B94=L$23,L93+PPMT(L$25/12,$B94,L$23,L$53,-L$27,0)-L$27,0)))</f>
        <v/>
      </c>
      <c r="M94" s="279">
        <f>IF(M$1=0,"",IF($B94&lt;M$23,M93+PPMT(M$25/12,$B94,M$23,M$53,-M$27,0),IF($B94=M$23,M93+PPMT(M$25/12,$B94,M$23,M$53,-M$27,0)-M$27,0)))</f>
        <v/>
      </c>
      <c r="N94" s="280" t="n"/>
      <c r="O94" s="281" t="n"/>
    </row>
    <row r="95" hidden="1" outlineLevel="1">
      <c r="B95" s="2">
        <f>B94+1</f>
        <v/>
      </c>
      <c r="D95" s="279">
        <f>IF(B95&lt;$D$24,(+CALCULETTE!T674/CALCULETTE!$B$612),0)</f>
        <v/>
      </c>
      <c r="E95" s="279">
        <f>IF(E$1=0,"",IF($B95&lt;E$23,E94+PPMT(E$25/12,$B95,E$23,E$53,-E$27,0),IF($B95=E$23,E94+PPMT(E$25/12,$B95,E$23,E$53,-E$27,0)-E$27,0)))</f>
        <v/>
      </c>
      <c r="F95" s="279">
        <f>IF(F$1=0,"",IF($B95&lt;F$23,F94+PPMT(F$25/12,$B95,F$23,F$53,-F$27,0),IF($B95=F$23,F94+PPMT(F$25/12,$B95,F$23,F$53,-F$27,0)-F$27,0)))</f>
        <v/>
      </c>
      <c r="G95" s="279">
        <f>IF(G$1=0,"",IF($B95&lt;G$23,G94+PPMT(G$25/12,$B95,G$23,G$53,-G$27,0),IF($B95=G$23,G94+PPMT(G$25/12,$B95,G$23,G$53,-G$27,0)-G$27,0)))</f>
        <v/>
      </c>
      <c r="H95" s="279">
        <f>IF(H$1=0,"",IF($B95&lt;H$23,H94+PPMT(H$25/12,$B95,H$23,H$53,-H$27,0),IF($B95=H$23,H94+PPMT(H$25/12,$B95,H$23,H$53,-H$27,0)-H$27,0)))</f>
        <v/>
      </c>
      <c r="I95" s="279">
        <f>IF(I$1=0,"",IF($B95&lt;I$23,I94+PPMT(I$25/12,$B95,I$23,I$53,-I$27,0),IF($B95=I$23,I94+PPMT(I$25/12,$B95,I$23,I$53,-I$27,0)-I$27,0)))</f>
        <v/>
      </c>
      <c r="J95" s="279">
        <f>IF(J$1=0,"",IF($B95&lt;J$23,J94+PPMT(J$25/12,$B95,J$23,J$53,-J$27,0),IF($B95=J$23,J94+PPMT(J$25/12,$B95,J$23,J$53,-J$27,0)-J$27,0)))</f>
        <v/>
      </c>
      <c r="K95" s="279">
        <f>IF(K$1=0,"",IF($B95&lt;K$23,K94+PPMT(K$25/12,$B95,K$23,K$53,-K$27,0),IF($B95=K$23,K94+PPMT(K$25/12,$B95,K$23,K$53,-K$27,0)-K$27,0)))</f>
        <v/>
      </c>
      <c r="L95" s="279">
        <f>IF(L$1=0,"",IF($B95&lt;L$23,L94+PPMT(L$25/12,$B95,L$23,L$53,-L$27,0),IF($B95=L$23,L94+PPMT(L$25/12,$B95,L$23,L$53,-L$27,0)-L$27,0)))</f>
        <v/>
      </c>
      <c r="M95" s="279">
        <f>IF(M$1=0,"",IF($B95&lt;M$23,M94+PPMT(M$25/12,$B95,M$23,M$53,-M$27,0),IF($B95=M$23,M94+PPMT(M$25/12,$B95,M$23,M$53,-M$27,0)-M$27,0)))</f>
        <v/>
      </c>
      <c r="N95" s="280" t="n"/>
      <c r="O95" s="281" t="n"/>
    </row>
    <row r="96" hidden="1" outlineLevel="1">
      <c r="B96" s="2">
        <f>B95+1</f>
        <v/>
      </c>
      <c r="D96" s="279">
        <f>IF(B96&lt;$D$24,(+CALCULETTE!T675/CALCULETTE!$B$612),0)</f>
        <v/>
      </c>
      <c r="E96" s="279">
        <f>IF(E$1=0,"",IF($B96&lt;E$23,E95+PPMT(E$25/12,$B96,E$23,E$53,-E$27,0),IF($B96=E$23,E95+PPMT(E$25/12,$B96,E$23,E$53,-E$27,0)-E$27,0)))</f>
        <v/>
      </c>
      <c r="F96" s="279">
        <f>IF(F$1=0,"",IF($B96&lt;F$23,F95+PPMT(F$25/12,$B96,F$23,F$53,-F$27,0),IF($B96=F$23,F95+PPMT(F$25/12,$B96,F$23,F$53,-F$27,0)-F$27,0)))</f>
        <v/>
      </c>
      <c r="G96" s="279">
        <f>IF(G$1=0,"",IF($B96&lt;G$23,G95+PPMT(G$25/12,$B96,G$23,G$53,-G$27,0),IF($B96=G$23,G95+PPMT(G$25/12,$B96,G$23,G$53,-G$27,0)-G$27,0)))</f>
        <v/>
      </c>
      <c r="H96" s="279">
        <f>IF(H$1=0,"",IF($B96&lt;H$23,H95+PPMT(H$25/12,$B96,H$23,H$53,-H$27,0),IF($B96=H$23,H95+PPMT(H$25/12,$B96,H$23,H$53,-H$27,0)-H$27,0)))</f>
        <v/>
      </c>
      <c r="I96" s="279">
        <f>IF(I$1=0,"",IF($B96&lt;I$23,I95+PPMT(I$25/12,$B96,I$23,I$53,-I$27,0),IF($B96=I$23,I95+PPMT(I$25/12,$B96,I$23,I$53,-I$27,0)-I$27,0)))</f>
        <v/>
      </c>
      <c r="J96" s="279">
        <f>IF(J$1=0,"",IF($B96&lt;J$23,J95+PPMT(J$25/12,$B96,J$23,J$53,-J$27,0),IF($B96=J$23,J95+PPMT(J$25/12,$B96,J$23,J$53,-J$27,0)-J$27,0)))</f>
        <v/>
      </c>
      <c r="K96" s="279">
        <f>IF(K$1=0,"",IF($B96&lt;K$23,K95+PPMT(K$25/12,$B96,K$23,K$53,-K$27,0),IF($B96=K$23,K95+PPMT(K$25/12,$B96,K$23,K$53,-K$27,0)-K$27,0)))</f>
        <v/>
      </c>
      <c r="L96" s="279">
        <f>IF(L$1=0,"",IF($B96&lt;L$23,L95+PPMT(L$25/12,$B96,L$23,L$53,-L$27,0),IF($B96=L$23,L95+PPMT(L$25/12,$B96,L$23,L$53,-L$27,0)-L$27,0)))</f>
        <v/>
      </c>
      <c r="M96" s="279">
        <f>IF(M$1=0,"",IF($B96&lt;M$23,M95+PPMT(M$25/12,$B96,M$23,M$53,-M$27,0),IF($B96=M$23,M95+PPMT(M$25/12,$B96,M$23,M$53,-M$27,0)-M$27,0)))</f>
        <v/>
      </c>
      <c r="N96" s="280" t="n"/>
      <c r="O96" s="281" t="n"/>
    </row>
    <row r="97" hidden="1" outlineLevel="1">
      <c r="B97" s="2">
        <f>B96+1</f>
        <v/>
      </c>
      <c r="D97" s="279">
        <f>IF(B97&lt;$D$24,(+CALCULETTE!T676/CALCULETTE!$B$612),0)</f>
        <v/>
      </c>
      <c r="E97" s="279">
        <f>IF(E$1=0,"",IF($B97&lt;E$23,E96+PPMT(E$25/12,$B97,E$23,E$53,-E$27,0),IF($B97=E$23,E96+PPMT(E$25/12,$B97,E$23,E$53,-E$27,0)-E$27,0)))</f>
        <v/>
      </c>
      <c r="F97" s="279">
        <f>IF(F$1=0,"",IF($B97&lt;F$23,F96+PPMT(F$25/12,$B97,F$23,F$53,-F$27,0),IF($B97=F$23,F96+PPMT(F$25/12,$B97,F$23,F$53,-F$27,0)-F$27,0)))</f>
        <v/>
      </c>
      <c r="G97" s="279">
        <f>IF(G$1=0,"",IF($B97&lt;G$23,G96+PPMT(G$25/12,$B97,G$23,G$53,-G$27,0),IF($B97=G$23,G96+PPMT(G$25/12,$B97,G$23,G$53,-G$27,0)-G$27,0)))</f>
        <v/>
      </c>
      <c r="H97" s="279">
        <f>IF(H$1=0,"",IF($B97&lt;H$23,H96+PPMT(H$25/12,$B97,H$23,H$53,-H$27,0),IF($B97=H$23,H96+PPMT(H$25/12,$B97,H$23,H$53,-H$27,0)-H$27,0)))</f>
        <v/>
      </c>
      <c r="I97" s="279">
        <f>IF(I$1=0,"",IF($B97&lt;I$23,I96+PPMT(I$25/12,$B97,I$23,I$53,-I$27,0),IF($B97=I$23,I96+PPMT(I$25/12,$B97,I$23,I$53,-I$27,0)-I$27,0)))</f>
        <v/>
      </c>
      <c r="J97" s="279">
        <f>IF(J$1=0,"",IF($B97&lt;J$23,J96+PPMT(J$25/12,$B97,J$23,J$53,-J$27,0),IF($B97=J$23,J96+PPMT(J$25/12,$B97,J$23,J$53,-J$27,0)-J$27,0)))</f>
        <v/>
      </c>
      <c r="K97" s="279">
        <f>IF(K$1=0,"",IF($B97&lt;K$23,K96+PPMT(K$25/12,$B97,K$23,K$53,-K$27,0),IF($B97=K$23,K96+PPMT(K$25/12,$B97,K$23,K$53,-K$27,0)-K$27,0)))</f>
        <v/>
      </c>
      <c r="L97" s="279">
        <f>IF(L$1=0,"",IF($B97&lt;L$23,L96+PPMT(L$25/12,$B97,L$23,L$53,-L$27,0),IF($B97=L$23,L96+PPMT(L$25/12,$B97,L$23,L$53,-L$27,0)-L$27,0)))</f>
        <v/>
      </c>
      <c r="M97" s="279">
        <f>IF(M$1=0,"",IF($B97&lt;M$23,M96+PPMT(M$25/12,$B97,M$23,M$53,-M$27,0),IF($B97=M$23,M96+PPMT(M$25/12,$B97,M$23,M$53,-M$27,0)-M$27,0)))</f>
        <v/>
      </c>
      <c r="N97" s="280" t="n"/>
      <c r="O97" s="281" t="n"/>
    </row>
    <row r="98" hidden="1" outlineLevel="1">
      <c r="B98" s="2">
        <f>B97+1</f>
        <v/>
      </c>
      <c r="D98" s="279">
        <f>IF(B98&lt;$D$24,(+CALCULETTE!T677/CALCULETTE!$B$612),0)</f>
        <v/>
      </c>
      <c r="E98" s="279">
        <f>IF(E$1=0,"",IF($B98&lt;E$23,E97+PPMT(E$25/12,$B98,E$23,E$53,-E$27,0),IF($B98=E$23,E97+PPMT(E$25/12,$B98,E$23,E$53,-E$27,0)-E$27,0)))</f>
        <v/>
      </c>
      <c r="F98" s="279">
        <f>IF(F$1=0,"",IF($B98&lt;F$23,F97+PPMT(F$25/12,$B98,F$23,F$53,-F$27,0),IF($B98=F$23,F97+PPMT(F$25/12,$B98,F$23,F$53,-F$27,0)-F$27,0)))</f>
        <v/>
      </c>
      <c r="G98" s="279">
        <f>IF(G$1=0,"",IF($B98&lt;G$23,G97+PPMT(G$25/12,$B98,G$23,G$53,-G$27,0),IF($B98=G$23,G97+PPMT(G$25/12,$B98,G$23,G$53,-G$27,0)-G$27,0)))</f>
        <v/>
      </c>
      <c r="H98" s="279">
        <f>IF(H$1=0,"",IF($B98&lt;H$23,H97+PPMT(H$25/12,$B98,H$23,H$53,-H$27,0),IF($B98=H$23,H97+PPMT(H$25/12,$B98,H$23,H$53,-H$27,0)-H$27,0)))</f>
        <v/>
      </c>
      <c r="I98" s="279">
        <f>IF(I$1=0,"",IF($B98&lt;I$23,I97+PPMT(I$25/12,$B98,I$23,I$53,-I$27,0),IF($B98=I$23,I97+PPMT(I$25/12,$B98,I$23,I$53,-I$27,0)-I$27,0)))</f>
        <v/>
      </c>
      <c r="J98" s="279">
        <f>IF(J$1=0,"",IF($B98&lt;J$23,J97+PPMT(J$25/12,$B98,J$23,J$53,-J$27,0),IF($B98=J$23,J97+PPMT(J$25/12,$B98,J$23,J$53,-J$27,0)-J$27,0)))</f>
        <v/>
      </c>
      <c r="K98" s="279">
        <f>IF(K$1=0,"",IF($B98&lt;K$23,K97+PPMT(K$25/12,$B98,K$23,K$53,-K$27,0),IF($B98=K$23,K97+PPMT(K$25/12,$B98,K$23,K$53,-K$27,0)-K$27,0)))</f>
        <v/>
      </c>
      <c r="L98" s="279">
        <f>IF(L$1=0,"",IF($B98&lt;L$23,L97+PPMT(L$25/12,$B98,L$23,L$53,-L$27,0),IF($B98=L$23,L97+PPMT(L$25/12,$B98,L$23,L$53,-L$27,0)-L$27,0)))</f>
        <v/>
      </c>
      <c r="M98" s="279">
        <f>IF(M$1=0,"",IF($B98&lt;M$23,M97+PPMT(M$25/12,$B98,M$23,M$53,-M$27,0),IF($B98=M$23,M97+PPMT(M$25/12,$B98,M$23,M$53,-M$27,0)-M$27,0)))</f>
        <v/>
      </c>
      <c r="N98" s="280" t="n"/>
      <c r="O98" s="281" t="n"/>
    </row>
    <row r="99" hidden="1" outlineLevel="1">
      <c r="B99" s="2">
        <f>B98+1</f>
        <v/>
      </c>
      <c r="D99" s="279">
        <f>IF(B99&lt;$D$24,(+CALCULETTE!T678/CALCULETTE!$B$612),0)</f>
        <v/>
      </c>
      <c r="E99" s="279">
        <f>IF(E$1=0,"",IF($B99&lt;E$23,E98+PPMT(E$25/12,$B99,E$23,E$53,-E$27,0),IF($B99=E$23,E98+PPMT(E$25/12,$B99,E$23,E$53,-E$27,0)-E$27,0)))</f>
        <v/>
      </c>
      <c r="F99" s="279">
        <f>IF(F$1=0,"",IF($B99&lt;F$23,F98+PPMT(F$25/12,$B99,F$23,F$53,-F$27,0),IF($B99=F$23,F98+PPMT(F$25/12,$B99,F$23,F$53,-F$27,0)-F$27,0)))</f>
        <v/>
      </c>
      <c r="G99" s="279">
        <f>IF(G$1=0,"",IF($B99&lt;G$23,G98+PPMT(G$25/12,$B99,G$23,G$53,-G$27,0),IF($B99=G$23,G98+PPMT(G$25/12,$B99,G$23,G$53,-G$27,0)-G$27,0)))</f>
        <v/>
      </c>
      <c r="H99" s="279">
        <f>IF(H$1=0,"",IF($B99&lt;H$23,H98+PPMT(H$25/12,$B99,H$23,H$53,-H$27,0),IF($B99=H$23,H98+PPMT(H$25/12,$B99,H$23,H$53,-H$27,0)-H$27,0)))</f>
        <v/>
      </c>
      <c r="I99" s="279">
        <f>IF(I$1=0,"",IF($B99&lt;I$23,I98+PPMT(I$25/12,$B99,I$23,I$53,-I$27,0),IF($B99=I$23,I98+PPMT(I$25/12,$B99,I$23,I$53,-I$27,0)-I$27,0)))</f>
        <v/>
      </c>
      <c r="J99" s="279">
        <f>IF(J$1=0,"",IF($B99&lt;J$23,J98+PPMT(J$25/12,$B99,J$23,J$53,-J$27,0),IF($B99=J$23,J98+PPMT(J$25/12,$B99,J$23,J$53,-J$27,0)-J$27,0)))</f>
        <v/>
      </c>
      <c r="K99" s="279">
        <f>IF(K$1=0,"",IF($B99&lt;K$23,K98+PPMT(K$25/12,$B99,K$23,K$53,-K$27,0),IF($B99=K$23,K98+PPMT(K$25/12,$B99,K$23,K$53,-K$27,0)-K$27,0)))</f>
        <v/>
      </c>
      <c r="L99" s="279">
        <f>IF(L$1=0,"",IF($B99&lt;L$23,L98+PPMT(L$25/12,$B99,L$23,L$53,-L$27,0),IF($B99=L$23,L98+PPMT(L$25/12,$B99,L$23,L$53,-L$27,0)-L$27,0)))</f>
        <v/>
      </c>
      <c r="M99" s="279">
        <f>IF(M$1=0,"",IF($B99&lt;M$23,M98+PPMT(M$25/12,$B99,M$23,M$53,-M$27,0),IF($B99=M$23,M98+PPMT(M$25/12,$B99,M$23,M$53,-M$27,0)-M$27,0)))</f>
        <v/>
      </c>
      <c r="N99" s="280" t="n"/>
      <c r="O99" s="281" t="n"/>
    </row>
    <row r="100" hidden="1" outlineLevel="1">
      <c r="B100" s="2">
        <f>B99+1</f>
        <v/>
      </c>
      <c r="D100" s="279">
        <f>IF(B100&lt;$D$24,(+CALCULETTE!T679/CALCULETTE!$B$612),0)</f>
        <v/>
      </c>
      <c r="E100" s="279">
        <f>IF(E$1=0,"",IF($B100&lt;E$23,E99+PPMT(E$25/12,$B100,E$23,E$53,-E$27,0),IF($B100=E$23,E99+PPMT(E$25/12,$B100,E$23,E$53,-E$27,0)-E$27,0)))</f>
        <v/>
      </c>
      <c r="F100" s="279">
        <f>IF(F$1=0,"",IF($B100&lt;F$23,F99+PPMT(F$25/12,$B100,F$23,F$53,-F$27,0),IF($B100=F$23,F99+PPMT(F$25/12,$B100,F$23,F$53,-F$27,0)-F$27,0)))</f>
        <v/>
      </c>
      <c r="G100" s="279">
        <f>IF(G$1=0,"",IF($B100&lt;G$23,G99+PPMT(G$25/12,$B100,G$23,G$53,-G$27,0),IF($B100=G$23,G99+PPMT(G$25/12,$B100,G$23,G$53,-G$27,0)-G$27,0)))</f>
        <v/>
      </c>
      <c r="H100" s="279">
        <f>IF(H$1=0,"",IF($B100&lt;H$23,H99+PPMT(H$25/12,$B100,H$23,H$53,-H$27,0),IF($B100=H$23,H99+PPMT(H$25/12,$B100,H$23,H$53,-H$27,0)-H$27,0)))</f>
        <v/>
      </c>
      <c r="I100" s="279">
        <f>IF(I$1=0,"",IF($B100&lt;I$23,I99+PPMT(I$25/12,$B100,I$23,I$53,-I$27,0),IF($B100=I$23,I99+PPMT(I$25/12,$B100,I$23,I$53,-I$27,0)-I$27,0)))</f>
        <v/>
      </c>
      <c r="J100" s="279">
        <f>IF(J$1=0,"",IF($B100&lt;J$23,J99+PPMT(J$25/12,$B100,J$23,J$53,-J$27,0),IF($B100=J$23,J99+PPMT(J$25/12,$B100,J$23,J$53,-J$27,0)-J$27,0)))</f>
        <v/>
      </c>
      <c r="K100" s="279">
        <f>IF(K$1=0,"",IF($B100&lt;K$23,K99+PPMT(K$25/12,$B100,K$23,K$53,-K$27,0),IF($B100=K$23,K99+PPMT(K$25/12,$B100,K$23,K$53,-K$27,0)-K$27,0)))</f>
        <v/>
      </c>
      <c r="L100" s="279">
        <f>IF(L$1=0,"",IF($B100&lt;L$23,L99+PPMT(L$25/12,$B100,L$23,L$53,-L$27,0),IF($B100=L$23,L99+PPMT(L$25/12,$B100,L$23,L$53,-L$27,0)-L$27,0)))</f>
        <v/>
      </c>
      <c r="M100" s="279">
        <f>IF(M$1=0,"",IF($B100&lt;M$23,M99+PPMT(M$25/12,$B100,M$23,M$53,-M$27,0),IF($B100=M$23,M99+PPMT(M$25/12,$B100,M$23,M$53,-M$27,0)-M$27,0)))</f>
        <v/>
      </c>
      <c r="N100" s="280" t="n"/>
      <c r="O100" s="281" t="n"/>
    </row>
    <row r="101" hidden="1" outlineLevel="1">
      <c r="B101" s="2">
        <f>B100+1</f>
        <v/>
      </c>
      <c r="D101" s="279">
        <f>IF(B101&lt;$D$24,(+CALCULETTE!T680/CALCULETTE!$B$612),0)</f>
        <v/>
      </c>
      <c r="E101" s="279">
        <f>IF(E$1=0,"",IF($B101&lt;E$23,E100+PPMT(E$25/12,$B101,E$23,E$53,-E$27,0),IF($B101=E$23,E100+PPMT(E$25/12,$B101,E$23,E$53,-E$27,0)-E$27,0)))</f>
        <v/>
      </c>
      <c r="F101" s="279">
        <f>IF(F$1=0,"",IF($B101&lt;F$23,F100+PPMT(F$25/12,$B101,F$23,F$53,-F$27,0),IF($B101=F$23,F100+PPMT(F$25/12,$B101,F$23,F$53,-F$27,0)-F$27,0)))</f>
        <v/>
      </c>
      <c r="G101" s="279">
        <f>IF(G$1=0,"",IF($B101&lt;G$23,G100+PPMT(G$25/12,$B101,G$23,G$53,-G$27,0),IF($B101=G$23,G100+PPMT(G$25/12,$B101,G$23,G$53,-G$27,0)-G$27,0)))</f>
        <v/>
      </c>
      <c r="H101" s="279">
        <f>IF(H$1=0,"",IF($B101&lt;H$23,H100+PPMT(H$25/12,$B101,H$23,H$53,-H$27,0),IF($B101=H$23,H100+PPMT(H$25/12,$B101,H$23,H$53,-H$27,0)-H$27,0)))</f>
        <v/>
      </c>
      <c r="I101" s="279">
        <f>IF(I$1=0,"",IF($B101&lt;I$23,I100+PPMT(I$25/12,$B101,I$23,I$53,-I$27,0),IF($B101=I$23,I100+PPMT(I$25/12,$B101,I$23,I$53,-I$27,0)-I$27,0)))</f>
        <v/>
      </c>
      <c r="J101" s="279">
        <f>IF(J$1=0,"",IF($B101&lt;J$23,J100+PPMT(J$25/12,$B101,J$23,J$53,-J$27,0),IF($B101=J$23,J100+PPMT(J$25/12,$B101,J$23,J$53,-J$27,0)-J$27,0)))</f>
        <v/>
      </c>
      <c r="K101" s="279">
        <f>IF(K$1=0,"",IF($B101&lt;K$23,K100+PPMT(K$25/12,$B101,K$23,K$53,-K$27,0),IF($B101=K$23,K100+PPMT(K$25/12,$B101,K$23,K$53,-K$27,0)-K$27,0)))</f>
        <v/>
      </c>
      <c r="L101" s="279">
        <f>IF(L$1=0,"",IF($B101&lt;L$23,L100+PPMT(L$25/12,$B101,L$23,L$53,-L$27,0),IF($B101=L$23,L100+PPMT(L$25/12,$B101,L$23,L$53,-L$27,0)-L$27,0)))</f>
        <v/>
      </c>
      <c r="M101" s="279">
        <f>IF(M$1=0,"",IF($B101&lt;M$23,M100+PPMT(M$25/12,$B101,M$23,M$53,-M$27,0),IF($B101=M$23,M100+PPMT(M$25/12,$B101,M$23,M$53,-M$27,0)-M$27,0)))</f>
        <v/>
      </c>
      <c r="N101" s="280" t="n"/>
      <c r="O101" s="281" t="n"/>
    </row>
    <row r="102" hidden="1" outlineLevel="1">
      <c r="B102" s="2">
        <f>B101+1</f>
        <v/>
      </c>
      <c r="D102" s="279">
        <f>IF(B102&lt;$D$24,(+CALCULETTE!T681/CALCULETTE!$B$612),0)</f>
        <v/>
      </c>
      <c r="E102" s="279">
        <f>IF(E$1=0,"",IF($B102&lt;E$23,E101+PPMT(E$25/12,$B102,E$23,E$53,-E$27,0),IF($B102=E$23,E101+PPMT(E$25/12,$B102,E$23,E$53,-E$27,0)-E$27,0)))</f>
        <v/>
      </c>
      <c r="F102" s="279">
        <f>IF(F$1=0,"",IF($B102&lt;F$23,F101+PPMT(F$25/12,$B102,F$23,F$53,-F$27,0),IF($B102=F$23,F101+PPMT(F$25/12,$B102,F$23,F$53,-F$27,0)-F$27,0)))</f>
        <v/>
      </c>
      <c r="G102" s="279">
        <f>IF(G$1=0,"",IF($B102&lt;G$23,G101+PPMT(G$25/12,$B102,G$23,G$53,-G$27,0),IF($B102=G$23,G101+PPMT(G$25/12,$B102,G$23,G$53,-G$27,0)-G$27,0)))</f>
        <v/>
      </c>
      <c r="H102" s="279">
        <f>IF(H$1=0,"",IF($B102&lt;H$23,H101+PPMT(H$25/12,$B102,H$23,H$53,-H$27,0),IF($B102=H$23,H101+PPMT(H$25/12,$B102,H$23,H$53,-H$27,0)-H$27,0)))</f>
        <v/>
      </c>
      <c r="I102" s="279">
        <f>IF(I$1=0,"",IF($B102&lt;I$23,I101+PPMT(I$25/12,$B102,I$23,I$53,-I$27,0),IF($B102=I$23,I101+PPMT(I$25/12,$B102,I$23,I$53,-I$27,0)-I$27,0)))</f>
        <v/>
      </c>
      <c r="J102" s="279">
        <f>IF(J$1=0,"",IF($B102&lt;J$23,J101+PPMT(J$25/12,$B102,J$23,J$53,-J$27,0),IF($B102=J$23,J101+PPMT(J$25/12,$B102,J$23,J$53,-J$27,0)-J$27,0)))</f>
        <v/>
      </c>
      <c r="K102" s="279">
        <f>IF(K$1=0,"",IF($B102&lt;K$23,K101+PPMT(K$25/12,$B102,K$23,K$53,-K$27,0),IF($B102=K$23,K101+PPMT(K$25/12,$B102,K$23,K$53,-K$27,0)-K$27,0)))</f>
        <v/>
      </c>
      <c r="L102" s="279">
        <f>IF(L$1=0,"",IF($B102&lt;L$23,L101+PPMT(L$25/12,$B102,L$23,L$53,-L$27,0),IF($B102=L$23,L101+PPMT(L$25/12,$B102,L$23,L$53,-L$27,0)-L$27,0)))</f>
        <v/>
      </c>
      <c r="M102" s="279">
        <f>IF(M$1=0,"",IF($B102&lt;M$23,M101+PPMT(M$25/12,$B102,M$23,M$53,-M$27,0),IF($B102=M$23,M101+PPMT(M$25/12,$B102,M$23,M$53,-M$27,0)-M$27,0)))</f>
        <v/>
      </c>
      <c r="N102" s="280" t="n"/>
      <c r="O102" s="281" t="n"/>
    </row>
    <row r="103" hidden="1" outlineLevel="1">
      <c r="B103" s="2">
        <f>B102+1</f>
        <v/>
      </c>
      <c r="D103" s="279">
        <f>IF(B103&lt;$D$24,(+CALCULETTE!T682/CALCULETTE!$B$612),0)</f>
        <v/>
      </c>
      <c r="E103" s="279">
        <f>IF(E$1=0,"",IF($B103&lt;E$23,E102+PPMT(E$25/12,$B103,E$23,E$53,-E$27,0),IF($B103=E$23,E102+PPMT(E$25/12,$B103,E$23,E$53,-E$27,0)-E$27,0)))</f>
        <v/>
      </c>
      <c r="F103" s="279">
        <f>IF(F$1=0,"",IF($B103&lt;F$23,F102+PPMT(F$25/12,$B103,F$23,F$53,-F$27,0),IF($B103=F$23,F102+PPMT(F$25/12,$B103,F$23,F$53,-F$27,0)-F$27,0)))</f>
        <v/>
      </c>
      <c r="G103" s="279">
        <f>IF(G$1=0,"",IF($B103&lt;G$23,G102+PPMT(G$25/12,$B103,G$23,G$53,-G$27,0),IF($B103=G$23,G102+PPMT(G$25/12,$B103,G$23,G$53,-G$27,0)-G$27,0)))</f>
        <v/>
      </c>
      <c r="H103" s="279">
        <f>IF(H$1=0,"",IF($B103&lt;H$23,H102+PPMT(H$25/12,$B103,H$23,H$53,-H$27,0),IF($B103=H$23,H102+PPMT(H$25/12,$B103,H$23,H$53,-H$27,0)-H$27,0)))</f>
        <v/>
      </c>
      <c r="I103" s="279">
        <f>IF(I$1=0,"",IF($B103&lt;I$23,I102+PPMT(I$25/12,$B103,I$23,I$53,-I$27,0),IF($B103=I$23,I102+PPMT(I$25/12,$B103,I$23,I$53,-I$27,0)-I$27,0)))</f>
        <v/>
      </c>
      <c r="J103" s="279">
        <f>IF(J$1=0,"",IF($B103&lt;J$23,J102+PPMT(J$25/12,$B103,J$23,J$53,-J$27,0),IF($B103=J$23,J102+PPMT(J$25/12,$B103,J$23,J$53,-J$27,0)-J$27,0)))</f>
        <v/>
      </c>
      <c r="K103" s="279">
        <f>IF(K$1=0,"",IF($B103&lt;K$23,K102+PPMT(K$25/12,$B103,K$23,K$53,-K$27,0),IF($B103=K$23,K102+PPMT(K$25/12,$B103,K$23,K$53,-K$27,0)-K$27,0)))</f>
        <v/>
      </c>
      <c r="L103" s="279">
        <f>IF(L$1=0,"",IF($B103&lt;L$23,L102+PPMT(L$25/12,$B103,L$23,L$53,-L$27,0),IF($B103=L$23,L102+PPMT(L$25/12,$B103,L$23,L$53,-L$27,0)-L$27,0)))</f>
        <v/>
      </c>
      <c r="M103" s="279">
        <f>IF(M$1=0,"",IF($B103&lt;M$23,M102+PPMT(M$25/12,$B103,M$23,M$53,-M$27,0),IF($B103=M$23,M102+PPMT(M$25/12,$B103,M$23,M$53,-M$27,0)-M$27,0)))</f>
        <v/>
      </c>
      <c r="N103" s="280" t="n"/>
      <c r="O103" s="281" t="n"/>
    </row>
    <row r="104" hidden="1" outlineLevel="1">
      <c r="B104" s="2">
        <f>B103+1</f>
        <v/>
      </c>
      <c r="D104" s="279">
        <f>IF(B104&lt;$D$24,(+CALCULETTE!T683/CALCULETTE!$B$612),0)</f>
        <v/>
      </c>
      <c r="E104" s="279">
        <f>IF(E$1=0,"",IF($B104&lt;E$23,E103+PPMT(E$25/12,$B104,E$23,E$53,-E$27,0),IF($B104=E$23,E103+PPMT(E$25/12,$B104,E$23,E$53,-E$27,0)-E$27,0)))</f>
        <v/>
      </c>
      <c r="F104" s="279">
        <f>IF(F$1=0,"",IF($B104&lt;F$23,F103+PPMT(F$25/12,$B104,F$23,F$53,-F$27,0),IF($B104=F$23,F103+PPMT(F$25/12,$B104,F$23,F$53,-F$27,0)-F$27,0)))</f>
        <v/>
      </c>
      <c r="G104" s="279">
        <f>IF(G$1=0,"",IF($B104&lt;G$23,G103+PPMT(G$25/12,$B104,G$23,G$53,-G$27,0),IF($B104=G$23,G103+PPMT(G$25/12,$B104,G$23,G$53,-G$27,0)-G$27,0)))</f>
        <v/>
      </c>
      <c r="H104" s="279">
        <f>IF(H$1=0,"",IF($B104&lt;H$23,H103+PPMT(H$25/12,$B104,H$23,H$53,-H$27,0),IF($B104=H$23,H103+PPMT(H$25/12,$B104,H$23,H$53,-H$27,0)-H$27,0)))</f>
        <v/>
      </c>
      <c r="I104" s="279">
        <f>IF(I$1=0,"",IF($B104&lt;I$23,I103+PPMT(I$25/12,$B104,I$23,I$53,-I$27,0),IF($B104=I$23,I103+PPMT(I$25/12,$B104,I$23,I$53,-I$27,0)-I$27,0)))</f>
        <v/>
      </c>
      <c r="J104" s="279">
        <f>IF(J$1=0,"",IF($B104&lt;J$23,J103+PPMT(J$25/12,$B104,J$23,J$53,-J$27,0),IF($B104=J$23,J103+PPMT(J$25/12,$B104,J$23,J$53,-J$27,0)-J$27,0)))</f>
        <v/>
      </c>
      <c r="K104" s="279">
        <f>IF(K$1=0,"",IF($B104&lt;K$23,K103+PPMT(K$25/12,$B104,K$23,K$53,-K$27,0),IF($B104=K$23,K103+PPMT(K$25/12,$B104,K$23,K$53,-K$27,0)-K$27,0)))</f>
        <v/>
      </c>
      <c r="L104" s="279">
        <f>IF(L$1=0,"",IF($B104&lt;L$23,L103+PPMT(L$25/12,$B104,L$23,L$53,-L$27,0),IF($B104=L$23,L103+PPMT(L$25/12,$B104,L$23,L$53,-L$27,0)-L$27,0)))</f>
        <v/>
      </c>
      <c r="M104" s="279">
        <f>IF(M$1=0,"",IF($B104&lt;M$23,M103+PPMT(M$25/12,$B104,M$23,M$53,-M$27,0),IF($B104=M$23,M103+PPMT(M$25/12,$B104,M$23,M$53,-M$27,0)-M$27,0)))</f>
        <v/>
      </c>
      <c r="N104" s="280" t="n"/>
      <c r="O104" s="281" t="n"/>
    </row>
    <row r="105" hidden="1" outlineLevel="1">
      <c r="B105" s="2">
        <f>B104+1</f>
        <v/>
      </c>
      <c r="D105" s="279">
        <f>IF(B105&lt;$D$24,(+CALCULETTE!T684/CALCULETTE!$B$612),0)</f>
        <v/>
      </c>
      <c r="E105" s="279">
        <f>IF(E$1=0,"",IF($B105&lt;E$23,E104+PPMT(E$25/12,$B105,E$23,E$53,-E$27,0),IF($B105=E$23,E104+PPMT(E$25/12,$B105,E$23,E$53,-E$27,0)-E$27,0)))</f>
        <v/>
      </c>
      <c r="F105" s="279">
        <f>IF(F$1=0,"",IF($B105&lt;F$23,F104+PPMT(F$25/12,$B105,F$23,F$53,-F$27,0),IF($B105=F$23,F104+PPMT(F$25/12,$B105,F$23,F$53,-F$27,0)-F$27,0)))</f>
        <v/>
      </c>
      <c r="G105" s="279">
        <f>IF(G$1=0,"",IF($B105&lt;G$23,G104+PPMT(G$25/12,$B105,G$23,G$53,-G$27,0),IF($B105=G$23,G104+PPMT(G$25/12,$B105,G$23,G$53,-G$27,0)-G$27,0)))</f>
        <v/>
      </c>
      <c r="H105" s="279">
        <f>IF(H$1=0,"",IF($B105&lt;H$23,H104+PPMT(H$25/12,$B105,H$23,H$53,-H$27,0),IF($B105=H$23,H104+PPMT(H$25/12,$B105,H$23,H$53,-H$27,0)-H$27,0)))</f>
        <v/>
      </c>
      <c r="I105" s="279">
        <f>IF(I$1=0,"",IF($B105&lt;I$23,I104+PPMT(I$25/12,$B105,I$23,I$53,-I$27,0),IF($B105=I$23,I104+PPMT(I$25/12,$B105,I$23,I$53,-I$27,0)-I$27,0)))</f>
        <v/>
      </c>
      <c r="J105" s="279">
        <f>IF(J$1=0,"",IF($B105&lt;J$23,J104+PPMT(J$25/12,$B105,J$23,J$53,-J$27,0),IF($B105=J$23,J104+PPMT(J$25/12,$B105,J$23,J$53,-J$27,0)-J$27,0)))</f>
        <v/>
      </c>
      <c r="K105" s="279">
        <f>IF(K$1=0,"",IF($B105&lt;K$23,K104+PPMT(K$25/12,$B105,K$23,K$53,-K$27,0),IF($B105=K$23,K104+PPMT(K$25/12,$B105,K$23,K$53,-K$27,0)-K$27,0)))</f>
        <v/>
      </c>
      <c r="L105" s="279">
        <f>IF(L$1=0,"",IF($B105&lt;L$23,L104+PPMT(L$25/12,$B105,L$23,L$53,-L$27,0),IF($B105=L$23,L104+PPMT(L$25/12,$B105,L$23,L$53,-L$27,0)-L$27,0)))</f>
        <v/>
      </c>
      <c r="M105" s="279">
        <f>IF(M$1=0,"",IF($B105&lt;M$23,M104+PPMT(M$25/12,$B105,M$23,M$53,-M$27,0),IF($B105=M$23,M104+PPMT(M$25/12,$B105,M$23,M$53,-M$27,0)-M$27,0)))</f>
        <v/>
      </c>
      <c r="N105" s="280" t="n"/>
      <c r="O105" s="281" t="n"/>
    </row>
    <row r="106" hidden="1" outlineLevel="1">
      <c r="B106" s="2">
        <f>B105+1</f>
        <v/>
      </c>
      <c r="D106" s="279">
        <f>IF(B106&lt;$D$24,(+CALCULETTE!T685/CALCULETTE!$B$612),0)</f>
        <v/>
      </c>
      <c r="E106" s="279">
        <f>IF(E$1=0,"",IF($B106&lt;E$23,E105+PPMT(E$25/12,$B106,E$23,E$53,-E$27,0),IF($B106=E$23,E105+PPMT(E$25/12,$B106,E$23,E$53,-E$27,0)-E$27,0)))</f>
        <v/>
      </c>
      <c r="F106" s="279">
        <f>IF(F$1=0,"",IF($B106&lt;F$23,F105+PPMT(F$25/12,$B106,F$23,F$53,-F$27,0),IF($B106=F$23,F105+PPMT(F$25/12,$B106,F$23,F$53,-F$27,0)-F$27,0)))</f>
        <v/>
      </c>
      <c r="G106" s="279">
        <f>IF(G$1=0,"",IF($B106&lt;G$23,G105+PPMT(G$25/12,$B106,G$23,G$53,-G$27,0),IF($B106=G$23,G105+PPMT(G$25/12,$B106,G$23,G$53,-G$27,0)-G$27,0)))</f>
        <v/>
      </c>
      <c r="H106" s="279">
        <f>IF(H$1=0,"",IF($B106&lt;H$23,H105+PPMT(H$25/12,$B106,H$23,H$53,-H$27,0),IF($B106=H$23,H105+PPMT(H$25/12,$B106,H$23,H$53,-H$27,0)-H$27,0)))</f>
        <v/>
      </c>
      <c r="I106" s="279">
        <f>IF(I$1=0,"",IF($B106&lt;I$23,I105+PPMT(I$25/12,$B106,I$23,I$53,-I$27,0),IF($B106=I$23,I105+PPMT(I$25/12,$B106,I$23,I$53,-I$27,0)-I$27,0)))</f>
        <v/>
      </c>
      <c r="J106" s="279">
        <f>IF(J$1=0,"",IF($B106&lt;J$23,J105+PPMT(J$25/12,$B106,J$23,J$53,-J$27,0),IF($B106=J$23,J105+PPMT(J$25/12,$B106,J$23,J$53,-J$27,0)-J$27,0)))</f>
        <v/>
      </c>
      <c r="K106" s="279">
        <f>IF(K$1=0,"",IF($B106&lt;K$23,K105+PPMT(K$25/12,$B106,K$23,K$53,-K$27,0),IF($B106=K$23,K105+PPMT(K$25/12,$B106,K$23,K$53,-K$27,0)-K$27,0)))</f>
        <v/>
      </c>
      <c r="L106" s="279">
        <f>IF(L$1=0,"",IF($B106&lt;L$23,L105+PPMT(L$25/12,$B106,L$23,L$53,-L$27,0),IF($B106=L$23,L105+PPMT(L$25/12,$B106,L$23,L$53,-L$27,0)-L$27,0)))</f>
        <v/>
      </c>
      <c r="M106" s="279">
        <f>IF(M$1=0,"",IF($B106&lt;M$23,M105+PPMT(M$25/12,$B106,M$23,M$53,-M$27,0),IF($B106=M$23,M105+PPMT(M$25/12,$B106,M$23,M$53,-M$27,0)-M$27,0)))</f>
        <v/>
      </c>
      <c r="N106" s="280" t="n"/>
      <c r="O106" s="281" t="n"/>
    </row>
    <row r="107" hidden="1" outlineLevel="1">
      <c r="B107" s="2">
        <f>B106+1</f>
        <v/>
      </c>
      <c r="D107" s="279">
        <f>IF(B107&lt;$D$24,(+CALCULETTE!T686/CALCULETTE!$B$612),0)</f>
        <v/>
      </c>
      <c r="E107" s="279">
        <f>IF(E$1=0,"",IF($B107&lt;E$23,E106+PPMT(E$25/12,$B107,E$23,E$53,-E$27,0),IF($B107=E$23,E106+PPMT(E$25/12,$B107,E$23,E$53,-E$27,0)-E$27,0)))</f>
        <v/>
      </c>
      <c r="F107" s="279">
        <f>IF(F$1=0,"",IF($B107&lt;F$23,F106+PPMT(F$25/12,$B107,F$23,F$53,-F$27,0),IF($B107=F$23,F106+PPMT(F$25/12,$B107,F$23,F$53,-F$27,0)-F$27,0)))</f>
        <v/>
      </c>
      <c r="G107" s="279">
        <f>IF(G$1=0,"",IF($B107&lt;G$23,G106+PPMT(G$25/12,$B107,G$23,G$53,-G$27,0),IF($B107=G$23,G106+PPMT(G$25/12,$B107,G$23,G$53,-G$27,0)-G$27,0)))</f>
        <v/>
      </c>
      <c r="H107" s="279">
        <f>IF(H$1=0,"",IF($B107&lt;H$23,H106+PPMT(H$25/12,$B107,H$23,H$53,-H$27,0),IF($B107=H$23,H106+PPMT(H$25/12,$B107,H$23,H$53,-H$27,0)-H$27,0)))</f>
        <v/>
      </c>
      <c r="I107" s="279">
        <f>IF(I$1=0,"",IF($B107&lt;I$23,I106+PPMT(I$25/12,$B107,I$23,I$53,-I$27,0),IF($B107=I$23,I106+PPMT(I$25/12,$B107,I$23,I$53,-I$27,0)-I$27,0)))</f>
        <v/>
      </c>
      <c r="J107" s="279">
        <f>IF(J$1=0,"",IF($B107&lt;J$23,J106+PPMT(J$25/12,$B107,J$23,J$53,-J$27,0),IF($B107=J$23,J106+PPMT(J$25/12,$B107,J$23,J$53,-J$27,0)-J$27,0)))</f>
        <v/>
      </c>
      <c r="K107" s="279">
        <f>IF(K$1=0,"",IF($B107&lt;K$23,K106+PPMT(K$25/12,$B107,K$23,K$53,-K$27,0),IF($B107=K$23,K106+PPMT(K$25/12,$B107,K$23,K$53,-K$27,0)-K$27,0)))</f>
        <v/>
      </c>
      <c r="L107" s="279">
        <f>IF(L$1=0,"",IF($B107&lt;L$23,L106+PPMT(L$25/12,$B107,L$23,L$53,-L$27,0),IF($B107=L$23,L106+PPMT(L$25/12,$B107,L$23,L$53,-L$27,0)-L$27,0)))</f>
        <v/>
      </c>
      <c r="M107" s="279">
        <f>IF(M$1=0,"",IF($B107&lt;M$23,M106+PPMT(M$25/12,$B107,M$23,M$53,-M$27,0),IF($B107=M$23,M106+PPMT(M$25/12,$B107,M$23,M$53,-M$27,0)-M$27,0)))</f>
        <v/>
      </c>
      <c r="N107" s="280" t="n"/>
      <c r="O107" s="281" t="n"/>
    </row>
    <row r="108" hidden="1" outlineLevel="1">
      <c r="B108" s="2">
        <f>B107+1</f>
        <v/>
      </c>
      <c r="D108" s="279">
        <f>IF(B108&lt;$D$24,(+CALCULETTE!T687/CALCULETTE!$B$612),0)</f>
        <v/>
      </c>
      <c r="E108" s="279">
        <f>IF(E$1=0,"",IF($B108&lt;E$23,E107+PPMT(E$25/12,$B108,E$23,E$53,-E$27,0),IF($B108=E$23,E107+PPMT(E$25/12,$B108,E$23,E$53,-E$27,0)-E$27,0)))</f>
        <v/>
      </c>
      <c r="F108" s="279">
        <f>IF(F$1=0,"",IF($B108&lt;F$23,F107+PPMT(F$25/12,$B108,F$23,F$53,-F$27,0),IF($B108=F$23,F107+PPMT(F$25/12,$B108,F$23,F$53,-F$27,0)-F$27,0)))</f>
        <v/>
      </c>
      <c r="G108" s="279">
        <f>IF(G$1=0,"",IF($B108&lt;G$23,G107+PPMT(G$25/12,$B108,G$23,G$53,-G$27,0),IF($B108=G$23,G107+PPMT(G$25/12,$B108,G$23,G$53,-G$27,0)-G$27,0)))</f>
        <v/>
      </c>
      <c r="H108" s="279">
        <f>IF(H$1=0,"",IF($B108&lt;H$23,H107+PPMT(H$25/12,$B108,H$23,H$53,-H$27,0),IF($B108=H$23,H107+PPMT(H$25/12,$B108,H$23,H$53,-H$27,0)-H$27,0)))</f>
        <v/>
      </c>
      <c r="I108" s="279">
        <f>IF(I$1=0,"",IF($B108&lt;I$23,I107+PPMT(I$25/12,$B108,I$23,I$53,-I$27,0),IF($B108=I$23,I107+PPMT(I$25/12,$B108,I$23,I$53,-I$27,0)-I$27,0)))</f>
        <v/>
      </c>
      <c r="J108" s="279">
        <f>IF(J$1=0,"",IF($B108&lt;J$23,J107+PPMT(J$25/12,$B108,J$23,J$53,-J$27,0),IF($B108=J$23,J107+PPMT(J$25/12,$B108,J$23,J$53,-J$27,0)-J$27,0)))</f>
        <v/>
      </c>
      <c r="K108" s="279">
        <f>IF(K$1=0,"",IF($B108&lt;K$23,K107+PPMT(K$25/12,$B108,K$23,K$53,-K$27,0),IF($B108=K$23,K107+PPMT(K$25/12,$B108,K$23,K$53,-K$27,0)-K$27,0)))</f>
        <v/>
      </c>
      <c r="L108" s="279">
        <f>IF(L$1=0,"",IF($B108&lt;L$23,L107+PPMT(L$25/12,$B108,L$23,L$53,-L$27,0),IF($B108=L$23,L107+PPMT(L$25/12,$B108,L$23,L$53,-L$27,0)-L$27,0)))</f>
        <v/>
      </c>
      <c r="M108" s="279">
        <f>IF(M$1=0,"",IF($B108&lt;M$23,M107+PPMT(M$25/12,$B108,M$23,M$53,-M$27,0),IF($B108=M$23,M107+PPMT(M$25/12,$B108,M$23,M$53,-M$27,0)-M$27,0)))</f>
        <v/>
      </c>
      <c r="N108" s="280" t="n"/>
      <c r="O108" s="281" t="n"/>
    </row>
    <row r="109" hidden="1" outlineLevel="1">
      <c r="B109" s="2">
        <f>B108+1</f>
        <v/>
      </c>
      <c r="D109" s="279">
        <f>IF(B109&lt;$D$24,(+CALCULETTE!T688/CALCULETTE!$B$612),0)</f>
        <v/>
      </c>
      <c r="E109" s="279">
        <f>IF(E$1=0,"",IF($B109&lt;E$23,E108+PPMT(E$25/12,$B109,E$23,E$53,-E$27,0),IF($B109=E$23,E108+PPMT(E$25/12,$B109,E$23,E$53,-E$27,0)-E$27,0)))</f>
        <v/>
      </c>
      <c r="F109" s="279">
        <f>IF(F$1=0,"",IF($B109&lt;F$23,F108+PPMT(F$25/12,$B109,F$23,F$53,-F$27,0),IF($B109=F$23,F108+PPMT(F$25/12,$B109,F$23,F$53,-F$27,0)-F$27,0)))</f>
        <v/>
      </c>
      <c r="G109" s="279">
        <f>IF(G$1=0,"",IF($B109&lt;G$23,G108+PPMT(G$25/12,$B109,G$23,G$53,-G$27,0),IF($B109=G$23,G108+PPMT(G$25/12,$B109,G$23,G$53,-G$27,0)-G$27,0)))</f>
        <v/>
      </c>
      <c r="H109" s="279">
        <f>IF(H$1=0,"",IF($B109&lt;H$23,H108+PPMT(H$25/12,$B109,H$23,H$53,-H$27,0),IF($B109=H$23,H108+PPMT(H$25/12,$B109,H$23,H$53,-H$27,0)-H$27,0)))</f>
        <v/>
      </c>
      <c r="I109" s="279">
        <f>IF(I$1=0,"",IF($B109&lt;I$23,I108+PPMT(I$25/12,$B109,I$23,I$53,-I$27,0),IF($B109=I$23,I108+PPMT(I$25/12,$B109,I$23,I$53,-I$27,0)-I$27,0)))</f>
        <v/>
      </c>
      <c r="J109" s="279">
        <f>IF(J$1=0,"",IF($B109&lt;J$23,J108+PPMT(J$25/12,$B109,J$23,J$53,-J$27,0),IF($B109=J$23,J108+PPMT(J$25/12,$B109,J$23,J$53,-J$27,0)-J$27,0)))</f>
        <v/>
      </c>
      <c r="K109" s="279">
        <f>IF(K$1=0,"",IF($B109&lt;K$23,K108+PPMT(K$25/12,$B109,K$23,K$53,-K$27,0),IF($B109=K$23,K108+PPMT(K$25/12,$B109,K$23,K$53,-K$27,0)-K$27,0)))</f>
        <v/>
      </c>
      <c r="L109" s="279">
        <f>IF(L$1=0,"",IF($B109&lt;L$23,L108+PPMT(L$25/12,$B109,L$23,L$53,-L$27,0),IF($B109=L$23,L108+PPMT(L$25/12,$B109,L$23,L$53,-L$27,0)-L$27,0)))</f>
        <v/>
      </c>
      <c r="M109" s="279">
        <f>IF(M$1=0,"",IF($B109&lt;M$23,M108+PPMT(M$25/12,$B109,M$23,M$53,-M$27,0),IF($B109=M$23,M108+PPMT(M$25/12,$B109,M$23,M$53,-M$27,0)-M$27,0)))</f>
        <v/>
      </c>
      <c r="N109" s="280" t="n"/>
      <c r="O109" s="281" t="n"/>
    </row>
    <row r="110" hidden="1" outlineLevel="1">
      <c r="B110" s="2">
        <f>B109+1</f>
        <v/>
      </c>
      <c r="D110" s="279">
        <f>IF(B110&lt;$D$24,(+CALCULETTE!T689/CALCULETTE!$B$612),0)</f>
        <v/>
      </c>
      <c r="E110" s="279">
        <f>IF(E$1=0,"",IF($B110&lt;E$23,E109+PPMT(E$25/12,$B110,E$23,E$53,-E$27,0),IF($B110=E$23,E109+PPMT(E$25/12,$B110,E$23,E$53,-E$27,0)-E$27,0)))</f>
        <v/>
      </c>
      <c r="F110" s="279">
        <f>IF(F$1=0,"",IF($B110&lt;F$23,F109+PPMT(F$25/12,$B110,F$23,F$53,-F$27,0),IF($B110=F$23,F109+PPMT(F$25/12,$B110,F$23,F$53,-F$27,0)-F$27,0)))</f>
        <v/>
      </c>
      <c r="G110" s="279">
        <f>IF(G$1=0,"",IF($B110&lt;G$23,G109+PPMT(G$25/12,$B110,G$23,G$53,-G$27,0),IF($B110=G$23,G109+PPMT(G$25/12,$B110,G$23,G$53,-G$27,0)-G$27,0)))</f>
        <v/>
      </c>
      <c r="H110" s="279">
        <f>IF(H$1=0,"",IF($B110&lt;H$23,H109+PPMT(H$25/12,$B110,H$23,H$53,-H$27,0),IF($B110=H$23,H109+PPMT(H$25/12,$B110,H$23,H$53,-H$27,0)-H$27,0)))</f>
        <v/>
      </c>
      <c r="I110" s="279">
        <f>IF(I$1=0,"",IF($B110&lt;I$23,I109+PPMT(I$25/12,$B110,I$23,I$53,-I$27,0),IF($B110=I$23,I109+PPMT(I$25/12,$B110,I$23,I$53,-I$27,0)-I$27,0)))</f>
        <v/>
      </c>
      <c r="J110" s="279">
        <f>IF(J$1=0,"",IF($B110&lt;J$23,J109+PPMT(J$25/12,$B110,J$23,J$53,-J$27,0),IF($B110=J$23,J109+PPMT(J$25/12,$B110,J$23,J$53,-J$27,0)-J$27,0)))</f>
        <v/>
      </c>
      <c r="K110" s="279">
        <f>IF(K$1=0,"",IF($B110&lt;K$23,K109+PPMT(K$25/12,$B110,K$23,K$53,-K$27,0),IF($B110=K$23,K109+PPMT(K$25/12,$B110,K$23,K$53,-K$27,0)-K$27,0)))</f>
        <v/>
      </c>
      <c r="L110" s="279">
        <f>IF(L$1=0,"",IF($B110&lt;L$23,L109+PPMT(L$25/12,$B110,L$23,L$53,-L$27,0),IF($B110=L$23,L109+PPMT(L$25/12,$B110,L$23,L$53,-L$27,0)-L$27,0)))</f>
        <v/>
      </c>
      <c r="M110" s="279">
        <f>IF(M$1=0,"",IF($B110&lt;M$23,M109+PPMT(M$25/12,$B110,M$23,M$53,-M$27,0),IF($B110=M$23,M109+PPMT(M$25/12,$B110,M$23,M$53,-M$27,0)-M$27,0)))</f>
        <v/>
      </c>
      <c r="N110" s="280" t="n"/>
      <c r="O110" s="281" t="n"/>
    </row>
    <row r="111" hidden="1" outlineLevel="1">
      <c r="B111" s="2">
        <f>B110+1</f>
        <v/>
      </c>
      <c r="D111" s="279">
        <f>IF(B111&lt;$D$24,(+CALCULETTE!T690/CALCULETTE!$B$612),0)</f>
        <v/>
      </c>
      <c r="E111" s="279">
        <f>IF(E$1=0,"",IF($B111&lt;E$23,E110+PPMT(E$25/12,$B111,E$23,E$53,-E$27,0),IF($B111=E$23,E110+PPMT(E$25/12,$B111,E$23,E$53,-E$27,0)-E$27,0)))</f>
        <v/>
      </c>
      <c r="F111" s="279">
        <f>IF(F$1=0,"",IF($B111&lt;F$23,F110+PPMT(F$25/12,$B111,F$23,F$53,-F$27,0),IF($B111=F$23,F110+PPMT(F$25/12,$B111,F$23,F$53,-F$27,0)-F$27,0)))</f>
        <v/>
      </c>
      <c r="G111" s="279">
        <f>IF(G$1=0,"",IF($B111&lt;G$23,G110+PPMT(G$25/12,$B111,G$23,G$53,-G$27,0),IF($B111=G$23,G110+PPMT(G$25/12,$B111,G$23,G$53,-G$27,0)-G$27,0)))</f>
        <v/>
      </c>
      <c r="H111" s="279">
        <f>IF(H$1=0,"",IF($B111&lt;H$23,H110+PPMT(H$25/12,$B111,H$23,H$53,-H$27,0),IF($B111=H$23,H110+PPMT(H$25/12,$B111,H$23,H$53,-H$27,0)-H$27,0)))</f>
        <v/>
      </c>
      <c r="I111" s="279">
        <f>IF(I$1=0,"",IF($B111&lt;I$23,I110+PPMT(I$25/12,$B111,I$23,I$53,-I$27,0),IF($B111=I$23,I110+PPMT(I$25/12,$B111,I$23,I$53,-I$27,0)-I$27,0)))</f>
        <v/>
      </c>
      <c r="J111" s="279">
        <f>IF(J$1=0,"",IF($B111&lt;J$23,J110+PPMT(J$25/12,$B111,J$23,J$53,-J$27,0),IF($B111=J$23,J110+PPMT(J$25/12,$B111,J$23,J$53,-J$27,0)-J$27,0)))</f>
        <v/>
      </c>
      <c r="K111" s="279">
        <f>IF(K$1=0,"",IF($B111&lt;K$23,K110+PPMT(K$25/12,$B111,K$23,K$53,-K$27,0),IF($B111=K$23,K110+PPMT(K$25/12,$B111,K$23,K$53,-K$27,0)-K$27,0)))</f>
        <v/>
      </c>
      <c r="L111" s="279">
        <f>IF(L$1=0,"",IF($B111&lt;L$23,L110+PPMT(L$25/12,$B111,L$23,L$53,-L$27,0),IF($B111=L$23,L110+PPMT(L$25/12,$B111,L$23,L$53,-L$27,0)-L$27,0)))</f>
        <v/>
      </c>
      <c r="M111" s="279">
        <f>IF(M$1=0,"",IF($B111&lt;M$23,M110+PPMT(M$25/12,$B111,M$23,M$53,-M$27,0),IF($B111=M$23,M110+PPMT(M$25/12,$B111,M$23,M$53,-M$27,0)-M$27,0)))</f>
        <v/>
      </c>
      <c r="N111" s="280" t="n"/>
      <c r="O111" s="281" t="n"/>
    </row>
    <row r="112" hidden="1" outlineLevel="1">
      <c r="B112" s="2">
        <f>B111+1</f>
        <v/>
      </c>
      <c r="D112" s="279">
        <f>IF(B112&lt;$D$24,(+CALCULETTE!T691/CALCULETTE!$B$612),0)</f>
        <v/>
      </c>
      <c r="E112" s="279">
        <f>IF(E$1=0,"",IF($B112&lt;E$23,E111+PPMT(E$25/12,$B112,E$23,E$53,-E$27,0),IF($B112=E$23,E111+PPMT(E$25/12,$B112,E$23,E$53,-E$27,0)-E$27,0)))</f>
        <v/>
      </c>
      <c r="F112" s="279">
        <f>IF(F$1=0,"",IF($B112&lt;F$23,F111+PPMT(F$25/12,$B112,F$23,F$53,-F$27,0),IF($B112=F$23,F111+PPMT(F$25/12,$B112,F$23,F$53,-F$27,0)-F$27,0)))</f>
        <v/>
      </c>
      <c r="G112" s="279">
        <f>IF(G$1=0,"",IF($B112&lt;G$23,G111+PPMT(G$25/12,$B112,G$23,G$53,-G$27,0),IF($B112=G$23,G111+PPMT(G$25/12,$B112,G$23,G$53,-G$27,0)-G$27,0)))</f>
        <v/>
      </c>
      <c r="H112" s="279">
        <f>IF(H$1=0,"",IF($B112&lt;H$23,H111+PPMT(H$25/12,$B112,H$23,H$53,-H$27,0),IF($B112=H$23,H111+PPMT(H$25/12,$B112,H$23,H$53,-H$27,0)-H$27,0)))</f>
        <v/>
      </c>
      <c r="I112" s="279">
        <f>IF(I$1=0,"",IF($B112&lt;I$23,I111+PPMT(I$25/12,$B112,I$23,I$53,-I$27,0),IF($B112=I$23,I111+PPMT(I$25/12,$B112,I$23,I$53,-I$27,0)-I$27,0)))</f>
        <v/>
      </c>
      <c r="J112" s="279">
        <f>IF(J$1=0,"",IF($B112&lt;J$23,J111+PPMT(J$25/12,$B112,J$23,J$53,-J$27,0),IF($B112=J$23,J111+PPMT(J$25/12,$B112,J$23,J$53,-J$27,0)-J$27,0)))</f>
        <v/>
      </c>
      <c r="K112" s="279">
        <f>IF(K$1=0,"",IF($B112&lt;K$23,K111+PPMT(K$25/12,$B112,K$23,K$53,-K$27,0),IF($B112=K$23,K111+PPMT(K$25/12,$B112,K$23,K$53,-K$27,0)-K$27,0)))</f>
        <v/>
      </c>
      <c r="L112" s="279">
        <f>IF(L$1=0,"",IF($B112&lt;L$23,L111+PPMT(L$25/12,$B112,L$23,L$53,-L$27,0),IF($B112=L$23,L111+PPMT(L$25/12,$B112,L$23,L$53,-L$27,0)-L$27,0)))</f>
        <v/>
      </c>
      <c r="M112" s="279">
        <f>IF(M$1=0,"",IF($B112&lt;M$23,M111+PPMT(M$25/12,$B112,M$23,M$53,-M$27,0),IF($B112=M$23,M111+PPMT(M$25/12,$B112,M$23,M$53,-M$27,0)-M$27,0)))</f>
        <v/>
      </c>
      <c r="N112" s="280" t="n"/>
      <c r="O112" s="281" t="n"/>
    </row>
    <row r="113" hidden="1" outlineLevel="1">
      <c r="B113" s="2">
        <f>B112+1</f>
        <v/>
      </c>
      <c r="D113" s="279">
        <f>IF(B113&lt;$D$24,(+CALCULETTE!T692/CALCULETTE!$B$612),0)</f>
        <v/>
      </c>
      <c r="E113" s="279">
        <f>IF(E$1=0,"",IF($B113&lt;E$23,E112+PPMT(E$25/12,$B113,E$23,E$53,-E$27,0),IF($B113=E$23,E112+PPMT(E$25/12,$B113,E$23,E$53,-E$27,0)-E$27,0)))</f>
        <v/>
      </c>
      <c r="F113" s="279">
        <f>IF(F$1=0,"",IF($B113&lt;F$23,F112+PPMT(F$25/12,$B113,F$23,F$53,-F$27,0),IF($B113=F$23,F112+PPMT(F$25/12,$B113,F$23,F$53,-F$27,0)-F$27,0)))</f>
        <v/>
      </c>
      <c r="G113" s="279">
        <f>IF(G$1=0,"",IF($B113&lt;G$23,G112+PPMT(G$25/12,$B113,G$23,G$53,-G$27,0),IF($B113=G$23,G112+PPMT(G$25/12,$B113,G$23,G$53,-G$27,0)-G$27,0)))</f>
        <v/>
      </c>
      <c r="H113" s="279">
        <f>IF(H$1=0,"",IF($B113&lt;H$23,H112+PPMT(H$25/12,$B113,H$23,H$53,-H$27,0),IF($B113=H$23,H112+PPMT(H$25/12,$B113,H$23,H$53,-H$27,0)-H$27,0)))</f>
        <v/>
      </c>
      <c r="I113" s="279">
        <f>IF(I$1=0,"",IF($B113&lt;I$23,I112+PPMT(I$25/12,$B113,I$23,I$53,-I$27,0),IF($B113=I$23,I112+PPMT(I$25/12,$B113,I$23,I$53,-I$27,0)-I$27,0)))</f>
        <v/>
      </c>
      <c r="J113" s="279">
        <f>IF(J$1=0,"",IF($B113&lt;J$23,J112+PPMT(J$25/12,$B113,J$23,J$53,-J$27,0),IF($B113=J$23,J112+PPMT(J$25/12,$B113,J$23,J$53,-J$27,0)-J$27,0)))</f>
        <v/>
      </c>
      <c r="K113" s="279">
        <f>IF(K$1=0,"",IF($B113&lt;K$23,K112+PPMT(K$25/12,$B113,K$23,K$53,-K$27,0),IF($B113=K$23,K112+PPMT(K$25/12,$B113,K$23,K$53,-K$27,0)-K$27,0)))</f>
        <v/>
      </c>
      <c r="L113" s="279">
        <f>IF(L$1=0,"",IF($B113&lt;L$23,L112+PPMT(L$25/12,$B113,L$23,L$53,-L$27,0),IF($B113=L$23,L112+PPMT(L$25/12,$B113,L$23,L$53,-L$27,0)-L$27,0)))</f>
        <v/>
      </c>
      <c r="M113" s="279">
        <f>IF(M$1=0,"",IF($B113&lt;M$23,M112+PPMT(M$25/12,$B113,M$23,M$53,-M$27,0),IF($B113=M$23,M112+PPMT(M$25/12,$B113,M$23,M$53,-M$27,0)-M$27,0)))</f>
        <v/>
      </c>
      <c r="N113" s="280" t="n"/>
      <c r="O113" s="281" t="n"/>
    </row>
    <row r="114" hidden="1" outlineLevel="1">
      <c r="B114" s="2">
        <f>B113+1</f>
        <v/>
      </c>
      <c r="D114" s="279">
        <f>IF(B114&lt;$D$24,(+CALCULETTE!T693/CALCULETTE!$B$612),0)</f>
        <v/>
      </c>
      <c r="E114" s="279">
        <f>IF(E$1=0,"",IF($B114&lt;E$23,E113+PPMT(E$25/12,$B114,E$23,E$53,-E$27,0),IF($B114=E$23,E113+PPMT(E$25/12,$B114,E$23,E$53,-E$27,0)-E$27,0)))</f>
        <v/>
      </c>
      <c r="F114" s="279">
        <f>IF(F$1=0,"",IF($B114&lt;F$23,F113+PPMT(F$25/12,$B114,F$23,F$53,-F$27,0),IF($B114=F$23,F113+PPMT(F$25/12,$B114,F$23,F$53,-F$27,0)-F$27,0)))</f>
        <v/>
      </c>
      <c r="G114" s="279">
        <f>IF(G$1=0,"",IF($B114&lt;G$23,G113+PPMT(G$25/12,$B114,G$23,G$53,-G$27,0),IF($B114=G$23,G113+PPMT(G$25/12,$B114,G$23,G$53,-G$27,0)-G$27,0)))</f>
        <v/>
      </c>
      <c r="H114" s="279">
        <f>IF(H$1=0,"",IF($B114&lt;H$23,H113+PPMT(H$25/12,$B114,H$23,H$53,-H$27,0),IF($B114=H$23,H113+PPMT(H$25/12,$B114,H$23,H$53,-H$27,0)-H$27,0)))</f>
        <v/>
      </c>
      <c r="I114" s="279">
        <f>IF(I$1=0,"",IF($B114&lt;I$23,I113+PPMT(I$25/12,$B114,I$23,I$53,-I$27,0),IF($B114=I$23,I113+PPMT(I$25/12,$B114,I$23,I$53,-I$27,0)-I$27,0)))</f>
        <v/>
      </c>
      <c r="J114" s="279">
        <f>IF(J$1=0,"",IF($B114&lt;J$23,J113+PPMT(J$25/12,$B114,J$23,J$53,-J$27,0),IF($B114=J$23,J113+PPMT(J$25/12,$B114,J$23,J$53,-J$27,0)-J$27,0)))</f>
        <v/>
      </c>
      <c r="K114" s="279">
        <f>IF(K$1=0,"",IF($B114&lt;K$23,K113+PPMT(K$25/12,$B114,K$23,K$53,-K$27,0),IF($B114=K$23,K113+PPMT(K$25/12,$B114,K$23,K$53,-K$27,0)-K$27,0)))</f>
        <v/>
      </c>
      <c r="L114" s="279">
        <f>IF(L$1=0,"",IF($B114&lt;L$23,L113+PPMT(L$25/12,$B114,L$23,L$53,-L$27,0),IF($B114=L$23,L113+PPMT(L$25/12,$B114,L$23,L$53,-L$27,0)-L$27,0)))</f>
        <v/>
      </c>
      <c r="M114" s="279">
        <f>IF(M$1=0,"",IF($B114&lt;M$23,M113+PPMT(M$25/12,$B114,M$23,M$53,-M$27,0),IF($B114=M$23,M113+PPMT(M$25/12,$B114,M$23,M$53,-M$27,0)-M$27,0)))</f>
        <v/>
      </c>
      <c r="N114" s="280" t="n"/>
      <c r="O114" s="281" t="n"/>
    </row>
    <row r="115" hidden="1" outlineLevel="1">
      <c r="B115" s="2">
        <f>B114+1</f>
        <v/>
      </c>
      <c r="D115" s="279">
        <f>IF(B115&lt;$D$24,(+CALCULETTE!T694/CALCULETTE!$B$612),0)</f>
        <v/>
      </c>
      <c r="E115" s="279">
        <f>IF(E$1=0,"",IF($B115&lt;E$23,E114+PPMT(E$25/12,$B115,E$23,E$53,-E$27,0),IF($B115=E$23,E114+PPMT(E$25/12,$B115,E$23,E$53,-E$27,0)-E$27,0)))</f>
        <v/>
      </c>
      <c r="F115" s="279">
        <f>IF(F$1=0,"",IF($B115&lt;F$23,F114+PPMT(F$25/12,$B115,F$23,F$53,-F$27,0),IF($B115=F$23,F114+PPMT(F$25/12,$B115,F$23,F$53,-F$27,0)-F$27,0)))</f>
        <v/>
      </c>
      <c r="G115" s="279">
        <f>IF(G$1=0,"",IF($B115&lt;G$23,G114+PPMT(G$25/12,$B115,G$23,G$53,-G$27,0),IF($B115=G$23,G114+PPMT(G$25/12,$B115,G$23,G$53,-G$27,0)-G$27,0)))</f>
        <v/>
      </c>
      <c r="H115" s="279">
        <f>IF(H$1=0,"",IF($B115&lt;H$23,H114+PPMT(H$25/12,$B115,H$23,H$53,-H$27,0),IF($B115=H$23,H114+PPMT(H$25/12,$B115,H$23,H$53,-H$27,0)-H$27,0)))</f>
        <v/>
      </c>
      <c r="I115" s="279">
        <f>IF(I$1=0,"",IF($B115&lt;I$23,I114+PPMT(I$25/12,$B115,I$23,I$53,-I$27,0),IF($B115=I$23,I114+PPMT(I$25/12,$B115,I$23,I$53,-I$27,0)-I$27,0)))</f>
        <v/>
      </c>
      <c r="J115" s="279">
        <f>IF(J$1=0,"",IF($B115&lt;J$23,J114+PPMT(J$25/12,$B115,J$23,J$53,-J$27,0),IF($B115=J$23,J114+PPMT(J$25/12,$B115,J$23,J$53,-J$27,0)-J$27,0)))</f>
        <v/>
      </c>
      <c r="K115" s="279">
        <f>IF(K$1=0,"",IF($B115&lt;K$23,K114+PPMT(K$25/12,$B115,K$23,K$53,-K$27,0),IF($B115=K$23,K114+PPMT(K$25/12,$B115,K$23,K$53,-K$27,0)-K$27,0)))</f>
        <v/>
      </c>
      <c r="L115" s="279">
        <f>IF(L$1=0,"",IF($B115&lt;L$23,L114+PPMT(L$25/12,$B115,L$23,L$53,-L$27,0),IF($B115=L$23,L114+PPMT(L$25/12,$B115,L$23,L$53,-L$27,0)-L$27,0)))</f>
        <v/>
      </c>
      <c r="M115" s="279">
        <f>IF(M$1=0,"",IF($B115&lt;M$23,M114+PPMT(M$25/12,$B115,M$23,M$53,-M$27,0),IF($B115=M$23,M114+PPMT(M$25/12,$B115,M$23,M$53,-M$27,0)-M$27,0)))</f>
        <v/>
      </c>
      <c r="N115" s="280" t="n"/>
      <c r="O115" s="281" t="n"/>
    </row>
    <row r="116" hidden="1" outlineLevel="1">
      <c r="B116" s="2">
        <f>B115+1</f>
        <v/>
      </c>
      <c r="D116" s="279">
        <f>IF(B116&lt;$D$24,(+CALCULETTE!T695/CALCULETTE!$B$612),0)</f>
        <v/>
      </c>
      <c r="E116" s="279">
        <f>IF(E$1=0,"",IF($B116&lt;E$23,E115+PPMT(E$25/12,$B116,E$23,E$53,-E$27,0),IF($B116=E$23,E115+PPMT(E$25/12,$B116,E$23,E$53,-E$27,0)-E$27,0)))</f>
        <v/>
      </c>
      <c r="F116" s="279">
        <f>IF(F$1=0,"",IF($B116&lt;F$23,F115+PPMT(F$25/12,$B116,F$23,F$53,-F$27,0),IF($B116=F$23,F115+PPMT(F$25/12,$B116,F$23,F$53,-F$27,0)-F$27,0)))</f>
        <v/>
      </c>
      <c r="G116" s="279">
        <f>IF(G$1=0,"",IF($B116&lt;G$23,G115+PPMT(G$25/12,$B116,G$23,G$53,-G$27,0),IF($B116=G$23,G115+PPMT(G$25/12,$B116,G$23,G$53,-G$27,0)-G$27,0)))</f>
        <v/>
      </c>
      <c r="H116" s="279">
        <f>IF(H$1=0,"",IF($B116&lt;H$23,H115+PPMT(H$25/12,$B116,H$23,H$53,-H$27,0),IF($B116=H$23,H115+PPMT(H$25/12,$B116,H$23,H$53,-H$27,0)-H$27,0)))</f>
        <v/>
      </c>
      <c r="I116" s="279">
        <f>IF(I$1=0,"",IF($B116&lt;I$23,I115+PPMT(I$25/12,$B116,I$23,I$53,-I$27,0),IF($B116=I$23,I115+PPMT(I$25/12,$B116,I$23,I$53,-I$27,0)-I$27,0)))</f>
        <v/>
      </c>
      <c r="J116" s="279">
        <f>IF(J$1=0,"",IF($B116&lt;J$23,J115+PPMT(J$25/12,$B116,J$23,J$53,-J$27,0),IF($B116=J$23,J115+PPMT(J$25/12,$B116,J$23,J$53,-J$27,0)-J$27,0)))</f>
        <v/>
      </c>
      <c r="K116" s="279">
        <f>IF(K$1=0,"",IF($B116&lt;K$23,K115+PPMT(K$25/12,$B116,K$23,K$53,-K$27,0),IF($B116=K$23,K115+PPMT(K$25/12,$B116,K$23,K$53,-K$27,0)-K$27,0)))</f>
        <v/>
      </c>
      <c r="L116" s="279">
        <f>IF(L$1=0,"",IF($B116&lt;L$23,L115+PPMT(L$25/12,$B116,L$23,L$53,-L$27,0),IF($B116=L$23,L115+PPMT(L$25/12,$B116,L$23,L$53,-L$27,0)-L$27,0)))</f>
        <v/>
      </c>
      <c r="M116" s="279">
        <f>IF(M$1=0,"",IF($B116&lt;M$23,M115+PPMT(M$25/12,$B116,M$23,M$53,-M$27,0),IF($B116=M$23,M115+PPMT(M$25/12,$B116,M$23,M$53,-M$27,0)-M$27,0)))</f>
        <v/>
      </c>
      <c r="N116" s="280" t="n"/>
      <c r="O116" s="281" t="n"/>
    </row>
    <row r="117" hidden="1" outlineLevel="1">
      <c r="B117" s="2">
        <f>B116+1</f>
        <v/>
      </c>
      <c r="D117" s="279">
        <f>IF(B117&lt;$D$24,(+CALCULETTE!T696/CALCULETTE!$B$612),0)</f>
        <v/>
      </c>
      <c r="E117" s="279">
        <f>IF(E$1=0,"",IF($B117&lt;E$23,E116+PPMT(E$25/12,$B117,E$23,E$53,-E$27,0),IF($B117=E$23,E116+PPMT(E$25/12,$B117,E$23,E$53,-E$27,0)-E$27,0)))</f>
        <v/>
      </c>
      <c r="F117" s="279">
        <f>IF(F$1=0,"",IF($B117&lt;F$23,F116+PPMT(F$25/12,$B117,F$23,F$53,-F$27,0),IF($B117=F$23,F116+PPMT(F$25/12,$B117,F$23,F$53,-F$27,0)-F$27,0)))</f>
        <v/>
      </c>
      <c r="G117" s="279">
        <f>IF(G$1=0,"",IF($B117&lt;G$23,G116+PPMT(G$25/12,$B117,G$23,G$53,-G$27,0),IF($B117=G$23,G116+PPMT(G$25/12,$B117,G$23,G$53,-G$27,0)-G$27,0)))</f>
        <v/>
      </c>
      <c r="H117" s="279">
        <f>IF(H$1=0,"",IF($B117&lt;H$23,H116+PPMT(H$25/12,$B117,H$23,H$53,-H$27,0),IF($B117=H$23,H116+PPMT(H$25/12,$B117,H$23,H$53,-H$27,0)-H$27,0)))</f>
        <v/>
      </c>
      <c r="I117" s="279">
        <f>IF(I$1=0,"",IF($B117&lt;I$23,I116+PPMT(I$25/12,$B117,I$23,I$53,-I$27,0),IF($B117=I$23,I116+PPMT(I$25/12,$B117,I$23,I$53,-I$27,0)-I$27,0)))</f>
        <v/>
      </c>
      <c r="J117" s="279">
        <f>IF(J$1=0,"",IF($B117&lt;J$23,J116+PPMT(J$25/12,$B117,J$23,J$53,-J$27,0),IF($B117=J$23,J116+PPMT(J$25/12,$B117,J$23,J$53,-J$27,0)-J$27,0)))</f>
        <v/>
      </c>
      <c r="K117" s="279">
        <f>IF(K$1=0,"",IF($B117&lt;K$23,K116+PPMT(K$25/12,$B117,K$23,K$53,-K$27,0),IF($B117=K$23,K116+PPMT(K$25/12,$B117,K$23,K$53,-K$27,0)-K$27,0)))</f>
        <v/>
      </c>
      <c r="L117" s="279">
        <f>IF(L$1=0,"",IF($B117&lt;L$23,L116+PPMT(L$25/12,$B117,L$23,L$53,-L$27,0),IF($B117=L$23,L116+PPMT(L$25/12,$B117,L$23,L$53,-L$27,0)-L$27,0)))</f>
        <v/>
      </c>
      <c r="M117" s="279">
        <f>IF(M$1=0,"",IF($B117&lt;M$23,M116+PPMT(M$25/12,$B117,M$23,M$53,-M$27,0),IF($B117=M$23,M116+PPMT(M$25/12,$B117,M$23,M$53,-M$27,0)-M$27,0)))</f>
        <v/>
      </c>
      <c r="N117" s="280" t="n"/>
      <c r="O117" s="281" t="n"/>
    </row>
    <row r="118" hidden="1" outlineLevel="1">
      <c r="B118" s="2">
        <f>B117+1</f>
        <v/>
      </c>
      <c r="D118" s="279">
        <f>IF(B118&lt;$D$24,(+CALCULETTE!T697/CALCULETTE!$B$612),0)</f>
        <v/>
      </c>
      <c r="E118" s="279">
        <f>IF(E$1=0,"",IF($B118&lt;E$23,E117+PPMT(E$25/12,$B118,E$23,E$53,-E$27,0),IF($B118=E$23,E117+PPMT(E$25/12,$B118,E$23,E$53,-E$27,0)-E$27,0)))</f>
        <v/>
      </c>
      <c r="F118" s="279">
        <f>IF(F$1=0,"",IF($B118&lt;F$23,F117+PPMT(F$25/12,$B118,F$23,F$53,-F$27,0),IF($B118=F$23,F117+PPMT(F$25/12,$B118,F$23,F$53,-F$27,0)-F$27,0)))</f>
        <v/>
      </c>
      <c r="G118" s="279">
        <f>IF(G$1=0,"",IF($B118&lt;G$23,G117+PPMT(G$25/12,$B118,G$23,G$53,-G$27,0),IF($B118=G$23,G117+PPMT(G$25/12,$B118,G$23,G$53,-G$27,0)-G$27,0)))</f>
        <v/>
      </c>
      <c r="H118" s="279">
        <f>IF(H$1=0,"",IF($B118&lt;H$23,H117+PPMT(H$25/12,$B118,H$23,H$53,-H$27,0),IF($B118=H$23,H117+PPMT(H$25/12,$B118,H$23,H$53,-H$27,0)-H$27,0)))</f>
        <v/>
      </c>
      <c r="I118" s="279">
        <f>IF(I$1=0,"",IF($B118&lt;I$23,I117+PPMT(I$25/12,$B118,I$23,I$53,-I$27,0),IF($B118=I$23,I117+PPMT(I$25/12,$B118,I$23,I$53,-I$27,0)-I$27,0)))</f>
        <v/>
      </c>
      <c r="J118" s="279">
        <f>IF(J$1=0,"",IF($B118&lt;J$23,J117+PPMT(J$25/12,$B118,J$23,J$53,-J$27,0),IF($B118=J$23,J117+PPMT(J$25/12,$B118,J$23,J$53,-J$27,0)-J$27,0)))</f>
        <v/>
      </c>
      <c r="K118" s="279">
        <f>IF(K$1=0,"",IF($B118&lt;K$23,K117+PPMT(K$25/12,$B118,K$23,K$53,-K$27,0),IF($B118=K$23,K117+PPMT(K$25/12,$B118,K$23,K$53,-K$27,0)-K$27,0)))</f>
        <v/>
      </c>
      <c r="L118" s="279">
        <f>IF(L$1=0,"",IF($B118&lt;L$23,L117+PPMT(L$25/12,$B118,L$23,L$53,-L$27,0),IF($B118=L$23,L117+PPMT(L$25/12,$B118,L$23,L$53,-L$27,0)-L$27,0)))</f>
        <v/>
      </c>
      <c r="M118" s="279">
        <f>IF(M$1=0,"",IF($B118&lt;M$23,M117+PPMT(M$25/12,$B118,M$23,M$53,-M$27,0),IF($B118=M$23,M117+PPMT(M$25/12,$B118,M$23,M$53,-M$27,0)-M$27,0)))</f>
        <v/>
      </c>
      <c r="N118" s="280" t="n"/>
      <c r="O118" s="281" t="n"/>
    </row>
    <row r="119" hidden="1" outlineLevel="1">
      <c r="B119" s="2">
        <f>B118+1</f>
        <v/>
      </c>
      <c r="D119" s="279">
        <f>IF(B119&lt;$D$24,(+CALCULETTE!T698/CALCULETTE!$B$612),0)</f>
        <v/>
      </c>
      <c r="E119" s="279">
        <f>IF(E$1=0,"",IF($B119&lt;E$23,E118+PPMT(E$25/12,$B119,E$23,E$53,-E$27,0),IF($B119=E$23,E118+PPMT(E$25/12,$B119,E$23,E$53,-E$27,0)-E$27,0)))</f>
        <v/>
      </c>
      <c r="F119" s="279">
        <f>IF(F$1=0,"",IF($B119&lt;F$23,F118+PPMT(F$25/12,$B119,F$23,F$53,-F$27,0),IF($B119=F$23,F118+PPMT(F$25/12,$B119,F$23,F$53,-F$27,0)-F$27,0)))</f>
        <v/>
      </c>
      <c r="G119" s="279">
        <f>IF(G$1=0,"",IF($B119&lt;G$23,G118+PPMT(G$25/12,$B119,G$23,G$53,-G$27,0),IF($B119=G$23,G118+PPMT(G$25/12,$B119,G$23,G$53,-G$27,0)-G$27,0)))</f>
        <v/>
      </c>
      <c r="H119" s="279">
        <f>IF(H$1=0,"",IF($B119&lt;H$23,H118+PPMT(H$25/12,$B119,H$23,H$53,-H$27,0),IF($B119=H$23,H118+PPMT(H$25/12,$B119,H$23,H$53,-H$27,0)-H$27,0)))</f>
        <v/>
      </c>
      <c r="I119" s="279">
        <f>IF(I$1=0,"",IF($B119&lt;I$23,I118+PPMT(I$25/12,$B119,I$23,I$53,-I$27,0),IF($B119=I$23,I118+PPMT(I$25/12,$B119,I$23,I$53,-I$27,0)-I$27,0)))</f>
        <v/>
      </c>
      <c r="J119" s="279">
        <f>IF(J$1=0,"",IF($B119&lt;J$23,J118+PPMT(J$25/12,$B119,J$23,J$53,-J$27,0),IF($B119=J$23,J118+PPMT(J$25/12,$B119,J$23,J$53,-J$27,0)-J$27,0)))</f>
        <v/>
      </c>
      <c r="K119" s="279">
        <f>IF(K$1=0,"",IF($B119&lt;K$23,K118+PPMT(K$25/12,$B119,K$23,K$53,-K$27,0),IF($B119=K$23,K118+PPMT(K$25/12,$B119,K$23,K$53,-K$27,0)-K$27,0)))</f>
        <v/>
      </c>
      <c r="L119" s="279">
        <f>IF(L$1=0,"",IF($B119&lt;L$23,L118+PPMT(L$25/12,$B119,L$23,L$53,-L$27,0),IF($B119=L$23,L118+PPMT(L$25/12,$B119,L$23,L$53,-L$27,0)-L$27,0)))</f>
        <v/>
      </c>
      <c r="M119" s="279">
        <f>IF(M$1=0,"",IF($B119&lt;M$23,M118+PPMT(M$25/12,$B119,M$23,M$53,-M$27,0),IF($B119=M$23,M118+PPMT(M$25/12,$B119,M$23,M$53,-M$27,0)-M$27,0)))</f>
        <v/>
      </c>
      <c r="N119" s="280" t="n"/>
      <c r="O119" s="281" t="n"/>
    </row>
    <row r="120" hidden="1" outlineLevel="1">
      <c r="B120" s="2">
        <f>B119+1</f>
        <v/>
      </c>
      <c r="D120" s="279">
        <f>IF(B120&lt;$D$24,(+CALCULETTE!T699/CALCULETTE!$B$612),0)</f>
        <v/>
      </c>
      <c r="E120" s="279">
        <f>IF(E$1=0,"",IF($B120&lt;E$23,E119+PPMT(E$25/12,$B120,E$23,E$53,-E$27,0),IF($B120=E$23,E119+PPMT(E$25/12,$B120,E$23,E$53,-E$27,0)-E$27,0)))</f>
        <v/>
      </c>
      <c r="F120" s="279">
        <f>IF(F$1=0,"",IF($B120&lt;F$23,F119+PPMT(F$25/12,$B120,F$23,F$53,-F$27,0),IF($B120=F$23,F119+PPMT(F$25/12,$B120,F$23,F$53,-F$27,0)-F$27,0)))</f>
        <v/>
      </c>
      <c r="G120" s="279">
        <f>IF(G$1=0,"",IF($B120&lt;G$23,G119+PPMT(G$25/12,$B120,G$23,G$53,-G$27,0),IF($B120=G$23,G119+PPMT(G$25/12,$B120,G$23,G$53,-G$27,0)-G$27,0)))</f>
        <v/>
      </c>
      <c r="H120" s="279">
        <f>IF(H$1=0,"",IF($B120&lt;H$23,H119+PPMT(H$25/12,$B120,H$23,H$53,-H$27,0),IF($B120=H$23,H119+PPMT(H$25/12,$B120,H$23,H$53,-H$27,0)-H$27,0)))</f>
        <v/>
      </c>
      <c r="I120" s="279">
        <f>IF(I$1=0,"",IF($B120&lt;I$23,I119+PPMT(I$25/12,$B120,I$23,I$53,-I$27,0),IF($B120=I$23,I119+PPMT(I$25/12,$B120,I$23,I$53,-I$27,0)-I$27,0)))</f>
        <v/>
      </c>
      <c r="J120" s="279">
        <f>IF(J$1=0,"",IF($B120&lt;J$23,J119+PPMT(J$25/12,$B120,J$23,J$53,-J$27,0),IF($B120=J$23,J119+PPMT(J$25/12,$B120,J$23,J$53,-J$27,0)-J$27,0)))</f>
        <v/>
      </c>
      <c r="K120" s="279">
        <f>IF(K$1=0,"",IF($B120&lt;K$23,K119+PPMT(K$25/12,$B120,K$23,K$53,-K$27,0),IF($B120=K$23,K119+PPMT(K$25/12,$B120,K$23,K$53,-K$27,0)-K$27,0)))</f>
        <v/>
      </c>
      <c r="L120" s="279">
        <f>IF(L$1=0,"",IF($B120&lt;L$23,L119+PPMT(L$25/12,$B120,L$23,L$53,-L$27,0),IF($B120=L$23,L119+PPMT(L$25/12,$B120,L$23,L$53,-L$27,0)-L$27,0)))</f>
        <v/>
      </c>
      <c r="M120" s="279">
        <f>IF(M$1=0,"",IF($B120&lt;M$23,M119+PPMT(M$25/12,$B120,M$23,M$53,-M$27,0),IF($B120=M$23,M119+PPMT(M$25/12,$B120,M$23,M$53,-M$27,0)-M$27,0)))</f>
        <v/>
      </c>
      <c r="N120" s="280" t="n"/>
      <c r="O120" s="281" t="n"/>
    </row>
    <row r="121" hidden="1" outlineLevel="1">
      <c r="B121" s="2">
        <f>B120+1</f>
        <v/>
      </c>
      <c r="D121" s="279">
        <f>IF(B121&lt;$D$24,(+CALCULETTE!T700/CALCULETTE!$B$612),0)</f>
        <v/>
      </c>
      <c r="E121" s="279">
        <f>IF(E$1=0,"",IF($B121&lt;E$23,E120+PPMT(E$25/12,$B121,E$23,E$53,-E$27,0),IF($B121=E$23,E120+PPMT(E$25/12,$B121,E$23,E$53,-E$27,0)-E$27,0)))</f>
        <v/>
      </c>
      <c r="F121" s="279">
        <f>IF(F$1=0,"",IF($B121&lt;F$23,F120+PPMT(F$25/12,$B121,F$23,F$53,-F$27,0),IF($B121=F$23,F120+PPMT(F$25/12,$B121,F$23,F$53,-F$27,0)-F$27,0)))</f>
        <v/>
      </c>
      <c r="G121" s="279">
        <f>IF(G$1=0,"",IF($B121&lt;G$23,G120+PPMT(G$25/12,$B121,G$23,G$53,-G$27,0),IF($B121=G$23,G120+PPMT(G$25/12,$B121,G$23,G$53,-G$27,0)-G$27,0)))</f>
        <v/>
      </c>
      <c r="H121" s="279">
        <f>IF(H$1=0,"",IF($B121&lt;H$23,H120+PPMT(H$25/12,$B121,H$23,H$53,-H$27,0),IF($B121=H$23,H120+PPMT(H$25/12,$B121,H$23,H$53,-H$27,0)-H$27,0)))</f>
        <v/>
      </c>
      <c r="I121" s="279">
        <f>IF(I$1=0,"",IF($B121&lt;I$23,I120+PPMT(I$25/12,$B121,I$23,I$53,-I$27,0),IF($B121=I$23,I120+PPMT(I$25/12,$B121,I$23,I$53,-I$27,0)-I$27,0)))</f>
        <v/>
      </c>
      <c r="J121" s="279">
        <f>IF(J$1=0,"",IF($B121&lt;J$23,J120+PPMT(J$25/12,$B121,J$23,J$53,-J$27,0),IF($B121=J$23,J120+PPMT(J$25/12,$B121,J$23,J$53,-J$27,0)-J$27,0)))</f>
        <v/>
      </c>
      <c r="K121" s="279">
        <f>IF(K$1=0,"",IF($B121&lt;K$23,K120+PPMT(K$25/12,$B121,K$23,K$53,-K$27,0),IF($B121=K$23,K120+PPMT(K$25/12,$B121,K$23,K$53,-K$27,0)-K$27,0)))</f>
        <v/>
      </c>
      <c r="L121" s="279">
        <f>IF(L$1=0,"",IF($B121&lt;L$23,L120+PPMT(L$25/12,$B121,L$23,L$53,-L$27,0),IF($B121=L$23,L120+PPMT(L$25/12,$B121,L$23,L$53,-L$27,0)-L$27,0)))</f>
        <v/>
      </c>
      <c r="M121" s="279">
        <f>IF(M$1=0,"",IF($B121&lt;M$23,M120+PPMT(M$25/12,$B121,M$23,M$53,-M$27,0),IF($B121=M$23,M120+PPMT(M$25/12,$B121,M$23,M$53,-M$27,0)-M$27,0)))</f>
        <v/>
      </c>
      <c r="N121" s="280" t="n"/>
      <c r="O121" s="281" t="n"/>
    </row>
    <row r="122" hidden="1" outlineLevel="1">
      <c r="B122" s="2">
        <f>B121+1</f>
        <v/>
      </c>
      <c r="D122" s="279">
        <f>IF(B122&lt;$D$24,(+CALCULETTE!T701/CALCULETTE!$B$612),0)</f>
        <v/>
      </c>
      <c r="E122" s="279">
        <f>IF(E$1=0,"",IF($B122&lt;E$23,E121+PPMT(E$25/12,$B122,E$23,E$53,-E$27,0),IF($B122=E$23,E121+PPMT(E$25/12,$B122,E$23,E$53,-E$27,0)-E$27,0)))</f>
        <v/>
      </c>
      <c r="F122" s="279">
        <f>IF(F$1=0,"",IF($B122&lt;F$23,F121+PPMT(F$25/12,$B122,F$23,F$53,-F$27,0),IF($B122=F$23,F121+PPMT(F$25/12,$B122,F$23,F$53,-F$27,0)-F$27,0)))</f>
        <v/>
      </c>
      <c r="G122" s="279">
        <f>IF(G$1=0,"",IF($B122&lt;G$23,G121+PPMT(G$25/12,$B122,G$23,G$53,-G$27,0),IF($B122=G$23,G121+PPMT(G$25/12,$B122,G$23,G$53,-G$27,0)-G$27,0)))</f>
        <v/>
      </c>
      <c r="H122" s="279">
        <f>IF(H$1=0,"",IF($B122&lt;H$23,H121+PPMT(H$25/12,$B122,H$23,H$53,-H$27,0),IF($B122=H$23,H121+PPMT(H$25/12,$B122,H$23,H$53,-H$27,0)-H$27,0)))</f>
        <v/>
      </c>
      <c r="I122" s="279">
        <f>IF(I$1=0,"",IF($B122&lt;I$23,I121+PPMT(I$25/12,$B122,I$23,I$53,-I$27,0),IF($B122=I$23,I121+PPMT(I$25/12,$B122,I$23,I$53,-I$27,0)-I$27,0)))</f>
        <v/>
      </c>
      <c r="J122" s="279">
        <f>IF(J$1=0,"",IF($B122&lt;J$23,J121+PPMT(J$25/12,$B122,J$23,J$53,-J$27,0),IF($B122=J$23,J121+PPMT(J$25/12,$B122,J$23,J$53,-J$27,0)-J$27,0)))</f>
        <v/>
      </c>
      <c r="K122" s="279">
        <f>IF(K$1=0,"",IF($B122&lt;K$23,K121+PPMT(K$25/12,$B122,K$23,K$53,-K$27,0),IF($B122=K$23,K121+PPMT(K$25/12,$B122,K$23,K$53,-K$27,0)-K$27,0)))</f>
        <v/>
      </c>
      <c r="L122" s="279">
        <f>IF(L$1=0,"",IF($B122&lt;L$23,L121+PPMT(L$25/12,$B122,L$23,L$53,-L$27,0),IF($B122=L$23,L121+PPMT(L$25/12,$B122,L$23,L$53,-L$27,0)-L$27,0)))</f>
        <v/>
      </c>
      <c r="M122" s="279">
        <f>IF(M$1=0,"",IF($B122&lt;M$23,M121+PPMT(M$25/12,$B122,M$23,M$53,-M$27,0),IF($B122=M$23,M121+PPMT(M$25/12,$B122,M$23,M$53,-M$27,0)-M$27,0)))</f>
        <v/>
      </c>
      <c r="N122" s="280" t="n"/>
      <c r="O122" s="281" t="n"/>
    </row>
    <row r="123" hidden="1" outlineLevel="1">
      <c r="B123" s="2">
        <f>B122+1</f>
        <v/>
      </c>
      <c r="D123" s="279">
        <f>IF(B123&lt;$D$24,(+CALCULETTE!T702/CALCULETTE!$B$612),0)</f>
        <v/>
      </c>
      <c r="E123" s="279">
        <f>IF(E$1=0,"",IF($B123&lt;E$23,E122+PPMT(E$25/12,$B123,E$23,E$53,-E$27,0),IF($B123=E$23,E122+PPMT(E$25/12,$B123,E$23,E$53,-E$27,0)-E$27,0)))</f>
        <v/>
      </c>
      <c r="F123" s="279">
        <f>IF(F$1=0,"",IF($B123&lt;F$23,F122+PPMT(F$25/12,$B123,F$23,F$53,-F$27,0),IF($B123=F$23,F122+PPMT(F$25/12,$B123,F$23,F$53,-F$27,0)-F$27,0)))</f>
        <v/>
      </c>
      <c r="G123" s="279">
        <f>IF(G$1=0,"",IF($B123&lt;G$23,G122+PPMT(G$25/12,$B123,G$23,G$53,-G$27,0),IF($B123=G$23,G122+PPMT(G$25/12,$B123,G$23,G$53,-G$27,0)-G$27,0)))</f>
        <v/>
      </c>
      <c r="H123" s="279">
        <f>IF(H$1=0,"",IF($B123&lt;H$23,H122+PPMT(H$25/12,$B123,H$23,H$53,-H$27,0),IF($B123=H$23,H122+PPMT(H$25/12,$B123,H$23,H$53,-H$27,0)-H$27,0)))</f>
        <v/>
      </c>
      <c r="I123" s="279">
        <f>IF(I$1=0,"",IF($B123&lt;I$23,I122+PPMT(I$25/12,$B123,I$23,I$53,-I$27,0),IF($B123=I$23,I122+PPMT(I$25/12,$B123,I$23,I$53,-I$27,0)-I$27,0)))</f>
        <v/>
      </c>
      <c r="J123" s="279">
        <f>IF(J$1=0,"",IF($B123&lt;J$23,J122+PPMT(J$25/12,$B123,J$23,J$53,-J$27,0),IF($B123=J$23,J122+PPMT(J$25/12,$B123,J$23,J$53,-J$27,0)-J$27,0)))</f>
        <v/>
      </c>
      <c r="K123" s="279">
        <f>IF(K$1=0,"",IF($B123&lt;K$23,K122+PPMT(K$25/12,$B123,K$23,K$53,-K$27,0),IF($B123=K$23,K122+PPMT(K$25/12,$B123,K$23,K$53,-K$27,0)-K$27,0)))</f>
        <v/>
      </c>
      <c r="L123" s="279">
        <f>IF(L$1=0,"",IF($B123&lt;L$23,L122+PPMT(L$25/12,$B123,L$23,L$53,-L$27,0),IF($B123=L$23,L122+PPMT(L$25/12,$B123,L$23,L$53,-L$27,0)-L$27,0)))</f>
        <v/>
      </c>
      <c r="M123" s="279">
        <f>IF(M$1=0,"",IF($B123&lt;M$23,M122+PPMT(M$25/12,$B123,M$23,M$53,-M$27,0),IF($B123=M$23,M122+PPMT(M$25/12,$B123,M$23,M$53,-M$27,0)-M$27,0)))</f>
        <v/>
      </c>
      <c r="N123" s="280" t="n"/>
      <c r="O123" s="281" t="n"/>
    </row>
    <row r="124" hidden="1" outlineLevel="1">
      <c r="B124" s="2">
        <f>B123+1</f>
        <v/>
      </c>
      <c r="D124" s="279">
        <f>IF(B124&lt;$D$24,(+CALCULETTE!T703/CALCULETTE!$B$612),0)</f>
        <v/>
      </c>
      <c r="E124" s="279">
        <f>IF(E$1=0,"",IF($B124&lt;E$23,E123+PPMT(E$25/12,$B124,E$23,E$53,-E$27,0),IF($B124=E$23,E123+PPMT(E$25/12,$B124,E$23,E$53,-E$27,0)-E$27,0)))</f>
        <v/>
      </c>
      <c r="F124" s="279">
        <f>IF(F$1=0,"",IF($B124&lt;F$23,F123+PPMT(F$25/12,$B124,F$23,F$53,-F$27,0),IF($B124=F$23,F123+PPMT(F$25/12,$B124,F$23,F$53,-F$27,0)-F$27,0)))</f>
        <v/>
      </c>
      <c r="G124" s="279">
        <f>IF(G$1=0,"",IF($B124&lt;G$23,G123+PPMT(G$25/12,$B124,G$23,G$53,-G$27,0),IF($B124=G$23,G123+PPMT(G$25/12,$B124,G$23,G$53,-G$27,0)-G$27,0)))</f>
        <v/>
      </c>
      <c r="H124" s="279">
        <f>IF(H$1=0,"",IF($B124&lt;H$23,H123+PPMT(H$25/12,$B124,H$23,H$53,-H$27,0),IF($B124=H$23,H123+PPMT(H$25/12,$B124,H$23,H$53,-H$27,0)-H$27,0)))</f>
        <v/>
      </c>
      <c r="I124" s="279">
        <f>IF(I$1=0,"",IF($B124&lt;I$23,I123+PPMT(I$25/12,$B124,I$23,I$53,-I$27,0),IF($B124=I$23,I123+PPMT(I$25/12,$B124,I$23,I$53,-I$27,0)-I$27,0)))</f>
        <v/>
      </c>
      <c r="J124" s="279">
        <f>IF(J$1=0,"",IF($B124&lt;J$23,J123+PPMT(J$25/12,$B124,J$23,J$53,-J$27,0),IF($B124=J$23,J123+PPMT(J$25/12,$B124,J$23,J$53,-J$27,0)-J$27,0)))</f>
        <v/>
      </c>
      <c r="K124" s="279">
        <f>IF(K$1=0,"",IF($B124&lt;K$23,K123+PPMT(K$25/12,$B124,K$23,K$53,-K$27,0),IF($B124=K$23,K123+PPMT(K$25/12,$B124,K$23,K$53,-K$27,0)-K$27,0)))</f>
        <v/>
      </c>
      <c r="L124" s="279">
        <f>IF(L$1=0,"",IF($B124&lt;L$23,L123+PPMT(L$25/12,$B124,L$23,L$53,-L$27,0),IF($B124=L$23,L123+PPMT(L$25/12,$B124,L$23,L$53,-L$27,0)-L$27,0)))</f>
        <v/>
      </c>
      <c r="M124" s="279">
        <f>IF(M$1=0,"",IF($B124&lt;M$23,M123+PPMT(M$25/12,$B124,M$23,M$53,-M$27,0),IF($B124=M$23,M123+PPMT(M$25/12,$B124,M$23,M$53,-M$27,0)-M$27,0)))</f>
        <v/>
      </c>
      <c r="N124" s="280" t="n"/>
      <c r="O124" s="281" t="n"/>
    </row>
    <row r="125" hidden="1" outlineLevel="1">
      <c r="B125" s="2">
        <f>B124+1</f>
        <v/>
      </c>
      <c r="D125" s="279">
        <f>IF(B125&lt;$D$24,(+CALCULETTE!T704/CALCULETTE!$B$612),0)</f>
        <v/>
      </c>
      <c r="E125" s="279">
        <f>IF(E$1=0,"",IF($B125&lt;E$23,E124+PPMT(E$25/12,$B125,E$23,E$53,-E$27,0),IF($B125=E$23,E124+PPMT(E$25/12,$B125,E$23,E$53,-E$27,0)-E$27,0)))</f>
        <v/>
      </c>
      <c r="F125" s="279">
        <f>IF(F$1=0,"",IF($B125&lt;F$23,F124+PPMT(F$25/12,$B125,F$23,F$53,-F$27,0),IF($B125=F$23,F124+PPMT(F$25/12,$B125,F$23,F$53,-F$27,0)-F$27,0)))</f>
        <v/>
      </c>
      <c r="G125" s="279">
        <f>IF(G$1=0,"",IF($B125&lt;G$23,G124+PPMT(G$25/12,$B125,G$23,G$53,-G$27,0),IF($B125=G$23,G124+PPMT(G$25/12,$B125,G$23,G$53,-G$27,0)-G$27,0)))</f>
        <v/>
      </c>
      <c r="H125" s="279">
        <f>IF(H$1=0,"",IF($B125&lt;H$23,H124+PPMT(H$25/12,$B125,H$23,H$53,-H$27,0),IF($B125=H$23,H124+PPMT(H$25/12,$B125,H$23,H$53,-H$27,0)-H$27,0)))</f>
        <v/>
      </c>
      <c r="I125" s="279">
        <f>IF(I$1=0,"",IF($B125&lt;I$23,I124+PPMT(I$25/12,$B125,I$23,I$53,-I$27,0),IF($B125=I$23,I124+PPMT(I$25/12,$B125,I$23,I$53,-I$27,0)-I$27,0)))</f>
        <v/>
      </c>
      <c r="J125" s="279">
        <f>IF(J$1=0,"",IF($B125&lt;J$23,J124+PPMT(J$25/12,$B125,J$23,J$53,-J$27,0),IF($B125=J$23,J124+PPMT(J$25/12,$B125,J$23,J$53,-J$27,0)-J$27,0)))</f>
        <v/>
      </c>
      <c r="K125" s="279">
        <f>IF(K$1=0,"",IF($B125&lt;K$23,K124+PPMT(K$25/12,$B125,K$23,K$53,-K$27,0),IF($B125=K$23,K124+PPMT(K$25/12,$B125,K$23,K$53,-K$27,0)-K$27,0)))</f>
        <v/>
      </c>
      <c r="L125" s="279">
        <f>IF(L$1=0,"",IF($B125&lt;L$23,L124+PPMT(L$25/12,$B125,L$23,L$53,-L$27,0),IF($B125=L$23,L124+PPMT(L$25/12,$B125,L$23,L$53,-L$27,0)-L$27,0)))</f>
        <v/>
      </c>
      <c r="M125" s="279">
        <f>IF(M$1=0,"",IF($B125&lt;M$23,M124+PPMT(M$25/12,$B125,M$23,M$53,-M$27,0),IF($B125=M$23,M124+PPMT(M$25/12,$B125,M$23,M$53,-M$27,0)-M$27,0)))</f>
        <v/>
      </c>
      <c r="N125" s="280" t="n"/>
      <c r="O125" s="281" t="n"/>
    </row>
    <row r="126" hidden="1" outlineLevel="1">
      <c r="B126" s="2">
        <f>B125+1</f>
        <v/>
      </c>
      <c r="D126" s="279">
        <f>IF(B126&lt;$D$24,(+CALCULETTE!T705/CALCULETTE!$B$612),0)</f>
        <v/>
      </c>
      <c r="E126" s="279">
        <f>IF(E$1=0,"",IF($B126&lt;E$23,E125+PPMT(E$25/12,$B126,E$23,E$53,-E$27,0),IF($B126=E$23,E125+PPMT(E$25/12,$B126,E$23,E$53,-E$27,0)-E$27,0)))</f>
        <v/>
      </c>
      <c r="F126" s="279">
        <f>IF(F$1=0,"",IF($B126&lt;F$23,F125+PPMT(F$25/12,$B126,F$23,F$53,-F$27,0),IF($B126=F$23,F125+PPMT(F$25/12,$B126,F$23,F$53,-F$27,0)-F$27,0)))</f>
        <v/>
      </c>
      <c r="G126" s="279">
        <f>IF(G$1=0,"",IF($B126&lt;G$23,G125+PPMT(G$25/12,$B126,G$23,G$53,-G$27,0),IF($B126=G$23,G125+PPMT(G$25/12,$B126,G$23,G$53,-G$27,0)-G$27,0)))</f>
        <v/>
      </c>
      <c r="H126" s="279">
        <f>IF(H$1=0,"",IF($B126&lt;H$23,H125+PPMT(H$25/12,$B126,H$23,H$53,-H$27,0),IF($B126=H$23,H125+PPMT(H$25/12,$B126,H$23,H$53,-H$27,0)-H$27,0)))</f>
        <v/>
      </c>
      <c r="I126" s="279">
        <f>IF(I$1=0,"",IF($B126&lt;I$23,I125+PPMT(I$25/12,$B126,I$23,I$53,-I$27,0),IF($B126=I$23,I125+PPMT(I$25/12,$B126,I$23,I$53,-I$27,0)-I$27,0)))</f>
        <v/>
      </c>
      <c r="J126" s="279">
        <f>IF(J$1=0,"",IF($B126&lt;J$23,J125+PPMT(J$25/12,$B126,J$23,J$53,-J$27,0),IF($B126=J$23,J125+PPMT(J$25/12,$B126,J$23,J$53,-J$27,0)-J$27,0)))</f>
        <v/>
      </c>
      <c r="K126" s="279">
        <f>IF(K$1=0,"",IF($B126&lt;K$23,K125+PPMT(K$25/12,$B126,K$23,K$53,-K$27,0),IF($B126=K$23,K125+PPMT(K$25/12,$B126,K$23,K$53,-K$27,0)-K$27,0)))</f>
        <v/>
      </c>
      <c r="L126" s="279">
        <f>IF(L$1=0,"",IF($B126&lt;L$23,L125+PPMT(L$25/12,$B126,L$23,L$53,-L$27,0),IF($B126=L$23,L125+PPMT(L$25/12,$B126,L$23,L$53,-L$27,0)-L$27,0)))</f>
        <v/>
      </c>
      <c r="M126" s="279">
        <f>IF(M$1=0,"",IF($B126&lt;M$23,M125+PPMT(M$25/12,$B126,M$23,M$53,-M$27,0),IF($B126=M$23,M125+PPMT(M$25/12,$B126,M$23,M$53,-M$27,0)-M$27,0)))</f>
        <v/>
      </c>
      <c r="N126" s="280" t="n"/>
      <c r="O126" s="281" t="n"/>
    </row>
    <row r="127" hidden="1" outlineLevel="1">
      <c r="B127" s="2">
        <f>B126+1</f>
        <v/>
      </c>
      <c r="D127" s="279">
        <f>IF(B127&lt;$D$24,(+CALCULETTE!T706/CALCULETTE!$B$612),0)</f>
        <v/>
      </c>
      <c r="E127" s="279">
        <f>IF(E$1=0,"",IF($B127&lt;E$23,E126+PPMT(E$25/12,$B127,E$23,E$53,-E$27,0),IF($B127=E$23,E126+PPMT(E$25/12,$B127,E$23,E$53,-E$27,0)-E$27,0)))</f>
        <v/>
      </c>
      <c r="F127" s="279">
        <f>IF(F$1=0,"",IF($B127&lt;F$23,F126+PPMT(F$25/12,$B127,F$23,F$53,-F$27,0),IF($B127=F$23,F126+PPMT(F$25/12,$B127,F$23,F$53,-F$27,0)-F$27,0)))</f>
        <v/>
      </c>
      <c r="G127" s="279">
        <f>IF(G$1=0,"",IF($B127&lt;G$23,G126+PPMT(G$25/12,$B127,G$23,G$53,-G$27,0),IF($B127=G$23,G126+PPMT(G$25/12,$B127,G$23,G$53,-G$27,0)-G$27,0)))</f>
        <v/>
      </c>
      <c r="H127" s="279">
        <f>IF(H$1=0,"",IF($B127&lt;H$23,H126+PPMT(H$25/12,$B127,H$23,H$53,-H$27,0),IF($B127=H$23,H126+PPMT(H$25/12,$B127,H$23,H$53,-H$27,0)-H$27,0)))</f>
        <v/>
      </c>
      <c r="I127" s="279">
        <f>IF(I$1=0,"",IF($B127&lt;I$23,I126+PPMT(I$25/12,$B127,I$23,I$53,-I$27,0),IF($B127=I$23,I126+PPMT(I$25/12,$B127,I$23,I$53,-I$27,0)-I$27,0)))</f>
        <v/>
      </c>
      <c r="J127" s="279">
        <f>IF(J$1=0,"",IF($B127&lt;J$23,J126+PPMT(J$25/12,$B127,J$23,J$53,-J$27,0),IF($B127=J$23,J126+PPMT(J$25/12,$B127,J$23,J$53,-J$27,0)-J$27,0)))</f>
        <v/>
      </c>
      <c r="K127" s="279">
        <f>IF(K$1=0,"",IF($B127&lt;K$23,K126+PPMT(K$25/12,$B127,K$23,K$53,-K$27,0),IF($B127=K$23,K126+PPMT(K$25/12,$B127,K$23,K$53,-K$27,0)-K$27,0)))</f>
        <v/>
      </c>
      <c r="L127" s="279">
        <f>IF(L$1=0,"",IF($B127&lt;L$23,L126+PPMT(L$25/12,$B127,L$23,L$53,-L$27,0),IF($B127=L$23,L126+PPMT(L$25/12,$B127,L$23,L$53,-L$27,0)-L$27,0)))</f>
        <v/>
      </c>
      <c r="M127" s="279">
        <f>IF(M$1=0,"",IF($B127&lt;M$23,M126+PPMT(M$25/12,$B127,M$23,M$53,-M$27,0),IF($B127=M$23,M126+PPMT(M$25/12,$B127,M$23,M$53,-M$27,0)-M$27,0)))</f>
        <v/>
      </c>
      <c r="N127" s="280" t="n"/>
      <c r="O127" s="281" t="n"/>
    </row>
    <row r="128" hidden="1" outlineLevel="1">
      <c r="B128" s="2">
        <f>B127+1</f>
        <v/>
      </c>
      <c r="D128" s="279">
        <f>IF(B128&lt;$D$24,(+CALCULETTE!T707/CALCULETTE!$B$612),0)</f>
        <v/>
      </c>
      <c r="E128" s="279">
        <f>IF(E$1=0,"",IF($B128&lt;E$23,E127+PPMT(E$25/12,$B128,E$23,E$53,-E$27,0),IF($B128=E$23,E127+PPMT(E$25/12,$B128,E$23,E$53,-E$27,0)-E$27,0)))</f>
        <v/>
      </c>
      <c r="F128" s="279">
        <f>IF(F$1=0,"",IF($B128&lt;F$23,F127+PPMT(F$25/12,$B128,F$23,F$53,-F$27,0),IF($B128=F$23,F127+PPMT(F$25/12,$B128,F$23,F$53,-F$27,0)-F$27,0)))</f>
        <v/>
      </c>
      <c r="G128" s="279">
        <f>IF(G$1=0,"",IF($B128&lt;G$23,G127+PPMT(G$25/12,$B128,G$23,G$53,-G$27,0),IF($B128=G$23,G127+PPMT(G$25/12,$B128,G$23,G$53,-G$27,0)-G$27,0)))</f>
        <v/>
      </c>
      <c r="H128" s="279">
        <f>IF(H$1=0,"",IF($B128&lt;H$23,H127+PPMT(H$25/12,$B128,H$23,H$53,-H$27,0),IF($B128=H$23,H127+PPMT(H$25/12,$B128,H$23,H$53,-H$27,0)-H$27,0)))</f>
        <v/>
      </c>
      <c r="I128" s="279">
        <f>IF(I$1=0,"",IF($B128&lt;I$23,I127+PPMT(I$25/12,$B128,I$23,I$53,-I$27,0),IF($B128=I$23,I127+PPMT(I$25/12,$B128,I$23,I$53,-I$27,0)-I$27,0)))</f>
        <v/>
      </c>
      <c r="J128" s="279">
        <f>IF(J$1=0,"",IF($B128&lt;J$23,J127+PPMT(J$25/12,$B128,J$23,J$53,-J$27,0),IF($B128=J$23,J127+PPMT(J$25/12,$B128,J$23,J$53,-J$27,0)-J$27,0)))</f>
        <v/>
      </c>
      <c r="K128" s="279">
        <f>IF(K$1=0,"",IF($B128&lt;K$23,K127+PPMT(K$25/12,$B128,K$23,K$53,-K$27,0),IF($B128=K$23,K127+PPMT(K$25/12,$B128,K$23,K$53,-K$27,0)-K$27,0)))</f>
        <v/>
      </c>
      <c r="L128" s="279">
        <f>IF(L$1=0,"",IF($B128&lt;L$23,L127+PPMT(L$25/12,$B128,L$23,L$53,-L$27,0),IF($B128=L$23,L127+PPMT(L$25/12,$B128,L$23,L$53,-L$27,0)-L$27,0)))</f>
        <v/>
      </c>
      <c r="M128" s="279">
        <f>IF(M$1=0,"",IF($B128&lt;M$23,M127+PPMT(M$25/12,$B128,M$23,M$53,-M$27,0),IF($B128=M$23,M127+PPMT(M$25/12,$B128,M$23,M$53,-M$27,0)-M$27,0)))</f>
        <v/>
      </c>
      <c r="N128" s="280" t="n"/>
      <c r="O128" s="281" t="n"/>
    </row>
    <row r="129" hidden="1" outlineLevel="1">
      <c r="B129" s="2">
        <f>B128+1</f>
        <v/>
      </c>
      <c r="D129" s="279">
        <f>IF(B129&lt;$D$24,(+CALCULETTE!T708/CALCULETTE!$B$612),0)</f>
        <v/>
      </c>
      <c r="E129" s="279">
        <f>IF(E$1=0,"",IF($B129&lt;E$23,E128+PPMT(E$25/12,$B129,E$23,E$53,-E$27,0),IF($B129=E$23,E128+PPMT(E$25/12,$B129,E$23,E$53,-E$27,0)-E$27,0)))</f>
        <v/>
      </c>
      <c r="F129" s="279">
        <f>IF(F$1=0,"",IF($B129&lt;F$23,F128+PPMT(F$25/12,$B129,F$23,F$53,-F$27,0),IF($B129=F$23,F128+PPMT(F$25/12,$B129,F$23,F$53,-F$27,0)-F$27,0)))</f>
        <v/>
      </c>
      <c r="G129" s="279">
        <f>IF(G$1=0,"",IF($B129&lt;G$23,G128+PPMT(G$25/12,$B129,G$23,G$53,-G$27,0),IF($B129=G$23,G128+PPMT(G$25/12,$B129,G$23,G$53,-G$27,0)-G$27,0)))</f>
        <v/>
      </c>
      <c r="H129" s="279">
        <f>IF(H$1=0,"",IF($B129&lt;H$23,H128+PPMT(H$25/12,$B129,H$23,H$53,-H$27,0),IF($B129=H$23,H128+PPMT(H$25/12,$B129,H$23,H$53,-H$27,0)-H$27,0)))</f>
        <v/>
      </c>
      <c r="I129" s="279">
        <f>IF(I$1=0,"",IF($B129&lt;I$23,I128+PPMT(I$25/12,$B129,I$23,I$53,-I$27,0),IF($B129=I$23,I128+PPMT(I$25/12,$B129,I$23,I$53,-I$27,0)-I$27,0)))</f>
        <v/>
      </c>
      <c r="J129" s="279">
        <f>IF(J$1=0,"",IF($B129&lt;J$23,J128+PPMT(J$25/12,$B129,J$23,J$53,-J$27,0),IF($B129=J$23,J128+PPMT(J$25/12,$B129,J$23,J$53,-J$27,0)-J$27,0)))</f>
        <v/>
      </c>
      <c r="K129" s="279">
        <f>IF(K$1=0,"",IF($B129&lt;K$23,K128+PPMT(K$25/12,$B129,K$23,K$53,-K$27,0),IF($B129=K$23,K128+PPMT(K$25/12,$B129,K$23,K$53,-K$27,0)-K$27,0)))</f>
        <v/>
      </c>
      <c r="L129" s="279">
        <f>IF(L$1=0,"",IF($B129&lt;L$23,L128+PPMT(L$25/12,$B129,L$23,L$53,-L$27,0),IF($B129=L$23,L128+PPMT(L$25/12,$B129,L$23,L$53,-L$27,0)-L$27,0)))</f>
        <v/>
      </c>
      <c r="M129" s="279">
        <f>IF(M$1=0,"",IF($B129&lt;M$23,M128+PPMT(M$25/12,$B129,M$23,M$53,-M$27,0),IF($B129=M$23,M128+PPMT(M$25/12,$B129,M$23,M$53,-M$27,0)-M$27,0)))</f>
        <v/>
      </c>
      <c r="N129" s="280" t="n"/>
      <c r="O129" s="281" t="n"/>
    </row>
    <row r="130" hidden="1" outlineLevel="1">
      <c r="B130" s="2">
        <f>B129+1</f>
        <v/>
      </c>
      <c r="D130" s="279">
        <f>IF(B130&lt;$D$24,(+CALCULETTE!T709/CALCULETTE!$B$612),0)</f>
        <v/>
      </c>
      <c r="E130" s="279">
        <f>IF(E$1=0,"",IF($B130&lt;E$23,E129+PPMT(E$25/12,$B130,E$23,E$53,-E$27,0),IF($B130=E$23,E129+PPMT(E$25/12,$B130,E$23,E$53,-E$27,0)-E$27,0)))</f>
        <v/>
      </c>
      <c r="F130" s="279">
        <f>IF(F$1=0,"",IF($B130&lt;F$23,F129+PPMT(F$25/12,$B130,F$23,F$53,-F$27,0),IF($B130=F$23,F129+PPMT(F$25/12,$B130,F$23,F$53,-F$27,0)-F$27,0)))</f>
        <v/>
      </c>
      <c r="G130" s="279">
        <f>IF(G$1=0,"",IF($B130&lt;G$23,G129+PPMT(G$25/12,$B130,G$23,G$53,-G$27,0),IF($B130=G$23,G129+PPMT(G$25/12,$B130,G$23,G$53,-G$27,0)-G$27,0)))</f>
        <v/>
      </c>
      <c r="H130" s="279">
        <f>IF(H$1=0,"",IF($B130&lt;H$23,H129+PPMT(H$25/12,$B130,H$23,H$53,-H$27,0),IF($B130=H$23,H129+PPMT(H$25/12,$B130,H$23,H$53,-H$27,0)-H$27,0)))</f>
        <v/>
      </c>
      <c r="I130" s="279">
        <f>IF(I$1=0,"",IF($B130&lt;I$23,I129+PPMT(I$25/12,$B130,I$23,I$53,-I$27,0),IF($B130=I$23,I129+PPMT(I$25/12,$B130,I$23,I$53,-I$27,0)-I$27,0)))</f>
        <v/>
      </c>
      <c r="J130" s="279">
        <f>IF(J$1=0,"",IF($B130&lt;J$23,J129+PPMT(J$25/12,$B130,J$23,J$53,-J$27,0),IF($B130=J$23,J129+PPMT(J$25/12,$B130,J$23,J$53,-J$27,0)-J$27,0)))</f>
        <v/>
      </c>
      <c r="K130" s="279">
        <f>IF(K$1=0,"",IF($B130&lt;K$23,K129+PPMT(K$25/12,$B130,K$23,K$53,-K$27,0),IF($B130=K$23,K129+PPMT(K$25/12,$B130,K$23,K$53,-K$27,0)-K$27,0)))</f>
        <v/>
      </c>
      <c r="L130" s="279">
        <f>IF(L$1=0,"",IF($B130&lt;L$23,L129+PPMT(L$25/12,$B130,L$23,L$53,-L$27,0),IF($B130=L$23,L129+PPMT(L$25/12,$B130,L$23,L$53,-L$27,0)-L$27,0)))</f>
        <v/>
      </c>
      <c r="M130" s="279">
        <f>IF(M$1=0,"",IF($B130&lt;M$23,M129+PPMT(M$25/12,$B130,M$23,M$53,-M$27,0),IF($B130=M$23,M129+PPMT(M$25/12,$B130,M$23,M$53,-M$27,0)-M$27,0)))</f>
        <v/>
      </c>
      <c r="N130" s="280" t="n"/>
      <c r="O130" s="281" t="n"/>
    </row>
    <row r="131" hidden="1" outlineLevel="1">
      <c r="B131" s="2">
        <f>B130+1</f>
        <v/>
      </c>
      <c r="D131" s="279">
        <f>IF(B131&lt;$D$24,(+CALCULETTE!T710/CALCULETTE!$B$612),0)</f>
        <v/>
      </c>
      <c r="E131" s="279">
        <f>IF(E$1=0,"",IF($B131&lt;E$23,E130+PPMT(E$25/12,$B131,E$23,E$53,-E$27,0),IF($B131=E$23,E130+PPMT(E$25/12,$B131,E$23,E$53,-E$27,0)-E$27,0)))</f>
        <v/>
      </c>
      <c r="F131" s="279">
        <f>IF(F$1=0,"",IF($B131&lt;F$23,F130+PPMT(F$25/12,$B131,F$23,F$53,-F$27,0),IF($B131=F$23,F130+PPMT(F$25/12,$B131,F$23,F$53,-F$27,0)-F$27,0)))</f>
        <v/>
      </c>
      <c r="G131" s="279">
        <f>IF(G$1=0,"",IF($B131&lt;G$23,G130+PPMT(G$25/12,$B131,G$23,G$53,-G$27,0),IF($B131=G$23,G130+PPMT(G$25/12,$B131,G$23,G$53,-G$27,0)-G$27,0)))</f>
        <v/>
      </c>
      <c r="H131" s="279">
        <f>IF(H$1=0,"",IF($B131&lt;H$23,H130+PPMT(H$25/12,$B131,H$23,H$53,-H$27,0),IF($B131=H$23,H130+PPMT(H$25/12,$B131,H$23,H$53,-H$27,0)-H$27,0)))</f>
        <v/>
      </c>
      <c r="I131" s="279">
        <f>IF(I$1=0,"",IF($B131&lt;I$23,I130+PPMT(I$25/12,$B131,I$23,I$53,-I$27,0),IF($B131=I$23,I130+PPMT(I$25/12,$B131,I$23,I$53,-I$27,0)-I$27,0)))</f>
        <v/>
      </c>
      <c r="J131" s="279">
        <f>IF(J$1=0,"",IF($B131&lt;J$23,J130+PPMT(J$25/12,$B131,J$23,J$53,-J$27,0),IF($B131=J$23,J130+PPMT(J$25/12,$B131,J$23,J$53,-J$27,0)-J$27,0)))</f>
        <v/>
      </c>
      <c r="K131" s="279">
        <f>IF(K$1=0,"",IF($B131&lt;K$23,K130+PPMT(K$25/12,$B131,K$23,K$53,-K$27,0),IF($B131=K$23,K130+PPMT(K$25/12,$B131,K$23,K$53,-K$27,0)-K$27,0)))</f>
        <v/>
      </c>
      <c r="L131" s="279">
        <f>IF(L$1=0,"",IF($B131&lt;L$23,L130+PPMT(L$25/12,$B131,L$23,L$53,-L$27,0),IF($B131=L$23,L130+PPMT(L$25/12,$B131,L$23,L$53,-L$27,0)-L$27,0)))</f>
        <v/>
      </c>
      <c r="M131" s="279">
        <f>IF(M$1=0,"",IF($B131&lt;M$23,M130+PPMT(M$25/12,$B131,M$23,M$53,-M$27,0),IF($B131=M$23,M130+PPMT(M$25/12,$B131,M$23,M$53,-M$27,0)-M$27,0)))</f>
        <v/>
      </c>
      <c r="N131" s="280" t="n"/>
      <c r="O131" s="281" t="n"/>
    </row>
    <row r="132" hidden="1" outlineLevel="1">
      <c r="B132" s="2">
        <f>B131+1</f>
        <v/>
      </c>
      <c r="D132" s="279">
        <f>IF(B132&lt;$D$24,(+CALCULETTE!T711/CALCULETTE!$B$612),0)</f>
        <v/>
      </c>
      <c r="E132" s="279">
        <f>IF(E$1=0,"",IF($B132&lt;E$23,E131+PPMT(E$25/12,$B132,E$23,E$53,-E$27,0),IF($B132=E$23,E131+PPMT(E$25/12,$B132,E$23,E$53,-E$27,0)-E$27,0)))</f>
        <v/>
      </c>
      <c r="F132" s="279">
        <f>IF(F$1=0,"",IF($B132&lt;F$23,F131+PPMT(F$25/12,$B132,F$23,F$53,-F$27,0),IF($B132=F$23,F131+PPMT(F$25/12,$B132,F$23,F$53,-F$27,0)-F$27,0)))</f>
        <v/>
      </c>
      <c r="G132" s="279">
        <f>IF(G$1=0,"",IF($B132&lt;G$23,G131+PPMT(G$25/12,$B132,G$23,G$53,-G$27,0),IF($B132=G$23,G131+PPMT(G$25/12,$B132,G$23,G$53,-G$27,0)-G$27,0)))</f>
        <v/>
      </c>
      <c r="H132" s="279">
        <f>IF(H$1=0,"",IF($B132&lt;H$23,H131+PPMT(H$25/12,$B132,H$23,H$53,-H$27,0),IF($B132=H$23,H131+PPMT(H$25/12,$B132,H$23,H$53,-H$27,0)-H$27,0)))</f>
        <v/>
      </c>
      <c r="I132" s="279">
        <f>IF(I$1=0,"",IF($B132&lt;I$23,I131+PPMT(I$25/12,$B132,I$23,I$53,-I$27,0),IF($B132=I$23,I131+PPMT(I$25/12,$B132,I$23,I$53,-I$27,0)-I$27,0)))</f>
        <v/>
      </c>
      <c r="J132" s="279">
        <f>IF(J$1=0,"",IF($B132&lt;J$23,J131+PPMT(J$25/12,$B132,J$23,J$53,-J$27,0),IF($B132=J$23,J131+PPMT(J$25/12,$B132,J$23,J$53,-J$27,0)-J$27,0)))</f>
        <v/>
      </c>
      <c r="K132" s="279">
        <f>IF(K$1=0,"",IF($B132&lt;K$23,K131+PPMT(K$25/12,$B132,K$23,K$53,-K$27,0),IF($B132=K$23,K131+PPMT(K$25/12,$B132,K$23,K$53,-K$27,0)-K$27,0)))</f>
        <v/>
      </c>
      <c r="L132" s="279">
        <f>IF(L$1=0,"",IF($B132&lt;L$23,L131+PPMT(L$25/12,$B132,L$23,L$53,-L$27,0),IF($B132=L$23,L131+PPMT(L$25/12,$B132,L$23,L$53,-L$27,0)-L$27,0)))</f>
        <v/>
      </c>
      <c r="M132" s="279">
        <f>IF(M$1=0,"",IF($B132&lt;M$23,M131+PPMT(M$25/12,$B132,M$23,M$53,-M$27,0),IF($B132=M$23,M131+PPMT(M$25/12,$B132,M$23,M$53,-M$27,0)-M$27,0)))</f>
        <v/>
      </c>
      <c r="N132" s="280" t="n"/>
      <c r="O132" s="281" t="n"/>
    </row>
    <row r="133" hidden="1" outlineLevel="1">
      <c r="B133" s="2">
        <f>B132+1</f>
        <v/>
      </c>
      <c r="D133" s="279">
        <f>IF(B133&lt;$D$24,(+CALCULETTE!T712/CALCULETTE!$B$612),0)</f>
        <v/>
      </c>
      <c r="E133" s="279">
        <f>IF(E$1=0,"",IF($B133&lt;E$23,E132+PPMT(E$25/12,$B133,E$23,E$53,-E$27,0),IF($B133=E$23,E132+PPMT(E$25/12,$B133,E$23,E$53,-E$27,0)-E$27,0)))</f>
        <v/>
      </c>
      <c r="F133" s="279">
        <f>IF(F$1=0,"",IF($B133&lt;F$23,F132+PPMT(F$25/12,$B133,F$23,F$53,-F$27,0),IF($B133=F$23,F132+PPMT(F$25/12,$B133,F$23,F$53,-F$27,0)-F$27,0)))</f>
        <v/>
      </c>
      <c r="G133" s="279">
        <f>IF(G$1=0,"",IF($B133&lt;G$23,G132+PPMT(G$25/12,$B133,G$23,G$53,-G$27,0),IF($B133=G$23,G132+PPMT(G$25/12,$B133,G$23,G$53,-G$27,0)-G$27,0)))</f>
        <v/>
      </c>
      <c r="H133" s="279">
        <f>IF(H$1=0,"",IF($B133&lt;H$23,H132+PPMT(H$25/12,$B133,H$23,H$53,-H$27,0),IF($B133=H$23,H132+PPMT(H$25/12,$B133,H$23,H$53,-H$27,0)-H$27,0)))</f>
        <v/>
      </c>
      <c r="I133" s="279">
        <f>IF(I$1=0,"",IF($B133&lt;I$23,I132+PPMT(I$25/12,$B133,I$23,I$53,-I$27,0),IF($B133=I$23,I132+PPMT(I$25/12,$B133,I$23,I$53,-I$27,0)-I$27,0)))</f>
        <v/>
      </c>
      <c r="J133" s="279">
        <f>IF(J$1=0,"",IF($B133&lt;J$23,J132+PPMT(J$25/12,$B133,J$23,J$53,-J$27,0),IF($B133=J$23,J132+PPMT(J$25/12,$B133,J$23,J$53,-J$27,0)-J$27,0)))</f>
        <v/>
      </c>
      <c r="K133" s="279">
        <f>IF(K$1=0,"",IF($B133&lt;K$23,K132+PPMT(K$25/12,$B133,K$23,K$53,-K$27,0),IF($B133=K$23,K132+PPMT(K$25/12,$B133,K$23,K$53,-K$27,0)-K$27,0)))</f>
        <v/>
      </c>
      <c r="L133" s="279">
        <f>IF(L$1=0,"",IF($B133&lt;L$23,L132+PPMT(L$25/12,$B133,L$23,L$53,-L$27,0),IF($B133=L$23,L132+PPMT(L$25/12,$B133,L$23,L$53,-L$27,0)-L$27,0)))</f>
        <v/>
      </c>
      <c r="M133" s="279">
        <f>IF(M$1=0,"",IF($B133&lt;M$23,M132+PPMT(M$25/12,$B133,M$23,M$53,-M$27,0),IF($B133=M$23,M132+PPMT(M$25/12,$B133,M$23,M$53,-M$27,0)-M$27,0)))</f>
        <v/>
      </c>
      <c r="N133" s="280" t="n"/>
      <c r="O133" s="281" t="n"/>
    </row>
    <row r="134" hidden="1" outlineLevel="1">
      <c r="B134" s="2">
        <f>B133+1</f>
        <v/>
      </c>
      <c r="D134" s="279">
        <f>IF(B134&lt;$D$24,(+CALCULETTE!T713/CALCULETTE!$B$612),0)</f>
        <v/>
      </c>
      <c r="E134" s="279">
        <f>IF(E$1=0,"",IF($B134&lt;E$23,E133+PPMT(E$25/12,$B134,E$23,E$53,-E$27,0),IF($B134=E$23,E133+PPMT(E$25/12,$B134,E$23,E$53,-E$27,0)-E$27,0)))</f>
        <v/>
      </c>
      <c r="F134" s="279">
        <f>IF(F$1=0,"",IF($B134&lt;F$23,F133+PPMT(F$25/12,$B134,F$23,F$53,-F$27,0),IF($B134=F$23,F133+PPMT(F$25/12,$B134,F$23,F$53,-F$27,0)-F$27,0)))</f>
        <v/>
      </c>
      <c r="G134" s="279">
        <f>IF(G$1=0,"",IF($B134&lt;G$23,G133+PPMT(G$25/12,$B134,G$23,G$53,-G$27,0),IF($B134=G$23,G133+PPMT(G$25/12,$B134,G$23,G$53,-G$27,0)-G$27,0)))</f>
        <v/>
      </c>
      <c r="H134" s="279">
        <f>IF(H$1=0,"",IF($B134&lt;H$23,H133+PPMT(H$25/12,$B134,H$23,H$53,-H$27,0),IF($B134=H$23,H133+PPMT(H$25/12,$B134,H$23,H$53,-H$27,0)-H$27,0)))</f>
        <v/>
      </c>
      <c r="I134" s="279">
        <f>IF(I$1=0,"",IF($B134&lt;I$23,I133+PPMT(I$25/12,$B134,I$23,I$53,-I$27,0),IF($B134=I$23,I133+PPMT(I$25/12,$B134,I$23,I$53,-I$27,0)-I$27,0)))</f>
        <v/>
      </c>
      <c r="J134" s="279">
        <f>IF(J$1=0,"",IF($B134&lt;J$23,J133+PPMT(J$25/12,$B134,J$23,J$53,-J$27,0),IF($B134=J$23,J133+PPMT(J$25/12,$B134,J$23,J$53,-J$27,0)-J$27,0)))</f>
        <v/>
      </c>
      <c r="K134" s="279">
        <f>IF(K$1=0,"",IF($B134&lt;K$23,K133+PPMT(K$25/12,$B134,K$23,K$53,-K$27,0),IF($B134=K$23,K133+PPMT(K$25/12,$B134,K$23,K$53,-K$27,0)-K$27,0)))</f>
        <v/>
      </c>
      <c r="L134" s="279">
        <f>IF(L$1=0,"",IF($B134&lt;L$23,L133+PPMT(L$25/12,$B134,L$23,L$53,-L$27,0),IF($B134=L$23,L133+PPMT(L$25/12,$B134,L$23,L$53,-L$27,0)-L$27,0)))</f>
        <v/>
      </c>
      <c r="M134" s="279">
        <f>IF(M$1=0,"",IF($B134&lt;M$23,M133+PPMT(M$25/12,$B134,M$23,M$53,-M$27,0),IF($B134=M$23,M133+PPMT(M$25/12,$B134,M$23,M$53,-M$27,0)-M$27,0)))</f>
        <v/>
      </c>
      <c r="N134" s="280" t="n"/>
      <c r="O134" s="281" t="n"/>
    </row>
    <row r="135" hidden="1" outlineLevel="1">
      <c r="B135" s="2">
        <f>B134+1</f>
        <v/>
      </c>
      <c r="D135" s="279">
        <f>IF(B135&lt;$D$24,(+CALCULETTE!T714/CALCULETTE!$B$612),0)</f>
        <v/>
      </c>
      <c r="E135" s="279">
        <f>IF(E$1=0,"",IF($B135&lt;E$23,E134+PPMT(E$25/12,$B135,E$23,E$53,-E$27,0),IF($B135=E$23,E134+PPMT(E$25/12,$B135,E$23,E$53,-E$27,0)-E$27,0)))</f>
        <v/>
      </c>
      <c r="F135" s="279">
        <f>IF(F$1=0,"",IF($B135&lt;F$23,F134+PPMT(F$25/12,$B135,F$23,F$53,-F$27,0),IF($B135=F$23,F134+PPMT(F$25/12,$B135,F$23,F$53,-F$27,0)-F$27,0)))</f>
        <v/>
      </c>
      <c r="G135" s="279">
        <f>IF(G$1=0,"",IF($B135&lt;G$23,G134+PPMT(G$25/12,$B135,G$23,G$53,-G$27,0),IF($B135=G$23,G134+PPMT(G$25/12,$B135,G$23,G$53,-G$27,0)-G$27,0)))</f>
        <v/>
      </c>
      <c r="H135" s="279">
        <f>IF(H$1=0,"",IF($B135&lt;H$23,H134+PPMT(H$25/12,$B135,H$23,H$53,-H$27,0),IF($B135=H$23,H134+PPMT(H$25/12,$B135,H$23,H$53,-H$27,0)-H$27,0)))</f>
        <v/>
      </c>
      <c r="I135" s="279">
        <f>IF(I$1=0,"",IF($B135&lt;I$23,I134+PPMT(I$25/12,$B135,I$23,I$53,-I$27,0),IF($B135=I$23,I134+PPMT(I$25/12,$B135,I$23,I$53,-I$27,0)-I$27,0)))</f>
        <v/>
      </c>
      <c r="J135" s="279">
        <f>IF(J$1=0,"",IF($B135&lt;J$23,J134+PPMT(J$25/12,$B135,J$23,J$53,-J$27,0),IF($B135=J$23,J134+PPMT(J$25/12,$B135,J$23,J$53,-J$27,0)-J$27,0)))</f>
        <v/>
      </c>
      <c r="K135" s="279">
        <f>IF(K$1=0,"",IF($B135&lt;K$23,K134+PPMT(K$25/12,$B135,K$23,K$53,-K$27,0),IF($B135=K$23,K134+PPMT(K$25/12,$B135,K$23,K$53,-K$27,0)-K$27,0)))</f>
        <v/>
      </c>
      <c r="L135" s="279">
        <f>IF(L$1=0,"",IF($B135&lt;L$23,L134+PPMT(L$25/12,$B135,L$23,L$53,-L$27,0),IF($B135=L$23,L134+PPMT(L$25/12,$B135,L$23,L$53,-L$27,0)-L$27,0)))</f>
        <v/>
      </c>
      <c r="M135" s="279">
        <f>IF(M$1=0,"",IF($B135&lt;M$23,M134+PPMT(M$25/12,$B135,M$23,M$53,-M$27,0),IF($B135=M$23,M134+PPMT(M$25/12,$B135,M$23,M$53,-M$27,0)-M$27,0)))</f>
        <v/>
      </c>
      <c r="N135" s="280" t="n"/>
      <c r="O135" s="281" t="n"/>
    </row>
    <row r="136" hidden="1" outlineLevel="1">
      <c r="B136" s="2">
        <f>B135+1</f>
        <v/>
      </c>
      <c r="D136" s="279">
        <f>IF(B136&lt;$D$24,(+CALCULETTE!T715/CALCULETTE!$B$612),0)</f>
        <v/>
      </c>
      <c r="E136" s="279">
        <f>IF(E$1=0,"",IF($B136&lt;E$23,E135+PPMT(E$25/12,$B136,E$23,E$53,-E$27,0),IF($B136=E$23,E135+PPMT(E$25/12,$B136,E$23,E$53,-E$27,0)-E$27,0)))</f>
        <v/>
      </c>
      <c r="F136" s="279">
        <f>IF(F$1=0,"",IF($B136&lt;F$23,F135+PPMT(F$25/12,$B136,F$23,F$53,-F$27,0),IF($B136=F$23,F135+PPMT(F$25/12,$B136,F$23,F$53,-F$27,0)-F$27,0)))</f>
        <v/>
      </c>
      <c r="G136" s="279">
        <f>IF(G$1=0,"",IF($B136&lt;G$23,G135+PPMT(G$25/12,$B136,G$23,G$53,-G$27,0),IF($B136=G$23,G135+PPMT(G$25/12,$B136,G$23,G$53,-G$27,0)-G$27,0)))</f>
        <v/>
      </c>
      <c r="H136" s="279">
        <f>IF(H$1=0,"",IF($B136&lt;H$23,H135+PPMT(H$25/12,$B136,H$23,H$53,-H$27,0),IF($B136=H$23,H135+PPMT(H$25/12,$B136,H$23,H$53,-H$27,0)-H$27,0)))</f>
        <v/>
      </c>
      <c r="I136" s="279">
        <f>IF(I$1=0,"",IF($B136&lt;I$23,I135+PPMT(I$25/12,$B136,I$23,I$53,-I$27,0),IF($B136=I$23,I135+PPMT(I$25/12,$B136,I$23,I$53,-I$27,0)-I$27,0)))</f>
        <v/>
      </c>
      <c r="J136" s="279">
        <f>IF(J$1=0,"",IF($B136&lt;J$23,J135+PPMT(J$25/12,$B136,J$23,J$53,-J$27,0),IF($B136=J$23,J135+PPMT(J$25/12,$B136,J$23,J$53,-J$27,0)-J$27,0)))</f>
        <v/>
      </c>
      <c r="K136" s="279">
        <f>IF(K$1=0,"",IF($B136&lt;K$23,K135+PPMT(K$25/12,$B136,K$23,K$53,-K$27,0),IF($B136=K$23,K135+PPMT(K$25/12,$B136,K$23,K$53,-K$27,0)-K$27,0)))</f>
        <v/>
      </c>
      <c r="L136" s="279">
        <f>IF(L$1=0,"",IF($B136&lt;L$23,L135+PPMT(L$25/12,$B136,L$23,L$53,-L$27,0),IF($B136=L$23,L135+PPMT(L$25/12,$B136,L$23,L$53,-L$27,0)-L$27,0)))</f>
        <v/>
      </c>
      <c r="M136" s="279">
        <f>IF(M$1=0,"",IF($B136&lt;M$23,M135+PPMT(M$25/12,$B136,M$23,M$53,-M$27,0),IF($B136=M$23,M135+PPMT(M$25/12,$B136,M$23,M$53,-M$27,0)-M$27,0)))</f>
        <v/>
      </c>
      <c r="N136" s="280" t="n"/>
      <c r="O136" s="281" t="n"/>
    </row>
    <row r="137" hidden="1" outlineLevel="1">
      <c r="B137" s="2">
        <f>B136+1</f>
        <v/>
      </c>
      <c r="D137" s="279">
        <f>IF(B137&lt;$D$24,(+CALCULETTE!T716/CALCULETTE!$B$612),0)</f>
        <v/>
      </c>
      <c r="E137" s="279">
        <f>IF(E$1=0,"",IF($B137&lt;E$23,E136+PPMT(E$25/12,$B137,E$23,E$53,-E$27,0),IF($B137=E$23,E136+PPMT(E$25/12,$B137,E$23,E$53,-E$27,0)-E$27,0)))</f>
        <v/>
      </c>
      <c r="F137" s="279">
        <f>IF(F$1=0,"",IF($B137&lt;F$23,F136+PPMT(F$25/12,$B137,F$23,F$53,-F$27,0),IF($B137=F$23,F136+PPMT(F$25/12,$B137,F$23,F$53,-F$27,0)-F$27,0)))</f>
        <v/>
      </c>
      <c r="G137" s="279">
        <f>IF(G$1=0,"",IF($B137&lt;G$23,G136+PPMT(G$25/12,$B137,G$23,G$53,-G$27,0),IF($B137=G$23,G136+PPMT(G$25/12,$B137,G$23,G$53,-G$27,0)-G$27,0)))</f>
        <v/>
      </c>
      <c r="H137" s="279">
        <f>IF(H$1=0,"",IF($B137&lt;H$23,H136+PPMT(H$25/12,$B137,H$23,H$53,-H$27,0),IF($B137=H$23,H136+PPMT(H$25/12,$B137,H$23,H$53,-H$27,0)-H$27,0)))</f>
        <v/>
      </c>
      <c r="I137" s="279">
        <f>IF(I$1=0,"",IF($B137&lt;I$23,I136+PPMT(I$25/12,$B137,I$23,I$53,-I$27,0),IF($B137=I$23,I136+PPMT(I$25/12,$B137,I$23,I$53,-I$27,0)-I$27,0)))</f>
        <v/>
      </c>
      <c r="J137" s="279">
        <f>IF(J$1=0,"",IF($B137&lt;J$23,J136+PPMT(J$25/12,$B137,J$23,J$53,-J$27,0),IF($B137=J$23,J136+PPMT(J$25/12,$B137,J$23,J$53,-J$27,0)-J$27,0)))</f>
        <v/>
      </c>
      <c r="K137" s="279">
        <f>IF(K$1=0,"",IF($B137&lt;K$23,K136+PPMT(K$25/12,$B137,K$23,K$53,-K$27,0),IF($B137=K$23,K136+PPMT(K$25/12,$B137,K$23,K$53,-K$27,0)-K$27,0)))</f>
        <v/>
      </c>
      <c r="L137" s="279">
        <f>IF(L$1=0,"",IF($B137&lt;L$23,L136+PPMT(L$25/12,$B137,L$23,L$53,-L$27,0),IF($B137=L$23,L136+PPMT(L$25/12,$B137,L$23,L$53,-L$27,0)-L$27,0)))</f>
        <v/>
      </c>
      <c r="M137" s="279">
        <f>IF(M$1=0,"",IF($B137&lt;M$23,M136+PPMT(M$25/12,$B137,M$23,M$53,-M$27,0),IF($B137=M$23,M136+PPMT(M$25/12,$B137,M$23,M$53,-M$27,0)-M$27,0)))</f>
        <v/>
      </c>
      <c r="N137" s="280" t="n"/>
      <c r="O137" s="281" t="n"/>
    </row>
    <row r="138" hidden="1" outlineLevel="1">
      <c r="B138" s="2">
        <f>B137+1</f>
        <v/>
      </c>
      <c r="D138" s="279">
        <f>IF(B138&lt;$D$24,(+CALCULETTE!T717/CALCULETTE!$B$612),0)</f>
        <v/>
      </c>
      <c r="E138" s="279">
        <f>IF(E$1=0,"",IF($B138&lt;E$23,E137+PPMT(E$25/12,$B138,E$23,E$53,-E$27,0),IF($B138=E$23,E137+PPMT(E$25/12,$B138,E$23,E$53,-E$27,0)-E$27,0)))</f>
        <v/>
      </c>
      <c r="F138" s="279">
        <f>IF(F$1=0,"",IF($B138&lt;F$23,F137+PPMT(F$25/12,$B138,F$23,F$53,-F$27,0),IF($B138=F$23,F137+PPMT(F$25/12,$B138,F$23,F$53,-F$27,0)-F$27,0)))</f>
        <v/>
      </c>
      <c r="G138" s="279">
        <f>IF(G$1=0,"",IF($B138&lt;G$23,G137+PPMT(G$25/12,$B138,G$23,G$53,-G$27,0),IF($B138=G$23,G137+PPMT(G$25/12,$B138,G$23,G$53,-G$27,0)-G$27,0)))</f>
        <v/>
      </c>
      <c r="H138" s="279">
        <f>IF(H$1=0,"",IF($B138&lt;H$23,H137+PPMT(H$25/12,$B138,H$23,H$53,-H$27,0),IF($B138=H$23,H137+PPMT(H$25/12,$B138,H$23,H$53,-H$27,0)-H$27,0)))</f>
        <v/>
      </c>
      <c r="I138" s="279">
        <f>IF(I$1=0,"",IF($B138&lt;I$23,I137+PPMT(I$25/12,$B138,I$23,I$53,-I$27,0),IF($B138=I$23,I137+PPMT(I$25/12,$B138,I$23,I$53,-I$27,0)-I$27,0)))</f>
        <v/>
      </c>
      <c r="J138" s="279">
        <f>IF(J$1=0,"",IF($B138&lt;J$23,J137+PPMT(J$25/12,$B138,J$23,J$53,-J$27,0),IF($B138=J$23,J137+PPMT(J$25/12,$B138,J$23,J$53,-J$27,0)-J$27,0)))</f>
        <v/>
      </c>
      <c r="K138" s="279">
        <f>IF(K$1=0,"",IF($B138&lt;K$23,K137+PPMT(K$25/12,$B138,K$23,K$53,-K$27,0),IF($B138=K$23,K137+PPMT(K$25/12,$B138,K$23,K$53,-K$27,0)-K$27,0)))</f>
        <v/>
      </c>
      <c r="L138" s="279">
        <f>IF(L$1=0,"",IF($B138&lt;L$23,L137+PPMT(L$25/12,$B138,L$23,L$53,-L$27,0),IF($B138=L$23,L137+PPMT(L$25/12,$B138,L$23,L$53,-L$27,0)-L$27,0)))</f>
        <v/>
      </c>
      <c r="M138" s="279">
        <f>IF(M$1=0,"",IF($B138&lt;M$23,M137+PPMT(M$25/12,$B138,M$23,M$53,-M$27,0),IF($B138=M$23,M137+PPMT(M$25/12,$B138,M$23,M$53,-M$27,0)-M$27,0)))</f>
        <v/>
      </c>
      <c r="N138" s="280" t="n"/>
      <c r="O138" s="281" t="n"/>
    </row>
    <row r="139" hidden="1" outlineLevel="1">
      <c r="B139" s="2">
        <f>B138+1</f>
        <v/>
      </c>
      <c r="D139" s="279">
        <f>IF(B139&lt;$D$24,(+CALCULETTE!T718/CALCULETTE!$B$612),0)</f>
        <v/>
      </c>
      <c r="E139" s="279">
        <f>IF(E$1=0,"",IF($B139&lt;E$23,E138+PPMT(E$25/12,$B139,E$23,E$53,-E$27,0),IF($B139=E$23,E138+PPMT(E$25/12,$B139,E$23,E$53,-E$27,0)-E$27,0)))</f>
        <v/>
      </c>
      <c r="F139" s="279">
        <f>IF(F$1=0,"",IF($B139&lt;F$23,F138+PPMT(F$25/12,$B139,F$23,F$53,-F$27,0),IF($B139=F$23,F138+PPMT(F$25/12,$B139,F$23,F$53,-F$27,0)-F$27,0)))</f>
        <v/>
      </c>
      <c r="G139" s="279">
        <f>IF(G$1=0,"",IF($B139&lt;G$23,G138+PPMT(G$25/12,$B139,G$23,G$53,-G$27,0),IF($B139=G$23,G138+PPMT(G$25/12,$B139,G$23,G$53,-G$27,0)-G$27,0)))</f>
        <v/>
      </c>
      <c r="H139" s="279">
        <f>IF(H$1=0,"",IF($B139&lt;H$23,H138+PPMT(H$25/12,$B139,H$23,H$53,-H$27,0),IF($B139=H$23,H138+PPMT(H$25/12,$B139,H$23,H$53,-H$27,0)-H$27,0)))</f>
        <v/>
      </c>
      <c r="I139" s="279">
        <f>IF(I$1=0,"",IF($B139&lt;I$23,I138+PPMT(I$25/12,$B139,I$23,I$53,-I$27,0),IF($B139=I$23,I138+PPMT(I$25/12,$B139,I$23,I$53,-I$27,0)-I$27,0)))</f>
        <v/>
      </c>
      <c r="J139" s="279">
        <f>IF(J$1=0,"",IF($B139&lt;J$23,J138+PPMT(J$25/12,$B139,J$23,J$53,-J$27,0),IF($B139=J$23,J138+PPMT(J$25/12,$B139,J$23,J$53,-J$27,0)-J$27,0)))</f>
        <v/>
      </c>
      <c r="K139" s="279">
        <f>IF(K$1=0,"",IF($B139&lt;K$23,K138+PPMT(K$25/12,$B139,K$23,K$53,-K$27,0),IF($B139=K$23,K138+PPMT(K$25/12,$B139,K$23,K$53,-K$27,0)-K$27,0)))</f>
        <v/>
      </c>
      <c r="L139" s="279">
        <f>IF(L$1=0,"",IF($B139&lt;L$23,L138+PPMT(L$25/12,$B139,L$23,L$53,-L$27,0),IF($B139=L$23,L138+PPMT(L$25/12,$B139,L$23,L$53,-L$27,0)-L$27,0)))</f>
        <v/>
      </c>
      <c r="M139" s="279">
        <f>IF(M$1=0,"",IF($B139&lt;M$23,M138+PPMT(M$25/12,$B139,M$23,M$53,-M$27,0),IF($B139=M$23,M138+PPMT(M$25/12,$B139,M$23,M$53,-M$27,0)-M$27,0)))</f>
        <v/>
      </c>
      <c r="N139" s="280" t="n"/>
      <c r="O139" s="281" t="n"/>
    </row>
    <row r="140" hidden="1" outlineLevel="1">
      <c r="B140" s="2">
        <f>B139+1</f>
        <v/>
      </c>
      <c r="D140" s="279">
        <f>IF(B140&lt;$D$24,(+CALCULETTE!T719/CALCULETTE!$B$612),0)</f>
        <v/>
      </c>
      <c r="E140" s="279">
        <f>IF(E$1=0,"",IF($B140&lt;E$23,E139+PPMT(E$25/12,$B140,E$23,E$53,-E$27,0),IF($B140=E$23,E139+PPMT(E$25/12,$B140,E$23,E$53,-E$27,0)-E$27,0)))</f>
        <v/>
      </c>
      <c r="F140" s="279">
        <f>IF(F$1=0,"",IF($B140&lt;F$23,F139+PPMT(F$25/12,$B140,F$23,F$53,-F$27,0),IF($B140=F$23,F139+PPMT(F$25/12,$B140,F$23,F$53,-F$27,0)-F$27,0)))</f>
        <v/>
      </c>
      <c r="G140" s="279">
        <f>IF(G$1=0,"",IF($B140&lt;G$23,G139+PPMT(G$25/12,$B140,G$23,G$53,-G$27,0),IF($B140=G$23,G139+PPMT(G$25/12,$B140,G$23,G$53,-G$27,0)-G$27,0)))</f>
        <v/>
      </c>
      <c r="H140" s="279">
        <f>IF(H$1=0,"",IF($B140&lt;H$23,H139+PPMT(H$25/12,$B140,H$23,H$53,-H$27,0),IF($B140=H$23,H139+PPMT(H$25/12,$B140,H$23,H$53,-H$27,0)-H$27,0)))</f>
        <v/>
      </c>
      <c r="I140" s="279">
        <f>IF(I$1=0,"",IF($B140&lt;I$23,I139+PPMT(I$25/12,$B140,I$23,I$53,-I$27,0),IF($B140=I$23,I139+PPMT(I$25/12,$B140,I$23,I$53,-I$27,0)-I$27,0)))</f>
        <v/>
      </c>
      <c r="J140" s="279">
        <f>IF(J$1=0,"",IF($B140&lt;J$23,J139+PPMT(J$25/12,$B140,J$23,J$53,-J$27,0),IF($B140=J$23,J139+PPMT(J$25/12,$B140,J$23,J$53,-J$27,0)-J$27,0)))</f>
        <v/>
      </c>
      <c r="K140" s="279">
        <f>IF(K$1=0,"",IF($B140&lt;K$23,K139+PPMT(K$25/12,$B140,K$23,K$53,-K$27,0),IF($B140=K$23,K139+PPMT(K$25/12,$B140,K$23,K$53,-K$27,0)-K$27,0)))</f>
        <v/>
      </c>
      <c r="L140" s="279">
        <f>IF(L$1=0,"",IF($B140&lt;L$23,L139+PPMT(L$25/12,$B140,L$23,L$53,-L$27,0),IF($B140=L$23,L139+PPMT(L$25/12,$B140,L$23,L$53,-L$27,0)-L$27,0)))</f>
        <v/>
      </c>
      <c r="M140" s="279">
        <f>IF(M$1=0,"",IF($B140&lt;M$23,M139+PPMT(M$25/12,$B140,M$23,M$53,-M$27,0),IF($B140=M$23,M139+PPMT(M$25/12,$B140,M$23,M$53,-M$27,0)-M$27,0)))</f>
        <v/>
      </c>
      <c r="N140" s="280" t="n"/>
      <c r="O140" s="281" t="n"/>
    </row>
    <row r="141" hidden="1" outlineLevel="1">
      <c r="B141" s="2">
        <f>B140+1</f>
        <v/>
      </c>
      <c r="D141" s="279">
        <f>IF(B141&lt;$D$24,(+CALCULETTE!T720/CALCULETTE!$B$612),0)</f>
        <v/>
      </c>
      <c r="E141" s="279">
        <f>IF(E$1=0,"",IF($B141&lt;E$23,E140+PPMT(E$25/12,$B141,E$23,E$53,-E$27,0),IF($B141=E$23,E140+PPMT(E$25/12,$B141,E$23,E$53,-E$27,0)-E$27,0)))</f>
        <v/>
      </c>
      <c r="F141" s="279">
        <f>IF(F$1=0,"",IF($B141&lt;F$23,F140+PPMT(F$25/12,$B141,F$23,F$53,-F$27,0),IF($B141=F$23,F140+PPMT(F$25/12,$B141,F$23,F$53,-F$27,0)-F$27,0)))</f>
        <v/>
      </c>
      <c r="G141" s="279">
        <f>IF(G$1=0,"",IF($B141&lt;G$23,G140+PPMT(G$25/12,$B141,G$23,G$53,-G$27,0),IF($B141=G$23,G140+PPMT(G$25/12,$B141,G$23,G$53,-G$27,0)-G$27,0)))</f>
        <v/>
      </c>
      <c r="H141" s="279">
        <f>IF(H$1=0,"",IF($B141&lt;H$23,H140+PPMT(H$25/12,$B141,H$23,H$53,-H$27,0),IF($B141=H$23,H140+PPMT(H$25/12,$B141,H$23,H$53,-H$27,0)-H$27,0)))</f>
        <v/>
      </c>
      <c r="I141" s="279">
        <f>IF(I$1=0,"",IF($B141&lt;I$23,I140+PPMT(I$25/12,$B141,I$23,I$53,-I$27,0),IF($B141=I$23,I140+PPMT(I$25/12,$B141,I$23,I$53,-I$27,0)-I$27,0)))</f>
        <v/>
      </c>
      <c r="J141" s="279">
        <f>IF(J$1=0,"",IF($B141&lt;J$23,J140+PPMT(J$25/12,$B141,J$23,J$53,-J$27,0),IF($B141=J$23,J140+PPMT(J$25/12,$B141,J$23,J$53,-J$27,0)-J$27,0)))</f>
        <v/>
      </c>
      <c r="K141" s="279">
        <f>IF(K$1=0,"",IF($B141&lt;K$23,K140+PPMT(K$25/12,$B141,K$23,K$53,-K$27,0),IF($B141=K$23,K140+PPMT(K$25/12,$B141,K$23,K$53,-K$27,0)-K$27,0)))</f>
        <v/>
      </c>
      <c r="L141" s="279">
        <f>IF(L$1=0,"",IF($B141&lt;L$23,L140+PPMT(L$25/12,$B141,L$23,L$53,-L$27,0),IF($B141=L$23,L140+PPMT(L$25/12,$B141,L$23,L$53,-L$27,0)-L$27,0)))</f>
        <v/>
      </c>
      <c r="M141" s="279">
        <f>IF(M$1=0,"",IF($B141&lt;M$23,M140+PPMT(M$25/12,$B141,M$23,M$53,-M$27,0),IF($B141=M$23,M140+PPMT(M$25/12,$B141,M$23,M$53,-M$27,0)-M$27,0)))</f>
        <v/>
      </c>
      <c r="N141" s="280" t="n"/>
      <c r="O141" s="281" t="n"/>
    </row>
    <row r="142" hidden="1" outlineLevel="1">
      <c r="B142" s="2">
        <f>B141+1</f>
        <v/>
      </c>
      <c r="D142" s="279">
        <f>IF(B142&lt;$D$24,(+CALCULETTE!T721/CALCULETTE!$B$612),0)</f>
        <v/>
      </c>
      <c r="E142" s="279">
        <f>IF(E$1=0,"",IF($B142&lt;E$23,E141+PPMT(E$25/12,$B142,E$23,E$53,-E$27,0),IF($B142=E$23,E141+PPMT(E$25/12,$B142,E$23,E$53,-E$27,0)-E$27,0)))</f>
        <v/>
      </c>
      <c r="F142" s="279">
        <f>IF(F$1=0,"",IF($B142&lt;F$23,F141+PPMT(F$25/12,$B142,F$23,F$53,-F$27,0),IF($B142=F$23,F141+PPMT(F$25/12,$B142,F$23,F$53,-F$27,0)-F$27,0)))</f>
        <v/>
      </c>
      <c r="G142" s="279">
        <f>IF(G$1=0,"",IF($B142&lt;G$23,G141+PPMT(G$25/12,$B142,G$23,G$53,-G$27,0),IF($B142=G$23,G141+PPMT(G$25/12,$B142,G$23,G$53,-G$27,0)-G$27,0)))</f>
        <v/>
      </c>
      <c r="H142" s="279">
        <f>IF(H$1=0,"",IF($B142&lt;H$23,H141+PPMT(H$25/12,$B142,H$23,H$53,-H$27,0),IF($B142=H$23,H141+PPMT(H$25/12,$B142,H$23,H$53,-H$27,0)-H$27,0)))</f>
        <v/>
      </c>
      <c r="I142" s="279">
        <f>IF(I$1=0,"",IF($B142&lt;I$23,I141+PPMT(I$25/12,$B142,I$23,I$53,-I$27,0),IF($B142=I$23,I141+PPMT(I$25/12,$B142,I$23,I$53,-I$27,0)-I$27,0)))</f>
        <v/>
      </c>
      <c r="J142" s="279">
        <f>IF(J$1=0,"",IF($B142&lt;J$23,J141+PPMT(J$25/12,$B142,J$23,J$53,-J$27,0),IF($B142=J$23,J141+PPMT(J$25/12,$B142,J$23,J$53,-J$27,0)-J$27,0)))</f>
        <v/>
      </c>
      <c r="K142" s="279">
        <f>IF(K$1=0,"",IF($B142&lt;K$23,K141+PPMT(K$25/12,$B142,K$23,K$53,-K$27,0),IF($B142=K$23,K141+PPMT(K$25/12,$B142,K$23,K$53,-K$27,0)-K$27,0)))</f>
        <v/>
      </c>
      <c r="L142" s="279">
        <f>IF(L$1=0,"",IF($B142&lt;L$23,L141+PPMT(L$25/12,$B142,L$23,L$53,-L$27,0),IF($B142=L$23,L141+PPMT(L$25/12,$B142,L$23,L$53,-L$27,0)-L$27,0)))</f>
        <v/>
      </c>
      <c r="M142" s="279">
        <f>IF(M$1=0,"",IF($B142&lt;M$23,M141+PPMT(M$25/12,$B142,M$23,M$53,-M$27,0),IF($B142=M$23,M141+PPMT(M$25/12,$B142,M$23,M$53,-M$27,0)-M$27,0)))</f>
        <v/>
      </c>
      <c r="N142" s="280" t="n"/>
      <c r="O142" s="281" t="n"/>
    </row>
    <row r="143" hidden="1" outlineLevel="1">
      <c r="B143" s="2">
        <f>B142+1</f>
        <v/>
      </c>
      <c r="D143" s="279">
        <f>IF(B143&lt;$D$24,(+CALCULETTE!T722/CALCULETTE!$B$612),0)</f>
        <v/>
      </c>
      <c r="E143" s="279">
        <f>IF(E$1=0,"",IF($B143&lt;E$23,E142+PPMT(E$25/12,$B143,E$23,E$53,-E$27,0),IF($B143=E$23,E142+PPMT(E$25/12,$B143,E$23,E$53,-E$27,0)-E$27,0)))</f>
        <v/>
      </c>
      <c r="F143" s="279">
        <f>IF(F$1=0,"",IF($B143&lt;F$23,F142+PPMT(F$25/12,$B143,F$23,F$53,-F$27,0),IF($B143=F$23,F142+PPMT(F$25/12,$B143,F$23,F$53,-F$27,0)-F$27,0)))</f>
        <v/>
      </c>
      <c r="G143" s="279">
        <f>IF(G$1=0,"",IF($B143&lt;G$23,G142+PPMT(G$25/12,$B143,G$23,G$53,-G$27,0),IF($B143=G$23,G142+PPMT(G$25/12,$B143,G$23,G$53,-G$27,0)-G$27,0)))</f>
        <v/>
      </c>
      <c r="H143" s="279">
        <f>IF(H$1=0,"",IF($B143&lt;H$23,H142+PPMT(H$25/12,$B143,H$23,H$53,-H$27,0),IF($B143=H$23,H142+PPMT(H$25/12,$B143,H$23,H$53,-H$27,0)-H$27,0)))</f>
        <v/>
      </c>
      <c r="I143" s="279">
        <f>IF(I$1=0,"",IF($B143&lt;I$23,I142+PPMT(I$25/12,$B143,I$23,I$53,-I$27,0),IF($B143=I$23,I142+PPMT(I$25/12,$B143,I$23,I$53,-I$27,0)-I$27,0)))</f>
        <v/>
      </c>
      <c r="J143" s="279">
        <f>IF(J$1=0,"",IF($B143&lt;J$23,J142+PPMT(J$25/12,$B143,J$23,J$53,-J$27,0),IF($B143=J$23,J142+PPMT(J$25/12,$B143,J$23,J$53,-J$27,0)-J$27,0)))</f>
        <v/>
      </c>
      <c r="K143" s="279">
        <f>IF(K$1=0,"",IF($B143&lt;K$23,K142+PPMT(K$25/12,$B143,K$23,K$53,-K$27,0),IF($B143=K$23,K142+PPMT(K$25/12,$B143,K$23,K$53,-K$27,0)-K$27,0)))</f>
        <v/>
      </c>
      <c r="L143" s="279">
        <f>IF(L$1=0,"",IF($B143&lt;L$23,L142+PPMT(L$25/12,$B143,L$23,L$53,-L$27,0),IF($B143=L$23,L142+PPMT(L$25/12,$B143,L$23,L$53,-L$27,0)-L$27,0)))</f>
        <v/>
      </c>
      <c r="M143" s="279">
        <f>IF(M$1=0,"",IF($B143&lt;M$23,M142+PPMT(M$25/12,$B143,M$23,M$53,-M$27,0),IF($B143=M$23,M142+PPMT(M$25/12,$B143,M$23,M$53,-M$27,0)-M$27,0)))</f>
        <v/>
      </c>
      <c r="N143" s="280" t="n"/>
      <c r="O143" s="281" t="n"/>
    </row>
    <row r="144" hidden="1" outlineLevel="1">
      <c r="B144" s="2">
        <f>B143+1</f>
        <v/>
      </c>
      <c r="D144" s="279">
        <f>IF(B144&lt;$D$24,(+CALCULETTE!T723/CALCULETTE!$B$612),0)</f>
        <v/>
      </c>
      <c r="E144" s="279">
        <f>IF(E$1=0,"",IF($B144&lt;E$23,E143+PPMT(E$25/12,$B144,E$23,E$53,-E$27,0),IF($B144=E$23,E143+PPMT(E$25/12,$B144,E$23,E$53,-E$27,0)-E$27,0)))</f>
        <v/>
      </c>
      <c r="F144" s="279">
        <f>IF(F$1=0,"",IF($B144&lt;F$23,F143+PPMT(F$25/12,$B144,F$23,F$53,-F$27,0),IF($B144=F$23,F143+PPMT(F$25/12,$B144,F$23,F$53,-F$27,0)-F$27,0)))</f>
        <v/>
      </c>
      <c r="G144" s="279">
        <f>IF(G$1=0,"",IF($B144&lt;G$23,G143+PPMT(G$25/12,$B144,G$23,G$53,-G$27,0),IF($B144=G$23,G143+PPMT(G$25/12,$B144,G$23,G$53,-G$27,0)-G$27,0)))</f>
        <v/>
      </c>
      <c r="H144" s="279">
        <f>IF(H$1=0,"",IF($B144&lt;H$23,H143+PPMT(H$25/12,$B144,H$23,H$53,-H$27,0),IF($B144=H$23,H143+PPMT(H$25/12,$B144,H$23,H$53,-H$27,0)-H$27,0)))</f>
        <v/>
      </c>
      <c r="I144" s="279">
        <f>IF(I$1=0,"",IF($B144&lt;I$23,I143+PPMT(I$25/12,$B144,I$23,I$53,-I$27,0),IF($B144=I$23,I143+PPMT(I$25/12,$B144,I$23,I$53,-I$27,0)-I$27,0)))</f>
        <v/>
      </c>
      <c r="J144" s="279">
        <f>IF(J$1=0,"",IF($B144&lt;J$23,J143+PPMT(J$25/12,$B144,J$23,J$53,-J$27,0),IF($B144=J$23,J143+PPMT(J$25/12,$B144,J$23,J$53,-J$27,0)-J$27,0)))</f>
        <v/>
      </c>
      <c r="K144" s="279">
        <f>IF(K$1=0,"",IF($B144&lt;K$23,K143+PPMT(K$25/12,$B144,K$23,K$53,-K$27,0),IF($B144=K$23,K143+PPMT(K$25/12,$B144,K$23,K$53,-K$27,0)-K$27,0)))</f>
        <v/>
      </c>
      <c r="L144" s="279">
        <f>IF(L$1=0,"",IF($B144&lt;L$23,L143+PPMT(L$25/12,$B144,L$23,L$53,-L$27,0),IF($B144=L$23,L143+PPMT(L$25/12,$B144,L$23,L$53,-L$27,0)-L$27,0)))</f>
        <v/>
      </c>
      <c r="M144" s="279">
        <f>IF(M$1=0,"",IF($B144&lt;M$23,M143+PPMT(M$25/12,$B144,M$23,M$53,-M$27,0),IF($B144=M$23,M143+PPMT(M$25/12,$B144,M$23,M$53,-M$27,0)-M$27,0)))</f>
        <v/>
      </c>
      <c r="N144" s="280" t="n"/>
      <c r="O144" s="281" t="n"/>
    </row>
    <row r="145" hidden="1" outlineLevel="1">
      <c r="B145" s="2">
        <f>B144+1</f>
        <v/>
      </c>
      <c r="D145" s="279">
        <f>IF(B145&lt;$D$24,(+CALCULETTE!T724/CALCULETTE!$B$612),0)</f>
        <v/>
      </c>
      <c r="E145" s="279">
        <f>IF(E$1=0,"",IF($B145&lt;E$23,E144+PPMT(E$25/12,$B145,E$23,E$53,-E$27,0),IF($B145=E$23,E144+PPMT(E$25/12,$B145,E$23,E$53,-E$27,0)-E$27,0)))</f>
        <v/>
      </c>
      <c r="F145" s="279">
        <f>IF(F$1=0,"",IF($B145&lt;F$23,F144+PPMT(F$25/12,$B145,F$23,F$53,-F$27,0),IF($B145=F$23,F144+PPMT(F$25/12,$B145,F$23,F$53,-F$27,0)-F$27,0)))</f>
        <v/>
      </c>
      <c r="G145" s="279">
        <f>IF(G$1=0,"",IF($B145&lt;G$23,G144+PPMT(G$25/12,$B145,G$23,G$53,-G$27,0),IF($B145=G$23,G144+PPMT(G$25/12,$B145,G$23,G$53,-G$27,0)-G$27,0)))</f>
        <v/>
      </c>
      <c r="H145" s="279">
        <f>IF(H$1=0,"",IF($B145&lt;H$23,H144+PPMT(H$25/12,$B145,H$23,H$53,-H$27,0),IF($B145=H$23,H144+PPMT(H$25/12,$B145,H$23,H$53,-H$27,0)-H$27,0)))</f>
        <v/>
      </c>
      <c r="I145" s="279">
        <f>IF(I$1=0,"",IF($B145&lt;I$23,I144+PPMT(I$25/12,$B145,I$23,I$53,-I$27,0),IF($B145=I$23,I144+PPMT(I$25/12,$B145,I$23,I$53,-I$27,0)-I$27,0)))</f>
        <v/>
      </c>
      <c r="J145" s="279">
        <f>IF(J$1=0,"",IF($B145&lt;J$23,J144+PPMT(J$25/12,$B145,J$23,J$53,-J$27,0),IF($B145=J$23,J144+PPMT(J$25/12,$B145,J$23,J$53,-J$27,0)-J$27,0)))</f>
        <v/>
      </c>
      <c r="K145" s="279">
        <f>IF(K$1=0,"",IF($B145&lt;K$23,K144+PPMT(K$25/12,$B145,K$23,K$53,-K$27,0),IF($B145=K$23,K144+PPMT(K$25/12,$B145,K$23,K$53,-K$27,0)-K$27,0)))</f>
        <v/>
      </c>
      <c r="L145" s="279">
        <f>IF(L$1=0,"",IF($B145&lt;L$23,L144+PPMT(L$25/12,$B145,L$23,L$53,-L$27,0),IF($B145=L$23,L144+PPMT(L$25/12,$B145,L$23,L$53,-L$27,0)-L$27,0)))</f>
        <v/>
      </c>
      <c r="M145" s="279">
        <f>IF(M$1=0,"",IF($B145&lt;M$23,M144+PPMT(M$25/12,$B145,M$23,M$53,-M$27,0),IF($B145=M$23,M144+PPMT(M$25/12,$B145,M$23,M$53,-M$27,0)-M$27,0)))</f>
        <v/>
      </c>
      <c r="N145" s="280" t="n"/>
      <c r="O145" s="281" t="n"/>
    </row>
    <row r="146" hidden="1" outlineLevel="1">
      <c r="B146" s="2">
        <f>B145+1</f>
        <v/>
      </c>
      <c r="D146" s="279">
        <f>IF(B146&lt;$D$24,(+CALCULETTE!T725/CALCULETTE!$B$612),0)</f>
        <v/>
      </c>
      <c r="E146" s="279">
        <f>IF(E$1=0,"",IF($B146&lt;E$23,E145+PPMT(E$25/12,$B146,E$23,E$53,-E$27,0),IF($B146=E$23,E145+PPMT(E$25/12,$B146,E$23,E$53,-E$27,0)-E$27,0)))</f>
        <v/>
      </c>
      <c r="F146" s="279">
        <f>IF(F$1=0,"",IF($B146&lt;F$23,F145+PPMT(F$25/12,$B146,F$23,F$53,-F$27,0),IF($B146=F$23,F145+PPMT(F$25/12,$B146,F$23,F$53,-F$27,0)-F$27,0)))</f>
        <v/>
      </c>
      <c r="G146" s="279">
        <f>IF(G$1=0,"",IF($B146&lt;G$23,G145+PPMT(G$25/12,$B146,G$23,G$53,-G$27,0),IF($B146=G$23,G145+PPMT(G$25/12,$B146,G$23,G$53,-G$27,0)-G$27,0)))</f>
        <v/>
      </c>
      <c r="H146" s="279">
        <f>IF(H$1=0,"",IF($B146&lt;H$23,H145+PPMT(H$25/12,$B146,H$23,H$53,-H$27,0),IF($B146=H$23,H145+PPMT(H$25/12,$B146,H$23,H$53,-H$27,0)-H$27,0)))</f>
        <v/>
      </c>
      <c r="I146" s="279">
        <f>IF(I$1=0,"",IF($B146&lt;I$23,I145+PPMT(I$25/12,$B146,I$23,I$53,-I$27,0),IF($B146=I$23,I145+PPMT(I$25/12,$B146,I$23,I$53,-I$27,0)-I$27,0)))</f>
        <v/>
      </c>
      <c r="J146" s="279">
        <f>IF(J$1=0,"",IF($B146&lt;J$23,J145+PPMT(J$25/12,$B146,J$23,J$53,-J$27,0),IF($B146=J$23,J145+PPMT(J$25/12,$B146,J$23,J$53,-J$27,0)-J$27,0)))</f>
        <v/>
      </c>
      <c r="K146" s="279">
        <f>IF(K$1=0,"",IF($B146&lt;K$23,K145+PPMT(K$25/12,$B146,K$23,K$53,-K$27,0),IF($B146=K$23,K145+PPMT(K$25/12,$B146,K$23,K$53,-K$27,0)-K$27,0)))</f>
        <v/>
      </c>
      <c r="L146" s="279">
        <f>IF(L$1=0,"",IF($B146&lt;L$23,L145+PPMT(L$25/12,$B146,L$23,L$53,-L$27,0),IF($B146=L$23,L145+PPMT(L$25/12,$B146,L$23,L$53,-L$27,0)-L$27,0)))</f>
        <v/>
      </c>
      <c r="M146" s="279">
        <f>IF(M$1=0,"",IF($B146&lt;M$23,M145+PPMT(M$25/12,$B146,M$23,M$53,-M$27,0),IF($B146=M$23,M145+PPMT(M$25/12,$B146,M$23,M$53,-M$27,0)-M$27,0)))</f>
        <v/>
      </c>
      <c r="N146" s="280" t="n"/>
      <c r="O146" s="281" t="n"/>
    </row>
    <row r="147" hidden="1" outlineLevel="1">
      <c r="B147" s="2">
        <f>B146+1</f>
        <v/>
      </c>
      <c r="D147" s="279">
        <f>IF(B147&lt;$D$24,(+CALCULETTE!T726/CALCULETTE!$B$612),0)</f>
        <v/>
      </c>
      <c r="E147" s="279">
        <f>IF(E$1=0,"",IF($B147&lt;E$23,E146+PPMT(E$25/12,$B147,E$23,E$53,-E$27,0),IF($B147=E$23,E146+PPMT(E$25/12,$B147,E$23,E$53,-E$27,0)-E$27,0)))</f>
        <v/>
      </c>
      <c r="F147" s="279">
        <f>IF(F$1=0,"",IF($B147&lt;F$23,F146+PPMT(F$25/12,$B147,F$23,F$53,-F$27,0),IF($B147=F$23,F146+PPMT(F$25/12,$B147,F$23,F$53,-F$27,0)-F$27,0)))</f>
        <v/>
      </c>
      <c r="G147" s="279">
        <f>IF(G$1=0,"",IF($B147&lt;G$23,G146+PPMT(G$25/12,$B147,G$23,G$53,-G$27,0),IF($B147=G$23,G146+PPMT(G$25/12,$B147,G$23,G$53,-G$27,0)-G$27,0)))</f>
        <v/>
      </c>
      <c r="H147" s="279">
        <f>IF(H$1=0,"",IF($B147&lt;H$23,H146+PPMT(H$25/12,$B147,H$23,H$53,-H$27,0),IF($B147=H$23,H146+PPMT(H$25/12,$B147,H$23,H$53,-H$27,0)-H$27,0)))</f>
        <v/>
      </c>
      <c r="I147" s="279">
        <f>IF(I$1=0,"",IF($B147&lt;I$23,I146+PPMT(I$25/12,$B147,I$23,I$53,-I$27,0),IF($B147=I$23,I146+PPMT(I$25/12,$B147,I$23,I$53,-I$27,0)-I$27,0)))</f>
        <v/>
      </c>
      <c r="J147" s="279">
        <f>IF(J$1=0,"",IF($B147&lt;J$23,J146+PPMT(J$25/12,$B147,J$23,J$53,-J$27,0),IF($B147=J$23,J146+PPMT(J$25/12,$B147,J$23,J$53,-J$27,0)-J$27,0)))</f>
        <v/>
      </c>
      <c r="K147" s="279">
        <f>IF(K$1=0,"",IF($B147&lt;K$23,K146+PPMT(K$25/12,$B147,K$23,K$53,-K$27,0),IF($B147=K$23,K146+PPMT(K$25/12,$B147,K$23,K$53,-K$27,0)-K$27,0)))</f>
        <v/>
      </c>
      <c r="L147" s="279">
        <f>IF(L$1=0,"",IF($B147&lt;L$23,L146+PPMT(L$25/12,$B147,L$23,L$53,-L$27,0),IF($B147=L$23,L146+PPMT(L$25/12,$B147,L$23,L$53,-L$27,0)-L$27,0)))</f>
        <v/>
      </c>
      <c r="M147" s="279">
        <f>IF(M$1=0,"",IF($B147&lt;M$23,M146+PPMT(M$25/12,$B147,M$23,M$53,-M$27,0),IF($B147=M$23,M146+PPMT(M$25/12,$B147,M$23,M$53,-M$27,0)-M$27,0)))</f>
        <v/>
      </c>
      <c r="N147" s="280" t="n"/>
      <c r="O147" s="281" t="n"/>
    </row>
    <row r="148" hidden="1" outlineLevel="1">
      <c r="B148" s="2">
        <f>B147+1</f>
        <v/>
      </c>
      <c r="D148" s="279">
        <f>IF(B148&lt;$D$24,(+CALCULETTE!T727/CALCULETTE!$B$612),0)</f>
        <v/>
      </c>
      <c r="E148" s="279">
        <f>IF(E$1=0,"",IF($B148&lt;E$23,E147+PPMT(E$25/12,$B148,E$23,E$53,-E$27,0),IF($B148=E$23,E147+PPMT(E$25/12,$B148,E$23,E$53,-E$27,0)-E$27,0)))</f>
        <v/>
      </c>
      <c r="F148" s="279">
        <f>IF(F$1=0,"",IF($B148&lt;F$23,F147+PPMT(F$25/12,$B148,F$23,F$53,-F$27,0),IF($B148=F$23,F147+PPMT(F$25/12,$B148,F$23,F$53,-F$27,0)-F$27,0)))</f>
        <v/>
      </c>
      <c r="G148" s="279">
        <f>IF(G$1=0,"",IF($B148&lt;G$23,G147+PPMT(G$25/12,$B148,G$23,G$53,-G$27,0),IF($B148=G$23,G147+PPMT(G$25/12,$B148,G$23,G$53,-G$27,0)-G$27,0)))</f>
        <v/>
      </c>
      <c r="H148" s="279">
        <f>IF(H$1=0,"",IF($B148&lt;H$23,H147+PPMT(H$25/12,$B148,H$23,H$53,-H$27,0),IF($B148=H$23,H147+PPMT(H$25/12,$B148,H$23,H$53,-H$27,0)-H$27,0)))</f>
        <v/>
      </c>
      <c r="I148" s="279">
        <f>IF(I$1=0,"",IF($B148&lt;I$23,I147+PPMT(I$25/12,$B148,I$23,I$53,-I$27,0),IF($B148=I$23,I147+PPMT(I$25/12,$B148,I$23,I$53,-I$27,0)-I$27,0)))</f>
        <v/>
      </c>
      <c r="J148" s="279">
        <f>IF(J$1=0,"",IF($B148&lt;J$23,J147+PPMT(J$25/12,$B148,J$23,J$53,-J$27,0),IF($B148=J$23,J147+PPMT(J$25/12,$B148,J$23,J$53,-J$27,0)-J$27,0)))</f>
        <v/>
      </c>
      <c r="K148" s="279">
        <f>IF(K$1=0,"",IF($B148&lt;K$23,K147+PPMT(K$25/12,$B148,K$23,K$53,-K$27,0),IF($B148=K$23,K147+PPMT(K$25/12,$B148,K$23,K$53,-K$27,0)-K$27,0)))</f>
        <v/>
      </c>
      <c r="L148" s="279">
        <f>IF(L$1=0,"",IF($B148&lt;L$23,L147+PPMT(L$25/12,$B148,L$23,L$53,-L$27,0),IF($B148=L$23,L147+PPMT(L$25/12,$B148,L$23,L$53,-L$27,0)-L$27,0)))</f>
        <v/>
      </c>
      <c r="M148" s="279">
        <f>IF(M$1=0,"",IF($B148&lt;M$23,M147+PPMT(M$25/12,$B148,M$23,M$53,-M$27,0),IF($B148=M$23,M147+PPMT(M$25/12,$B148,M$23,M$53,-M$27,0)-M$27,0)))</f>
        <v/>
      </c>
      <c r="N148" s="280" t="n"/>
      <c r="O148" s="281" t="n"/>
    </row>
    <row r="149" hidden="1" outlineLevel="1">
      <c r="B149" s="2">
        <f>B148+1</f>
        <v/>
      </c>
      <c r="D149" s="279">
        <f>IF(B149&lt;$D$24,(+CALCULETTE!T728/CALCULETTE!$B$612),0)</f>
        <v/>
      </c>
      <c r="E149" s="279">
        <f>IF(E$1=0,"",IF($B149&lt;E$23,E148+PPMT(E$25/12,$B149,E$23,E$53,-E$27,0),IF($B149=E$23,E148+PPMT(E$25/12,$B149,E$23,E$53,-E$27,0)-E$27,0)))</f>
        <v/>
      </c>
      <c r="F149" s="279">
        <f>IF(F$1=0,"",IF($B149&lt;F$23,F148+PPMT(F$25/12,$B149,F$23,F$53,-F$27,0),IF($B149=F$23,F148+PPMT(F$25/12,$B149,F$23,F$53,-F$27,0)-F$27,0)))</f>
        <v/>
      </c>
      <c r="G149" s="279">
        <f>IF(G$1=0,"",IF($B149&lt;G$23,G148+PPMT(G$25/12,$B149,G$23,G$53,-G$27,0),IF($B149=G$23,G148+PPMT(G$25/12,$B149,G$23,G$53,-G$27,0)-G$27,0)))</f>
        <v/>
      </c>
      <c r="H149" s="279">
        <f>IF(H$1=0,"",IF($B149&lt;H$23,H148+PPMT(H$25/12,$B149,H$23,H$53,-H$27,0),IF($B149=H$23,H148+PPMT(H$25/12,$B149,H$23,H$53,-H$27,0)-H$27,0)))</f>
        <v/>
      </c>
      <c r="I149" s="279">
        <f>IF(I$1=0,"",IF($B149&lt;I$23,I148+PPMT(I$25/12,$B149,I$23,I$53,-I$27,0),IF($B149=I$23,I148+PPMT(I$25/12,$B149,I$23,I$53,-I$27,0)-I$27,0)))</f>
        <v/>
      </c>
      <c r="J149" s="279">
        <f>IF(J$1=0,"",IF($B149&lt;J$23,J148+PPMT(J$25/12,$B149,J$23,J$53,-J$27,0),IF($B149=J$23,J148+PPMT(J$25/12,$B149,J$23,J$53,-J$27,0)-J$27,0)))</f>
        <v/>
      </c>
      <c r="K149" s="279">
        <f>IF(K$1=0,"",IF($B149&lt;K$23,K148+PPMT(K$25/12,$B149,K$23,K$53,-K$27,0),IF($B149=K$23,K148+PPMT(K$25/12,$B149,K$23,K$53,-K$27,0)-K$27,0)))</f>
        <v/>
      </c>
      <c r="L149" s="279">
        <f>IF(L$1=0,"",IF($B149&lt;L$23,L148+PPMT(L$25/12,$B149,L$23,L$53,-L$27,0),IF($B149=L$23,L148+PPMT(L$25/12,$B149,L$23,L$53,-L$27,0)-L$27,0)))</f>
        <v/>
      </c>
      <c r="M149" s="279">
        <f>IF(M$1=0,"",IF($B149&lt;M$23,M148+PPMT(M$25/12,$B149,M$23,M$53,-M$27,0),IF($B149=M$23,M148+PPMT(M$25/12,$B149,M$23,M$53,-M$27,0)-M$27,0)))</f>
        <v/>
      </c>
      <c r="N149" s="280" t="n"/>
      <c r="O149" s="281" t="n"/>
    </row>
    <row r="150" hidden="1" outlineLevel="1">
      <c r="B150" s="2">
        <f>B149+1</f>
        <v/>
      </c>
      <c r="D150" s="279">
        <f>IF(B150&lt;$D$24,(+CALCULETTE!T729/CALCULETTE!$B$612),0)</f>
        <v/>
      </c>
      <c r="E150" s="279">
        <f>IF(E$1=0,"",IF($B150&lt;E$23,E149+PPMT(E$25/12,$B150,E$23,E$53,-E$27,0),IF($B150=E$23,E149+PPMT(E$25/12,$B150,E$23,E$53,-E$27,0)-E$27,0)))</f>
        <v/>
      </c>
      <c r="F150" s="279">
        <f>IF(F$1=0,"",IF($B150&lt;F$23,F149+PPMT(F$25/12,$B150,F$23,F$53,-F$27,0),IF($B150=F$23,F149+PPMT(F$25/12,$B150,F$23,F$53,-F$27,0)-F$27,0)))</f>
        <v/>
      </c>
      <c r="G150" s="279">
        <f>IF(G$1=0,"",IF($B150&lt;G$23,G149+PPMT(G$25/12,$B150,G$23,G$53,-G$27,0),IF($B150=G$23,G149+PPMT(G$25/12,$B150,G$23,G$53,-G$27,0)-G$27,0)))</f>
        <v/>
      </c>
      <c r="H150" s="279">
        <f>IF(H$1=0,"",IF($B150&lt;H$23,H149+PPMT(H$25/12,$B150,H$23,H$53,-H$27,0),IF($B150=H$23,H149+PPMT(H$25/12,$B150,H$23,H$53,-H$27,0)-H$27,0)))</f>
        <v/>
      </c>
      <c r="I150" s="279">
        <f>IF(I$1=0,"",IF($B150&lt;I$23,I149+PPMT(I$25/12,$B150,I$23,I$53,-I$27,0),IF($B150=I$23,I149+PPMT(I$25/12,$B150,I$23,I$53,-I$27,0)-I$27,0)))</f>
        <v/>
      </c>
      <c r="J150" s="279">
        <f>IF(J$1=0,"",IF($B150&lt;J$23,J149+PPMT(J$25/12,$B150,J$23,J$53,-J$27,0),IF($B150=J$23,J149+PPMT(J$25/12,$B150,J$23,J$53,-J$27,0)-J$27,0)))</f>
        <v/>
      </c>
      <c r="K150" s="279">
        <f>IF(K$1=0,"",IF($B150&lt;K$23,K149+PPMT(K$25/12,$B150,K$23,K$53,-K$27,0),IF($B150=K$23,K149+PPMT(K$25/12,$B150,K$23,K$53,-K$27,0)-K$27,0)))</f>
        <v/>
      </c>
      <c r="L150" s="279">
        <f>IF(L$1=0,"",IF($B150&lt;L$23,L149+PPMT(L$25/12,$B150,L$23,L$53,-L$27,0),IF($B150=L$23,L149+PPMT(L$25/12,$B150,L$23,L$53,-L$27,0)-L$27,0)))</f>
        <v/>
      </c>
      <c r="M150" s="279">
        <f>IF(M$1=0,"",IF($B150&lt;M$23,M149+PPMT(M$25/12,$B150,M$23,M$53,-M$27,0),IF($B150=M$23,M149+PPMT(M$25/12,$B150,M$23,M$53,-M$27,0)-M$27,0)))</f>
        <v/>
      </c>
      <c r="N150" s="280" t="n"/>
      <c r="O150" s="281" t="n"/>
    </row>
    <row r="151" hidden="1" outlineLevel="1">
      <c r="B151" s="2">
        <f>B150+1</f>
        <v/>
      </c>
      <c r="D151" s="279">
        <f>IF(B151&lt;$D$24,(+CALCULETTE!T730/CALCULETTE!$B$612),0)</f>
        <v/>
      </c>
      <c r="E151" s="279">
        <f>IF(E$1=0,"",IF($B151&lt;E$23,E150+PPMT(E$25/12,$B151,E$23,E$53,-E$27,0),IF($B151=E$23,E150+PPMT(E$25/12,$B151,E$23,E$53,-E$27,0)-E$27,0)))</f>
        <v/>
      </c>
      <c r="F151" s="279">
        <f>IF(F$1=0,"",IF($B151&lt;F$23,F150+PPMT(F$25/12,$B151,F$23,F$53,-F$27,0),IF($B151=F$23,F150+PPMT(F$25/12,$B151,F$23,F$53,-F$27,0)-F$27,0)))</f>
        <v/>
      </c>
      <c r="G151" s="279">
        <f>IF(G$1=0,"",IF($B151&lt;G$23,G150+PPMT(G$25/12,$B151,G$23,G$53,-G$27,0),IF($B151=G$23,G150+PPMT(G$25/12,$B151,G$23,G$53,-G$27,0)-G$27,0)))</f>
        <v/>
      </c>
      <c r="H151" s="279">
        <f>IF(H$1=0,"",IF($B151&lt;H$23,H150+PPMT(H$25/12,$B151,H$23,H$53,-H$27,0),IF($B151=H$23,H150+PPMT(H$25/12,$B151,H$23,H$53,-H$27,0)-H$27,0)))</f>
        <v/>
      </c>
      <c r="I151" s="279">
        <f>IF(I$1=0,"",IF($B151&lt;I$23,I150+PPMT(I$25/12,$B151,I$23,I$53,-I$27,0),IF($B151=I$23,I150+PPMT(I$25/12,$B151,I$23,I$53,-I$27,0)-I$27,0)))</f>
        <v/>
      </c>
      <c r="J151" s="279">
        <f>IF(J$1=0,"",IF($B151&lt;J$23,J150+PPMT(J$25/12,$B151,J$23,J$53,-J$27,0),IF($B151=J$23,J150+PPMT(J$25/12,$B151,J$23,J$53,-J$27,0)-J$27,0)))</f>
        <v/>
      </c>
      <c r="K151" s="279">
        <f>IF(K$1=0,"",IF($B151&lt;K$23,K150+PPMT(K$25/12,$B151,K$23,K$53,-K$27,0),IF($B151=K$23,K150+PPMT(K$25/12,$B151,K$23,K$53,-K$27,0)-K$27,0)))</f>
        <v/>
      </c>
      <c r="L151" s="279">
        <f>IF(L$1=0,"",IF($B151&lt;L$23,L150+PPMT(L$25/12,$B151,L$23,L$53,-L$27,0),IF($B151=L$23,L150+PPMT(L$25/12,$B151,L$23,L$53,-L$27,0)-L$27,0)))</f>
        <v/>
      </c>
      <c r="M151" s="279">
        <f>IF(M$1=0,"",IF($B151&lt;M$23,M150+PPMT(M$25/12,$B151,M$23,M$53,-M$27,0),IF($B151=M$23,M150+PPMT(M$25/12,$B151,M$23,M$53,-M$27,0)-M$27,0)))</f>
        <v/>
      </c>
      <c r="N151" s="280" t="n"/>
      <c r="O151" s="281" t="n"/>
    </row>
    <row r="152" hidden="1" outlineLevel="1">
      <c r="B152" s="2">
        <f>B151+1</f>
        <v/>
      </c>
      <c r="D152" s="279">
        <f>IF(B152&lt;$D$24,(+CALCULETTE!T731/CALCULETTE!$B$612),0)</f>
        <v/>
      </c>
      <c r="E152" s="279">
        <f>IF(E$1=0,"",IF($B152&lt;E$23,E151+PPMT(E$25/12,$B152,E$23,E$53,-E$27,0),IF($B152=E$23,E151+PPMT(E$25/12,$B152,E$23,E$53,-E$27,0)-E$27,0)))</f>
        <v/>
      </c>
      <c r="F152" s="279">
        <f>IF(F$1=0,"",IF($B152&lt;F$23,F151+PPMT(F$25/12,$B152,F$23,F$53,-F$27,0),IF($B152=F$23,F151+PPMT(F$25/12,$B152,F$23,F$53,-F$27,0)-F$27,0)))</f>
        <v/>
      </c>
      <c r="G152" s="279">
        <f>IF(G$1=0,"",IF($B152&lt;G$23,G151+PPMT(G$25/12,$B152,G$23,G$53,-G$27,0),IF($B152=G$23,G151+PPMT(G$25/12,$B152,G$23,G$53,-G$27,0)-G$27,0)))</f>
        <v/>
      </c>
      <c r="H152" s="279">
        <f>IF(H$1=0,"",IF($B152&lt;H$23,H151+PPMT(H$25/12,$B152,H$23,H$53,-H$27,0),IF($B152=H$23,H151+PPMT(H$25/12,$B152,H$23,H$53,-H$27,0)-H$27,0)))</f>
        <v/>
      </c>
      <c r="I152" s="279">
        <f>IF(I$1=0,"",IF($B152&lt;I$23,I151+PPMT(I$25/12,$B152,I$23,I$53,-I$27,0),IF($B152=I$23,I151+PPMT(I$25/12,$B152,I$23,I$53,-I$27,0)-I$27,0)))</f>
        <v/>
      </c>
      <c r="J152" s="279">
        <f>IF(J$1=0,"",IF($B152&lt;J$23,J151+PPMT(J$25/12,$B152,J$23,J$53,-J$27,0),IF($B152=J$23,J151+PPMT(J$25/12,$B152,J$23,J$53,-J$27,0)-J$27,0)))</f>
        <v/>
      </c>
      <c r="K152" s="279">
        <f>IF(K$1=0,"",IF($B152&lt;K$23,K151+PPMT(K$25/12,$B152,K$23,K$53,-K$27,0),IF($B152=K$23,K151+PPMT(K$25/12,$B152,K$23,K$53,-K$27,0)-K$27,0)))</f>
        <v/>
      </c>
      <c r="L152" s="279">
        <f>IF(L$1=0,"",IF($B152&lt;L$23,L151+PPMT(L$25/12,$B152,L$23,L$53,-L$27,0),IF($B152=L$23,L151+PPMT(L$25/12,$B152,L$23,L$53,-L$27,0)-L$27,0)))</f>
        <v/>
      </c>
      <c r="M152" s="279">
        <f>IF(M$1=0,"",IF($B152&lt;M$23,M151+PPMT(M$25/12,$B152,M$23,M$53,-M$27,0),IF($B152=M$23,M151+PPMT(M$25/12,$B152,M$23,M$53,-M$27,0)-M$27,0)))</f>
        <v/>
      </c>
      <c r="N152" s="280" t="n"/>
      <c r="O152" s="281" t="n"/>
    </row>
    <row r="153" hidden="1" outlineLevel="1">
      <c r="B153" s="2">
        <f>B152+1</f>
        <v/>
      </c>
      <c r="D153" s="279">
        <f>IF(B153&lt;$D$24,(+CALCULETTE!T732/CALCULETTE!$B$612),0)</f>
        <v/>
      </c>
      <c r="E153" s="279">
        <f>IF(E$1=0,"",IF($B153&lt;E$23,E152+PPMT(E$25/12,$B153,E$23,E$53,-E$27,0),IF($B153=E$23,E152+PPMT(E$25/12,$B153,E$23,E$53,-E$27,0)-E$27,0)))</f>
        <v/>
      </c>
      <c r="F153" s="279">
        <f>IF(F$1=0,"",IF($B153&lt;F$23,F152+PPMT(F$25/12,$B153,F$23,F$53,-F$27,0),IF($B153=F$23,F152+PPMT(F$25/12,$B153,F$23,F$53,-F$27,0)-F$27,0)))</f>
        <v/>
      </c>
      <c r="G153" s="279">
        <f>IF(G$1=0,"",IF($B153&lt;G$23,G152+PPMT(G$25/12,$B153,G$23,G$53,-G$27,0),IF($B153=G$23,G152+PPMT(G$25/12,$B153,G$23,G$53,-G$27,0)-G$27,0)))</f>
        <v/>
      </c>
      <c r="H153" s="279">
        <f>IF(H$1=0,"",IF($B153&lt;H$23,H152+PPMT(H$25/12,$B153,H$23,H$53,-H$27,0),IF($B153=H$23,H152+PPMT(H$25/12,$B153,H$23,H$53,-H$27,0)-H$27,0)))</f>
        <v/>
      </c>
      <c r="I153" s="279">
        <f>IF(I$1=0,"",IF($B153&lt;I$23,I152+PPMT(I$25/12,$B153,I$23,I$53,-I$27,0),IF($B153=I$23,I152+PPMT(I$25/12,$B153,I$23,I$53,-I$27,0)-I$27,0)))</f>
        <v/>
      </c>
      <c r="J153" s="279">
        <f>IF(J$1=0,"",IF($B153&lt;J$23,J152+PPMT(J$25/12,$B153,J$23,J$53,-J$27,0),IF($B153=J$23,J152+PPMT(J$25/12,$B153,J$23,J$53,-J$27,0)-J$27,0)))</f>
        <v/>
      </c>
      <c r="K153" s="279">
        <f>IF(K$1=0,"",IF($B153&lt;K$23,K152+PPMT(K$25/12,$B153,K$23,K$53,-K$27,0),IF($B153=K$23,K152+PPMT(K$25/12,$B153,K$23,K$53,-K$27,0)-K$27,0)))</f>
        <v/>
      </c>
      <c r="L153" s="279">
        <f>IF(L$1=0,"",IF($B153&lt;L$23,L152+PPMT(L$25/12,$B153,L$23,L$53,-L$27,0),IF($B153=L$23,L152+PPMT(L$25/12,$B153,L$23,L$53,-L$27,0)-L$27,0)))</f>
        <v/>
      </c>
      <c r="M153" s="279">
        <f>IF(M$1=0,"",IF($B153&lt;M$23,M152+PPMT(M$25/12,$B153,M$23,M$53,-M$27,0),IF($B153=M$23,M152+PPMT(M$25/12,$B153,M$23,M$53,-M$27,0)-M$27,0)))</f>
        <v/>
      </c>
      <c r="N153" s="280" t="n"/>
      <c r="O153" s="281" t="n"/>
    </row>
    <row r="154" hidden="1" outlineLevel="1">
      <c r="B154" s="2">
        <f>B153+1</f>
        <v/>
      </c>
      <c r="D154" s="279">
        <f>IF(B154&lt;$D$24,(+CALCULETTE!T733/CALCULETTE!$B$612),0)</f>
        <v/>
      </c>
      <c r="E154" s="279">
        <f>IF(E$1=0,"",IF($B154&lt;E$23,E153+PPMT(E$25/12,$B154,E$23,E$53,-E$27,0),IF($B154=E$23,E153+PPMT(E$25/12,$B154,E$23,E$53,-E$27,0)-E$27,0)))</f>
        <v/>
      </c>
      <c r="F154" s="279">
        <f>IF(F$1=0,"",IF($B154&lt;F$23,F153+PPMT(F$25/12,$B154,F$23,F$53,-F$27,0),IF($B154=F$23,F153+PPMT(F$25/12,$B154,F$23,F$53,-F$27,0)-F$27,0)))</f>
        <v/>
      </c>
      <c r="G154" s="279">
        <f>IF(G$1=0,"",IF($B154&lt;G$23,G153+PPMT(G$25/12,$B154,G$23,G$53,-G$27,0),IF($B154=G$23,G153+PPMT(G$25/12,$B154,G$23,G$53,-G$27,0)-G$27,0)))</f>
        <v/>
      </c>
      <c r="H154" s="279">
        <f>IF(H$1=0,"",IF($B154&lt;H$23,H153+PPMT(H$25/12,$B154,H$23,H$53,-H$27,0),IF($B154=H$23,H153+PPMT(H$25/12,$B154,H$23,H$53,-H$27,0)-H$27,0)))</f>
        <v/>
      </c>
      <c r="I154" s="279">
        <f>IF(I$1=0,"",IF($B154&lt;I$23,I153+PPMT(I$25/12,$B154,I$23,I$53,-I$27,0),IF($B154=I$23,I153+PPMT(I$25/12,$B154,I$23,I$53,-I$27,0)-I$27,0)))</f>
        <v/>
      </c>
      <c r="J154" s="279">
        <f>IF(J$1=0,"",IF($B154&lt;J$23,J153+PPMT(J$25/12,$B154,J$23,J$53,-J$27,0),IF($B154=J$23,J153+PPMT(J$25/12,$B154,J$23,J$53,-J$27,0)-J$27,0)))</f>
        <v/>
      </c>
      <c r="K154" s="279">
        <f>IF(K$1=0,"",IF($B154&lt;K$23,K153+PPMT(K$25/12,$B154,K$23,K$53,-K$27,0),IF($B154=K$23,K153+PPMT(K$25/12,$B154,K$23,K$53,-K$27,0)-K$27,0)))</f>
        <v/>
      </c>
      <c r="L154" s="279">
        <f>IF(L$1=0,"",IF($B154&lt;L$23,L153+PPMT(L$25/12,$B154,L$23,L$53,-L$27,0),IF($B154=L$23,L153+PPMT(L$25/12,$B154,L$23,L$53,-L$27,0)-L$27,0)))</f>
        <v/>
      </c>
      <c r="M154" s="279">
        <f>IF(M$1=0,"",IF($B154&lt;M$23,M153+PPMT(M$25/12,$B154,M$23,M$53,-M$27,0),IF($B154=M$23,M153+PPMT(M$25/12,$B154,M$23,M$53,-M$27,0)-M$27,0)))</f>
        <v/>
      </c>
      <c r="N154" s="280" t="n"/>
      <c r="O154" s="281" t="n"/>
    </row>
    <row r="155" hidden="1" outlineLevel="1">
      <c r="B155" s="2">
        <f>B154+1</f>
        <v/>
      </c>
      <c r="D155" s="279">
        <f>IF(B155&lt;$D$24,(+CALCULETTE!T734/CALCULETTE!$B$612),0)</f>
        <v/>
      </c>
      <c r="E155" s="279">
        <f>IF(E$1=0,"",IF($B155&lt;E$23,E154+PPMT(E$25/12,$B155,E$23,E$53,-E$27,0),IF($B155=E$23,E154+PPMT(E$25/12,$B155,E$23,E$53,-E$27,0)-E$27,0)))</f>
        <v/>
      </c>
      <c r="F155" s="279">
        <f>IF(F$1=0,"",IF($B155&lt;F$23,F154+PPMT(F$25/12,$B155,F$23,F$53,-F$27,0),IF($B155=F$23,F154+PPMT(F$25/12,$B155,F$23,F$53,-F$27,0)-F$27,0)))</f>
        <v/>
      </c>
      <c r="G155" s="279">
        <f>IF(G$1=0,"",IF($B155&lt;G$23,G154+PPMT(G$25/12,$B155,G$23,G$53,-G$27,0),IF($B155=G$23,G154+PPMT(G$25/12,$B155,G$23,G$53,-G$27,0)-G$27,0)))</f>
        <v/>
      </c>
      <c r="H155" s="279">
        <f>IF(H$1=0,"",IF($B155&lt;H$23,H154+PPMT(H$25/12,$B155,H$23,H$53,-H$27,0),IF($B155=H$23,H154+PPMT(H$25/12,$B155,H$23,H$53,-H$27,0)-H$27,0)))</f>
        <v/>
      </c>
      <c r="I155" s="279">
        <f>IF(I$1=0,"",IF($B155&lt;I$23,I154+PPMT(I$25/12,$B155,I$23,I$53,-I$27,0),IF($B155=I$23,I154+PPMT(I$25/12,$B155,I$23,I$53,-I$27,0)-I$27,0)))</f>
        <v/>
      </c>
      <c r="J155" s="279">
        <f>IF(J$1=0,"",IF($B155&lt;J$23,J154+PPMT(J$25/12,$B155,J$23,J$53,-J$27,0),IF($B155=J$23,J154+PPMT(J$25/12,$B155,J$23,J$53,-J$27,0)-J$27,0)))</f>
        <v/>
      </c>
      <c r="K155" s="279">
        <f>IF(K$1=0,"",IF($B155&lt;K$23,K154+PPMT(K$25/12,$B155,K$23,K$53,-K$27,0),IF($B155=K$23,K154+PPMT(K$25/12,$B155,K$23,K$53,-K$27,0)-K$27,0)))</f>
        <v/>
      </c>
      <c r="L155" s="279">
        <f>IF(L$1=0,"",IF($B155&lt;L$23,L154+PPMT(L$25/12,$B155,L$23,L$53,-L$27,0),IF($B155=L$23,L154+PPMT(L$25/12,$B155,L$23,L$53,-L$27,0)-L$27,0)))</f>
        <v/>
      </c>
      <c r="M155" s="279">
        <f>IF(M$1=0,"",IF($B155&lt;M$23,M154+PPMT(M$25/12,$B155,M$23,M$53,-M$27,0),IF($B155=M$23,M154+PPMT(M$25/12,$B155,M$23,M$53,-M$27,0)-M$27,0)))</f>
        <v/>
      </c>
      <c r="N155" s="280" t="n"/>
      <c r="O155" s="281" t="n"/>
    </row>
    <row r="156" hidden="1" outlineLevel="1">
      <c r="B156" s="2">
        <f>B155+1</f>
        <v/>
      </c>
      <c r="D156" s="279">
        <f>IF(B156&lt;$D$24,(+CALCULETTE!T735/CALCULETTE!$B$612),0)</f>
        <v/>
      </c>
      <c r="E156" s="279">
        <f>IF(E$1=0,"",IF($B156&lt;E$23,E155+PPMT(E$25/12,$B156,E$23,E$53,-E$27,0),IF($B156=E$23,E155+PPMT(E$25/12,$B156,E$23,E$53,-E$27,0)-E$27,0)))</f>
        <v/>
      </c>
      <c r="F156" s="279">
        <f>IF(F$1=0,"",IF($B156&lt;F$23,F155+PPMT(F$25/12,$B156,F$23,F$53,-F$27,0),IF($B156=F$23,F155+PPMT(F$25/12,$B156,F$23,F$53,-F$27,0)-F$27,0)))</f>
        <v/>
      </c>
      <c r="G156" s="279">
        <f>IF(G$1=0,"",IF($B156&lt;G$23,G155+PPMT(G$25/12,$B156,G$23,G$53,-G$27,0),IF($B156=G$23,G155+PPMT(G$25/12,$B156,G$23,G$53,-G$27,0)-G$27,0)))</f>
        <v/>
      </c>
      <c r="H156" s="279">
        <f>IF(H$1=0,"",IF($B156&lt;H$23,H155+PPMT(H$25/12,$B156,H$23,H$53,-H$27,0),IF($B156=H$23,H155+PPMT(H$25/12,$B156,H$23,H$53,-H$27,0)-H$27,0)))</f>
        <v/>
      </c>
      <c r="I156" s="279">
        <f>IF(I$1=0,"",IF($B156&lt;I$23,I155+PPMT(I$25/12,$B156,I$23,I$53,-I$27,0),IF($B156=I$23,I155+PPMT(I$25/12,$B156,I$23,I$53,-I$27,0)-I$27,0)))</f>
        <v/>
      </c>
      <c r="J156" s="279">
        <f>IF(J$1=0,"",IF($B156&lt;J$23,J155+PPMT(J$25/12,$B156,J$23,J$53,-J$27,0),IF($B156=J$23,J155+PPMT(J$25/12,$B156,J$23,J$53,-J$27,0)-J$27,0)))</f>
        <v/>
      </c>
      <c r="K156" s="279">
        <f>IF(K$1=0,"",IF($B156&lt;K$23,K155+PPMT(K$25/12,$B156,K$23,K$53,-K$27,0),IF($B156=K$23,K155+PPMT(K$25/12,$B156,K$23,K$53,-K$27,0)-K$27,0)))</f>
        <v/>
      </c>
      <c r="L156" s="279">
        <f>IF(L$1=0,"",IF($B156&lt;L$23,L155+PPMT(L$25/12,$B156,L$23,L$53,-L$27,0),IF($B156=L$23,L155+PPMT(L$25/12,$B156,L$23,L$53,-L$27,0)-L$27,0)))</f>
        <v/>
      </c>
      <c r="M156" s="279">
        <f>IF(M$1=0,"",IF($B156&lt;M$23,M155+PPMT(M$25/12,$B156,M$23,M$53,-M$27,0),IF($B156=M$23,M155+PPMT(M$25/12,$B156,M$23,M$53,-M$27,0)-M$27,0)))</f>
        <v/>
      </c>
      <c r="N156" s="280" t="n"/>
      <c r="O156" s="281" t="n"/>
    </row>
    <row r="157" hidden="1" outlineLevel="1">
      <c r="B157" s="2">
        <f>B156+1</f>
        <v/>
      </c>
      <c r="D157" s="279">
        <f>IF(B157&lt;$D$24,(+CALCULETTE!T736/CALCULETTE!$B$612),0)</f>
        <v/>
      </c>
      <c r="E157" s="279">
        <f>IF(E$1=0,"",IF($B157&lt;E$23,E156+PPMT(E$25/12,$B157,E$23,E$53,-E$27,0),IF($B157=E$23,E156+PPMT(E$25/12,$B157,E$23,E$53,-E$27,0)-E$27,0)))</f>
        <v/>
      </c>
      <c r="F157" s="279">
        <f>IF(F$1=0,"",IF($B157&lt;F$23,F156+PPMT(F$25/12,$B157,F$23,F$53,-F$27,0),IF($B157=F$23,F156+PPMT(F$25/12,$B157,F$23,F$53,-F$27,0)-F$27,0)))</f>
        <v/>
      </c>
      <c r="G157" s="279">
        <f>IF(G$1=0,"",IF($B157&lt;G$23,G156+PPMT(G$25/12,$B157,G$23,G$53,-G$27,0),IF($B157=G$23,G156+PPMT(G$25/12,$B157,G$23,G$53,-G$27,0)-G$27,0)))</f>
        <v/>
      </c>
      <c r="H157" s="279">
        <f>IF(H$1=0,"",IF($B157&lt;H$23,H156+PPMT(H$25/12,$B157,H$23,H$53,-H$27,0),IF($B157=H$23,H156+PPMT(H$25/12,$B157,H$23,H$53,-H$27,0)-H$27,0)))</f>
        <v/>
      </c>
      <c r="I157" s="279">
        <f>IF(I$1=0,"",IF($B157&lt;I$23,I156+PPMT(I$25/12,$B157,I$23,I$53,-I$27,0),IF($B157=I$23,I156+PPMT(I$25/12,$B157,I$23,I$53,-I$27,0)-I$27,0)))</f>
        <v/>
      </c>
      <c r="J157" s="279">
        <f>IF(J$1=0,"",IF($B157&lt;J$23,J156+PPMT(J$25/12,$B157,J$23,J$53,-J$27,0),IF($B157=J$23,J156+PPMT(J$25/12,$B157,J$23,J$53,-J$27,0)-J$27,0)))</f>
        <v/>
      </c>
      <c r="K157" s="279">
        <f>IF(K$1=0,"",IF($B157&lt;K$23,K156+PPMT(K$25/12,$B157,K$23,K$53,-K$27,0),IF($B157=K$23,K156+PPMT(K$25/12,$B157,K$23,K$53,-K$27,0)-K$27,0)))</f>
        <v/>
      </c>
      <c r="L157" s="279">
        <f>IF(L$1=0,"",IF($B157&lt;L$23,L156+PPMT(L$25/12,$B157,L$23,L$53,-L$27,0),IF($B157=L$23,L156+PPMT(L$25/12,$B157,L$23,L$53,-L$27,0)-L$27,0)))</f>
        <v/>
      </c>
      <c r="M157" s="279">
        <f>IF(M$1=0,"",IF($B157&lt;M$23,M156+PPMT(M$25/12,$B157,M$23,M$53,-M$27,0),IF($B157=M$23,M156+PPMT(M$25/12,$B157,M$23,M$53,-M$27,0)-M$27,0)))</f>
        <v/>
      </c>
      <c r="N157" s="280" t="n"/>
      <c r="O157" s="281" t="n"/>
    </row>
    <row r="158" hidden="1" outlineLevel="1">
      <c r="B158" s="2">
        <f>B157+1</f>
        <v/>
      </c>
      <c r="D158" s="279">
        <f>IF(B158&lt;$D$24,(+CALCULETTE!T737/CALCULETTE!$B$612),0)</f>
        <v/>
      </c>
      <c r="E158" s="279">
        <f>IF(E$1=0,"",IF($B158&lt;E$23,E157+PPMT(E$25/12,$B158,E$23,E$53,-E$27,0),IF($B158=E$23,E157+PPMT(E$25/12,$B158,E$23,E$53,-E$27,0)-E$27,0)))</f>
        <v/>
      </c>
      <c r="F158" s="279">
        <f>IF(F$1=0,"",IF($B158&lt;F$23,F157+PPMT(F$25/12,$B158,F$23,F$53,-F$27,0),IF($B158=F$23,F157+PPMT(F$25/12,$B158,F$23,F$53,-F$27,0)-F$27,0)))</f>
        <v/>
      </c>
      <c r="G158" s="279">
        <f>IF(G$1=0,"",IF($B158&lt;G$23,G157+PPMT(G$25/12,$B158,G$23,G$53,-G$27,0),IF($B158=G$23,G157+PPMT(G$25/12,$B158,G$23,G$53,-G$27,0)-G$27,0)))</f>
        <v/>
      </c>
      <c r="H158" s="279">
        <f>IF(H$1=0,"",IF($B158&lt;H$23,H157+PPMT(H$25/12,$B158,H$23,H$53,-H$27,0),IF($B158=H$23,H157+PPMT(H$25/12,$B158,H$23,H$53,-H$27,0)-H$27,0)))</f>
        <v/>
      </c>
      <c r="I158" s="279">
        <f>IF(I$1=0,"",IF($B158&lt;I$23,I157+PPMT(I$25/12,$B158,I$23,I$53,-I$27,0),IF($B158=I$23,I157+PPMT(I$25/12,$B158,I$23,I$53,-I$27,0)-I$27,0)))</f>
        <v/>
      </c>
      <c r="J158" s="279">
        <f>IF(J$1=0,"",IF($B158&lt;J$23,J157+PPMT(J$25/12,$B158,J$23,J$53,-J$27,0),IF($B158=J$23,J157+PPMT(J$25/12,$B158,J$23,J$53,-J$27,0)-J$27,0)))</f>
        <v/>
      </c>
      <c r="K158" s="279">
        <f>IF(K$1=0,"",IF($B158&lt;K$23,K157+PPMT(K$25/12,$B158,K$23,K$53,-K$27,0),IF($B158=K$23,K157+PPMT(K$25/12,$B158,K$23,K$53,-K$27,0)-K$27,0)))</f>
        <v/>
      </c>
      <c r="L158" s="279">
        <f>IF(L$1=0,"",IF($B158&lt;L$23,L157+PPMT(L$25/12,$B158,L$23,L$53,-L$27,0),IF($B158=L$23,L157+PPMT(L$25/12,$B158,L$23,L$53,-L$27,0)-L$27,0)))</f>
        <v/>
      </c>
      <c r="M158" s="279">
        <f>IF(M$1=0,"",IF($B158&lt;M$23,M157+PPMT(M$25/12,$B158,M$23,M$53,-M$27,0),IF($B158=M$23,M157+PPMT(M$25/12,$B158,M$23,M$53,-M$27,0)-M$27,0)))</f>
        <v/>
      </c>
      <c r="N158" s="280" t="n"/>
      <c r="O158" s="281" t="n"/>
    </row>
    <row r="159" hidden="1" outlineLevel="1">
      <c r="B159" s="2">
        <f>B158+1</f>
        <v/>
      </c>
      <c r="D159" s="279">
        <f>IF(B159&lt;$D$24,(+CALCULETTE!T738/CALCULETTE!$B$612),0)</f>
        <v/>
      </c>
      <c r="E159" s="279">
        <f>IF(E$1=0,"",IF($B159&lt;E$23,E158+PPMT(E$25/12,$B159,E$23,E$53,-E$27,0),IF($B159=E$23,E158+PPMT(E$25/12,$B159,E$23,E$53,-E$27,0)-E$27,0)))</f>
        <v/>
      </c>
      <c r="F159" s="279">
        <f>IF(F$1=0,"",IF($B159&lt;F$23,F158+PPMT(F$25/12,$B159,F$23,F$53,-F$27,0),IF($B159=F$23,F158+PPMT(F$25/12,$B159,F$23,F$53,-F$27,0)-F$27,0)))</f>
        <v/>
      </c>
      <c r="G159" s="279">
        <f>IF(G$1=0,"",IF($B159&lt;G$23,G158+PPMT(G$25/12,$B159,G$23,G$53,-G$27,0),IF($B159=G$23,G158+PPMT(G$25/12,$B159,G$23,G$53,-G$27,0)-G$27,0)))</f>
        <v/>
      </c>
      <c r="H159" s="279">
        <f>IF(H$1=0,"",IF($B159&lt;H$23,H158+PPMT(H$25/12,$B159,H$23,H$53,-H$27,0),IF($B159=H$23,H158+PPMT(H$25/12,$B159,H$23,H$53,-H$27,0)-H$27,0)))</f>
        <v/>
      </c>
      <c r="I159" s="279">
        <f>IF(I$1=0,"",IF($B159&lt;I$23,I158+PPMT(I$25/12,$B159,I$23,I$53,-I$27,0),IF($B159=I$23,I158+PPMT(I$25/12,$B159,I$23,I$53,-I$27,0)-I$27,0)))</f>
        <v/>
      </c>
      <c r="J159" s="279">
        <f>IF(J$1=0,"",IF($B159&lt;J$23,J158+PPMT(J$25/12,$B159,J$23,J$53,-J$27,0),IF($B159=J$23,J158+PPMT(J$25/12,$B159,J$23,J$53,-J$27,0)-J$27,0)))</f>
        <v/>
      </c>
      <c r="K159" s="279">
        <f>IF(K$1=0,"",IF($B159&lt;K$23,K158+PPMT(K$25/12,$B159,K$23,K$53,-K$27,0),IF($B159=K$23,K158+PPMT(K$25/12,$B159,K$23,K$53,-K$27,0)-K$27,0)))</f>
        <v/>
      </c>
      <c r="L159" s="279">
        <f>IF(L$1=0,"",IF($B159&lt;L$23,L158+PPMT(L$25/12,$B159,L$23,L$53,-L$27,0),IF($B159=L$23,L158+PPMT(L$25/12,$B159,L$23,L$53,-L$27,0)-L$27,0)))</f>
        <v/>
      </c>
      <c r="M159" s="279">
        <f>IF(M$1=0,"",IF($B159&lt;M$23,M158+PPMT(M$25/12,$B159,M$23,M$53,-M$27,0),IF($B159=M$23,M158+PPMT(M$25/12,$B159,M$23,M$53,-M$27,0)-M$27,0)))</f>
        <v/>
      </c>
      <c r="N159" s="280" t="n"/>
      <c r="O159" s="281" t="n"/>
    </row>
    <row r="160" hidden="1" outlineLevel="1">
      <c r="B160" s="2">
        <f>B159+1</f>
        <v/>
      </c>
      <c r="D160" s="279">
        <f>IF(B160&lt;$D$24,(+CALCULETTE!T739/CALCULETTE!$B$612),0)</f>
        <v/>
      </c>
      <c r="E160" s="279">
        <f>IF(E$1=0,"",IF($B160&lt;E$23,E159+PPMT(E$25/12,$B160,E$23,E$53,-E$27,0),IF($B160=E$23,E159+PPMT(E$25/12,$B160,E$23,E$53,-E$27,0)-E$27,0)))</f>
        <v/>
      </c>
      <c r="F160" s="279">
        <f>IF(F$1=0,"",IF($B160&lt;F$23,F159+PPMT(F$25/12,$B160,F$23,F$53,-F$27,0),IF($B160=F$23,F159+PPMT(F$25/12,$B160,F$23,F$53,-F$27,0)-F$27,0)))</f>
        <v/>
      </c>
      <c r="G160" s="279">
        <f>IF(G$1=0,"",IF($B160&lt;G$23,G159+PPMT(G$25/12,$B160,G$23,G$53,-G$27,0),IF($B160=G$23,G159+PPMT(G$25/12,$B160,G$23,G$53,-G$27,0)-G$27,0)))</f>
        <v/>
      </c>
      <c r="H160" s="279">
        <f>IF(H$1=0,"",IF($B160&lt;H$23,H159+PPMT(H$25/12,$B160,H$23,H$53,-H$27,0),IF($B160=H$23,H159+PPMT(H$25/12,$B160,H$23,H$53,-H$27,0)-H$27,0)))</f>
        <v/>
      </c>
      <c r="I160" s="279">
        <f>IF(I$1=0,"",IF($B160&lt;I$23,I159+PPMT(I$25/12,$B160,I$23,I$53,-I$27,0),IF($B160=I$23,I159+PPMT(I$25/12,$B160,I$23,I$53,-I$27,0)-I$27,0)))</f>
        <v/>
      </c>
      <c r="J160" s="279">
        <f>IF(J$1=0,"",IF($B160&lt;J$23,J159+PPMT(J$25/12,$B160,J$23,J$53,-J$27,0),IF($B160=J$23,J159+PPMT(J$25/12,$B160,J$23,J$53,-J$27,0)-J$27,0)))</f>
        <v/>
      </c>
      <c r="K160" s="279">
        <f>IF(K$1=0,"",IF($B160&lt;K$23,K159+PPMT(K$25/12,$B160,K$23,K$53,-K$27,0),IF($B160=K$23,K159+PPMT(K$25/12,$B160,K$23,K$53,-K$27,0)-K$27,0)))</f>
        <v/>
      </c>
      <c r="L160" s="279">
        <f>IF(L$1=0,"",IF($B160&lt;L$23,L159+PPMT(L$25/12,$B160,L$23,L$53,-L$27,0),IF($B160=L$23,L159+PPMT(L$25/12,$B160,L$23,L$53,-L$27,0)-L$27,0)))</f>
        <v/>
      </c>
      <c r="M160" s="279">
        <f>IF(M$1=0,"",IF($B160&lt;M$23,M159+PPMT(M$25/12,$B160,M$23,M$53,-M$27,0),IF($B160=M$23,M159+PPMT(M$25/12,$B160,M$23,M$53,-M$27,0)-M$27,0)))</f>
        <v/>
      </c>
      <c r="N160" s="280" t="n"/>
      <c r="O160" s="281" t="n"/>
    </row>
    <row r="161" hidden="1" outlineLevel="1">
      <c r="B161" s="2">
        <f>B160+1</f>
        <v/>
      </c>
      <c r="D161" s="279">
        <f>IF(B161&lt;$D$24,(+CALCULETTE!T740/CALCULETTE!$B$612),0)</f>
        <v/>
      </c>
      <c r="E161" s="279">
        <f>IF(E$1=0,"",IF($B161&lt;E$23,E160+PPMT(E$25/12,$B161,E$23,E$53,-E$27,0),IF($B161=E$23,E160+PPMT(E$25/12,$B161,E$23,E$53,-E$27,0)-E$27,0)))</f>
        <v/>
      </c>
      <c r="F161" s="279">
        <f>IF(F$1=0,"",IF($B161&lt;F$23,F160+PPMT(F$25/12,$B161,F$23,F$53,-F$27,0),IF($B161=F$23,F160+PPMT(F$25/12,$B161,F$23,F$53,-F$27,0)-F$27,0)))</f>
        <v/>
      </c>
      <c r="G161" s="279">
        <f>IF(G$1=0,"",IF($B161&lt;G$23,G160+PPMT(G$25/12,$B161,G$23,G$53,-G$27,0),IF($B161=G$23,G160+PPMT(G$25/12,$B161,G$23,G$53,-G$27,0)-G$27,0)))</f>
        <v/>
      </c>
      <c r="H161" s="279">
        <f>IF(H$1=0,"",IF($B161&lt;H$23,H160+PPMT(H$25/12,$B161,H$23,H$53,-H$27,0),IF($B161=H$23,H160+PPMT(H$25/12,$B161,H$23,H$53,-H$27,0)-H$27,0)))</f>
        <v/>
      </c>
      <c r="I161" s="279">
        <f>IF(I$1=0,"",IF($B161&lt;I$23,I160+PPMT(I$25/12,$B161,I$23,I$53,-I$27,0),IF($B161=I$23,I160+PPMT(I$25/12,$B161,I$23,I$53,-I$27,0)-I$27,0)))</f>
        <v/>
      </c>
      <c r="J161" s="279">
        <f>IF(J$1=0,"",IF($B161&lt;J$23,J160+PPMT(J$25/12,$B161,J$23,J$53,-J$27,0),IF($B161=J$23,J160+PPMT(J$25/12,$B161,J$23,J$53,-J$27,0)-J$27,0)))</f>
        <v/>
      </c>
      <c r="K161" s="279">
        <f>IF(K$1=0,"",IF($B161&lt;K$23,K160+PPMT(K$25/12,$B161,K$23,K$53,-K$27,0),IF($B161=K$23,K160+PPMT(K$25/12,$B161,K$23,K$53,-K$27,0)-K$27,0)))</f>
        <v/>
      </c>
      <c r="L161" s="279">
        <f>IF(L$1=0,"",IF($B161&lt;L$23,L160+PPMT(L$25/12,$B161,L$23,L$53,-L$27,0),IF($B161=L$23,L160+PPMT(L$25/12,$B161,L$23,L$53,-L$27,0)-L$27,0)))</f>
        <v/>
      </c>
      <c r="M161" s="279">
        <f>IF(M$1=0,"",IF($B161&lt;M$23,M160+PPMT(M$25/12,$B161,M$23,M$53,-M$27,0),IF($B161=M$23,M160+PPMT(M$25/12,$B161,M$23,M$53,-M$27,0)-M$27,0)))</f>
        <v/>
      </c>
      <c r="N161" s="280" t="n"/>
      <c r="O161" s="281" t="n"/>
    </row>
    <row r="162" hidden="1" outlineLevel="1">
      <c r="B162" s="2">
        <f>B161+1</f>
        <v/>
      </c>
      <c r="D162" s="279">
        <f>IF(B162&lt;$D$24,(+CALCULETTE!T741/CALCULETTE!$B$612),0)</f>
        <v/>
      </c>
      <c r="E162" s="279">
        <f>IF(E$1=0,"",IF($B162&lt;E$23,E161+PPMT(E$25/12,$B162,E$23,E$53,-E$27,0),IF($B162=E$23,E161+PPMT(E$25/12,$B162,E$23,E$53,-E$27,0)-E$27,0)))</f>
        <v/>
      </c>
      <c r="F162" s="279">
        <f>IF(F$1=0,"",IF($B162&lt;F$23,F161+PPMT(F$25/12,$B162,F$23,F$53,-F$27,0),IF($B162=F$23,F161+PPMT(F$25/12,$B162,F$23,F$53,-F$27,0)-F$27,0)))</f>
        <v/>
      </c>
      <c r="G162" s="279">
        <f>IF(G$1=0,"",IF($B162&lt;G$23,G161+PPMT(G$25/12,$B162,G$23,G$53,-G$27,0),IF($B162=G$23,G161+PPMT(G$25/12,$B162,G$23,G$53,-G$27,0)-G$27,0)))</f>
        <v/>
      </c>
      <c r="H162" s="279">
        <f>IF(H$1=0,"",IF($B162&lt;H$23,H161+PPMT(H$25/12,$B162,H$23,H$53,-H$27,0),IF($B162=H$23,H161+PPMT(H$25/12,$B162,H$23,H$53,-H$27,0)-H$27,0)))</f>
        <v/>
      </c>
      <c r="I162" s="279">
        <f>IF(I$1=0,"",IF($B162&lt;I$23,I161+PPMT(I$25/12,$B162,I$23,I$53,-I$27,0),IF($B162=I$23,I161+PPMT(I$25/12,$B162,I$23,I$53,-I$27,0)-I$27,0)))</f>
        <v/>
      </c>
      <c r="J162" s="279">
        <f>IF(J$1=0,"",IF($B162&lt;J$23,J161+PPMT(J$25/12,$B162,J$23,J$53,-J$27,0),IF($B162=J$23,J161+PPMT(J$25/12,$B162,J$23,J$53,-J$27,0)-J$27,0)))</f>
        <v/>
      </c>
      <c r="K162" s="279">
        <f>IF(K$1=0,"",IF($B162&lt;K$23,K161+PPMT(K$25/12,$B162,K$23,K$53,-K$27,0),IF($B162=K$23,K161+PPMT(K$25/12,$B162,K$23,K$53,-K$27,0)-K$27,0)))</f>
        <v/>
      </c>
      <c r="L162" s="279">
        <f>IF(L$1=0,"",IF($B162&lt;L$23,L161+PPMT(L$25/12,$B162,L$23,L$53,-L$27,0),IF($B162=L$23,L161+PPMT(L$25/12,$B162,L$23,L$53,-L$27,0)-L$27,0)))</f>
        <v/>
      </c>
      <c r="M162" s="279">
        <f>IF(M$1=0,"",IF($B162&lt;M$23,M161+PPMT(M$25/12,$B162,M$23,M$53,-M$27,0),IF($B162=M$23,M161+PPMT(M$25/12,$B162,M$23,M$53,-M$27,0)-M$27,0)))</f>
        <v/>
      </c>
      <c r="N162" s="280" t="n"/>
      <c r="O162" s="281" t="n"/>
    </row>
    <row r="163" hidden="1" outlineLevel="1">
      <c r="B163" s="2">
        <f>B162+1</f>
        <v/>
      </c>
      <c r="D163" s="279">
        <f>IF(B163&lt;$D$24,(+CALCULETTE!T742/CALCULETTE!$B$612),0)</f>
        <v/>
      </c>
      <c r="E163" s="279">
        <f>IF(E$1=0,"",IF($B163&lt;E$23,E162+PPMT(E$25/12,$B163,E$23,E$53,-E$27,0),IF($B163=E$23,E162+PPMT(E$25/12,$B163,E$23,E$53,-E$27,0)-E$27,0)))</f>
        <v/>
      </c>
      <c r="F163" s="279">
        <f>IF(F$1=0,"",IF($B163&lt;F$23,F162+PPMT(F$25/12,$B163,F$23,F$53,-F$27,0),IF($B163=F$23,F162+PPMT(F$25/12,$B163,F$23,F$53,-F$27,0)-F$27,0)))</f>
        <v/>
      </c>
      <c r="G163" s="279">
        <f>IF(G$1=0,"",IF($B163&lt;G$23,G162+PPMT(G$25/12,$B163,G$23,G$53,-G$27,0),IF($B163=G$23,G162+PPMT(G$25/12,$B163,G$23,G$53,-G$27,0)-G$27,0)))</f>
        <v/>
      </c>
      <c r="H163" s="279">
        <f>IF(H$1=0,"",IF($B163&lt;H$23,H162+PPMT(H$25/12,$B163,H$23,H$53,-H$27,0),IF($B163=H$23,H162+PPMT(H$25/12,$B163,H$23,H$53,-H$27,0)-H$27,0)))</f>
        <v/>
      </c>
      <c r="I163" s="279">
        <f>IF(I$1=0,"",IF($B163&lt;I$23,I162+PPMT(I$25/12,$B163,I$23,I$53,-I$27,0),IF($B163=I$23,I162+PPMT(I$25/12,$B163,I$23,I$53,-I$27,0)-I$27,0)))</f>
        <v/>
      </c>
      <c r="J163" s="279">
        <f>IF(J$1=0,"",IF($B163&lt;J$23,J162+PPMT(J$25/12,$B163,J$23,J$53,-J$27,0),IF($B163=J$23,J162+PPMT(J$25/12,$B163,J$23,J$53,-J$27,0)-J$27,0)))</f>
        <v/>
      </c>
      <c r="K163" s="279">
        <f>IF(K$1=0,"",IF($B163&lt;K$23,K162+PPMT(K$25/12,$B163,K$23,K$53,-K$27,0),IF($B163=K$23,K162+PPMT(K$25/12,$B163,K$23,K$53,-K$27,0)-K$27,0)))</f>
        <v/>
      </c>
      <c r="L163" s="279">
        <f>IF(L$1=0,"",IF($B163&lt;L$23,L162+PPMT(L$25/12,$B163,L$23,L$53,-L$27,0),IF($B163=L$23,L162+PPMT(L$25/12,$B163,L$23,L$53,-L$27,0)-L$27,0)))</f>
        <v/>
      </c>
      <c r="M163" s="279">
        <f>IF(M$1=0,"",IF($B163&lt;M$23,M162+PPMT(M$25/12,$B163,M$23,M$53,-M$27,0),IF($B163=M$23,M162+PPMT(M$25/12,$B163,M$23,M$53,-M$27,0)-M$27,0)))</f>
        <v/>
      </c>
      <c r="N163" s="280" t="n"/>
      <c r="O163" s="281" t="n"/>
    </row>
    <row r="164" hidden="1" outlineLevel="1">
      <c r="B164" s="2">
        <f>B163+1</f>
        <v/>
      </c>
      <c r="D164" s="279">
        <f>IF(B164&lt;$D$24,(+CALCULETTE!T743/CALCULETTE!$B$612),0)</f>
        <v/>
      </c>
      <c r="E164" s="279">
        <f>IF(E$1=0,"",IF($B164&lt;E$23,E163+PPMT(E$25/12,$B164,E$23,E$53,-E$27,0),IF($B164=E$23,E163+PPMT(E$25/12,$B164,E$23,E$53,-E$27,0)-E$27,0)))</f>
        <v/>
      </c>
      <c r="F164" s="279">
        <f>IF(F$1=0,"",IF($B164&lt;F$23,F163+PPMT(F$25/12,$B164,F$23,F$53,-F$27,0),IF($B164=F$23,F163+PPMT(F$25/12,$B164,F$23,F$53,-F$27,0)-F$27,0)))</f>
        <v/>
      </c>
      <c r="G164" s="279">
        <f>IF(G$1=0,"",IF($B164&lt;G$23,G163+PPMT(G$25/12,$B164,G$23,G$53,-G$27,0),IF($B164=G$23,G163+PPMT(G$25/12,$B164,G$23,G$53,-G$27,0)-G$27,0)))</f>
        <v/>
      </c>
      <c r="H164" s="279">
        <f>IF(H$1=0,"",IF($B164&lt;H$23,H163+PPMT(H$25/12,$B164,H$23,H$53,-H$27,0),IF($B164=H$23,H163+PPMT(H$25/12,$B164,H$23,H$53,-H$27,0)-H$27,0)))</f>
        <v/>
      </c>
      <c r="I164" s="279">
        <f>IF(I$1=0,"",IF($B164&lt;I$23,I163+PPMT(I$25/12,$B164,I$23,I$53,-I$27,0),IF($B164=I$23,I163+PPMT(I$25/12,$B164,I$23,I$53,-I$27,0)-I$27,0)))</f>
        <v/>
      </c>
      <c r="J164" s="279">
        <f>IF(J$1=0,"",IF($B164&lt;J$23,J163+PPMT(J$25/12,$B164,J$23,J$53,-J$27,0),IF($B164=J$23,J163+PPMT(J$25/12,$B164,J$23,J$53,-J$27,0)-J$27,0)))</f>
        <v/>
      </c>
      <c r="K164" s="279">
        <f>IF(K$1=0,"",IF($B164&lt;K$23,K163+PPMT(K$25/12,$B164,K$23,K$53,-K$27,0),IF($B164=K$23,K163+PPMT(K$25/12,$B164,K$23,K$53,-K$27,0)-K$27,0)))</f>
        <v/>
      </c>
      <c r="L164" s="279">
        <f>IF(L$1=0,"",IF($B164&lt;L$23,L163+PPMT(L$25/12,$B164,L$23,L$53,-L$27,0),IF($B164=L$23,L163+PPMT(L$25/12,$B164,L$23,L$53,-L$27,0)-L$27,0)))</f>
        <v/>
      </c>
      <c r="M164" s="279">
        <f>IF(M$1=0,"",IF($B164&lt;M$23,M163+PPMT(M$25/12,$B164,M$23,M$53,-M$27,0),IF($B164=M$23,M163+PPMT(M$25/12,$B164,M$23,M$53,-M$27,0)-M$27,0)))</f>
        <v/>
      </c>
      <c r="N164" s="280" t="n"/>
      <c r="O164" s="281" t="n"/>
    </row>
    <row r="165" hidden="1" outlineLevel="1">
      <c r="B165" s="2">
        <f>B164+1</f>
        <v/>
      </c>
      <c r="D165" s="279">
        <f>IF(B165&lt;$D$24,(+CALCULETTE!T744/CALCULETTE!$B$612),0)</f>
        <v/>
      </c>
      <c r="E165" s="279">
        <f>IF(E$1=0,"",IF($B165&lt;E$23,E164+PPMT(E$25/12,$B165,E$23,E$53,-E$27,0),IF($B165=E$23,E164+PPMT(E$25/12,$B165,E$23,E$53,-E$27,0)-E$27,0)))</f>
        <v/>
      </c>
      <c r="F165" s="279">
        <f>IF(F$1=0,"",IF($B165&lt;F$23,F164+PPMT(F$25/12,$B165,F$23,F$53,-F$27,0),IF($B165=F$23,F164+PPMT(F$25/12,$B165,F$23,F$53,-F$27,0)-F$27,0)))</f>
        <v/>
      </c>
      <c r="G165" s="279">
        <f>IF(G$1=0,"",IF($B165&lt;G$23,G164+PPMT(G$25/12,$B165,G$23,G$53,-G$27,0),IF($B165=G$23,G164+PPMT(G$25/12,$B165,G$23,G$53,-G$27,0)-G$27,0)))</f>
        <v/>
      </c>
      <c r="H165" s="279">
        <f>IF(H$1=0,"",IF($B165&lt;H$23,H164+PPMT(H$25/12,$B165,H$23,H$53,-H$27,0),IF($B165=H$23,H164+PPMT(H$25/12,$B165,H$23,H$53,-H$27,0)-H$27,0)))</f>
        <v/>
      </c>
      <c r="I165" s="279">
        <f>IF(I$1=0,"",IF($B165&lt;I$23,I164+PPMT(I$25/12,$B165,I$23,I$53,-I$27,0),IF($B165=I$23,I164+PPMT(I$25/12,$B165,I$23,I$53,-I$27,0)-I$27,0)))</f>
        <v/>
      </c>
      <c r="J165" s="279">
        <f>IF(J$1=0,"",IF($B165&lt;J$23,J164+PPMT(J$25/12,$B165,J$23,J$53,-J$27,0),IF($B165=J$23,J164+PPMT(J$25/12,$B165,J$23,J$53,-J$27,0)-J$27,0)))</f>
        <v/>
      </c>
      <c r="K165" s="279">
        <f>IF(K$1=0,"",IF($B165&lt;K$23,K164+PPMT(K$25/12,$B165,K$23,K$53,-K$27,0),IF($B165=K$23,K164+PPMT(K$25/12,$B165,K$23,K$53,-K$27,0)-K$27,0)))</f>
        <v/>
      </c>
      <c r="L165" s="279">
        <f>IF(L$1=0,"",IF($B165&lt;L$23,L164+PPMT(L$25/12,$B165,L$23,L$53,-L$27,0),IF($B165=L$23,L164+PPMT(L$25/12,$B165,L$23,L$53,-L$27,0)-L$27,0)))</f>
        <v/>
      </c>
      <c r="M165" s="279">
        <f>IF(M$1=0,"",IF($B165&lt;M$23,M164+PPMT(M$25/12,$B165,M$23,M$53,-M$27,0),IF($B165=M$23,M164+PPMT(M$25/12,$B165,M$23,M$53,-M$27,0)-M$27,0)))</f>
        <v/>
      </c>
      <c r="N165" s="280" t="n"/>
      <c r="O165" s="281" t="n"/>
    </row>
    <row r="166" hidden="1" outlineLevel="1">
      <c r="B166" s="2">
        <f>B165+1</f>
        <v/>
      </c>
      <c r="D166" s="279">
        <f>IF(B166&lt;$D$24,(+CALCULETTE!T745/CALCULETTE!$B$612),0)</f>
        <v/>
      </c>
      <c r="E166" s="279">
        <f>IF(E$1=0,"",IF($B166&lt;E$23,E165+PPMT(E$25/12,$B166,E$23,E$53,-E$27,0),IF($B166=E$23,E165+PPMT(E$25/12,$B166,E$23,E$53,-E$27,0)-E$27,0)))</f>
        <v/>
      </c>
      <c r="F166" s="279">
        <f>IF(F$1=0,"",IF($B166&lt;F$23,F165+PPMT(F$25/12,$B166,F$23,F$53,-F$27,0),IF($B166=F$23,F165+PPMT(F$25/12,$B166,F$23,F$53,-F$27,0)-F$27,0)))</f>
        <v/>
      </c>
      <c r="G166" s="279">
        <f>IF(G$1=0,"",IF($B166&lt;G$23,G165+PPMT(G$25/12,$B166,G$23,G$53,-G$27,0),IF($B166=G$23,G165+PPMT(G$25/12,$B166,G$23,G$53,-G$27,0)-G$27,0)))</f>
        <v/>
      </c>
      <c r="H166" s="279">
        <f>IF(H$1=0,"",IF($B166&lt;H$23,H165+PPMT(H$25/12,$B166,H$23,H$53,-H$27,0),IF($B166=H$23,H165+PPMT(H$25/12,$B166,H$23,H$53,-H$27,0)-H$27,0)))</f>
        <v/>
      </c>
      <c r="I166" s="279">
        <f>IF(I$1=0,"",IF($B166&lt;I$23,I165+PPMT(I$25/12,$B166,I$23,I$53,-I$27,0),IF($B166=I$23,I165+PPMT(I$25/12,$B166,I$23,I$53,-I$27,0)-I$27,0)))</f>
        <v/>
      </c>
      <c r="J166" s="279">
        <f>IF(J$1=0,"",IF($B166&lt;J$23,J165+PPMT(J$25/12,$B166,J$23,J$53,-J$27,0),IF($B166=J$23,J165+PPMT(J$25/12,$B166,J$23,J$53,-J$27,0)-J$27,0)))</f>
        <v/>
      </c>
      <c r="K166" s="279">
        <f>IF(K$1=0,"",IF($B166&lt;K$23,K165+PPMT(K$25/12,$B166,K$23,K$53,-K$27,0),IF($B166=K$23,K165+PPMT(K$25/12,$B166,K$23,K$53,-K$27,0)-K$27,0)))</f>
        <v/>
      </c>
      <c r="L166" s="279">
        <f>IF(L$1=0,"",IF($B166&lt;L$23,L165+PPMT(L$25/12,$B166,L$23,L$53,-L$27,0),IF($B166=L$23,L165+PPMT(L$25/12,$B166,L$23,L$53,-L$27,0)-L$27,0)))</f>
        <v/>
      </c>
      <c r="M166" s="279">
        <f>IF(M$1=0,"",IF($B166&lt;M$23,M165+PPMT(M$25/12,$B166,M$23,M$53,-M$27,0),IF($B166=M$23,M165+PPMT(M$25/12,$B166,M$23,M$53,-M$27,0)-M$27,0)))</f>
        <v/>
      </c>
      <c r="N166" s="280" t="n"/>
      <c r="O166" s="281" t="n"/>
    </row>
    <row r="167" hidden="1" outlineLevel="1">
      <c r="B167" s="2">
        <f>B166+1</f>
        <v/>
      </c>
      <c r="D167" s="279">
        <f>IF(B167&lt;$D$24,(+CALCULETTE!T746/CALCULETTE!$B$612),0)</f>
        <v/>
      </c>
      <c r="E167" s="279">
        <f>IF(E$1=0,"",IF($B167&lt;E$23,E166+PPMT(E$25/12,$B167,E$23,E$53,-E$27,0),IF($B167=E$23,E166+PPMT(E$25/12,$B167,E$23,E$53,-E$27,0)-E$27,0)))</f>
        <v/>
      </c>
      <c r="F167" s="279">
        <f>IF(F$1=0,"",IF($B167&lt;F$23,F166+PPMT(F$25/12,$B167,F$23,F$53,-F$27,0),IF($B167=F$23,F166+PPMT(F$25/12,$B167,F$23,F$53,-F$27,0)-F$27,0)))</f>
        <v/>
      </c>
      <c r="G167" s="279">
        <f>IF(G$1=0,"",IF($B167&lt;G$23,G166+PPMT(G$25/12,$B167,G$23,G$53,-G$27,0),IF($B167=G$23,G166+PPMT(G$25/12,$B167,G$23,G$53,-G$27,0)-G$27,0)))</f>
        <v/>
      </c>
      <c r="H167" s="279">
        <f>IF(H$1=0,"",IF($B167&lt;H$23,H166+PPMT(H$25/12,$B167,H$23,H$53,-H$27,0),IF($B167=H$23,H166+PPMT(H$25/12,$B167,H$23,H$53,-H$27,0)-H$27,0)))</f>
        <v/>
      </c>
      <c r="I167" s="279">
        <f>IF(I$1=0,"",IF($B167&lt;I$23,I166+PPMT(I$25/12,$B167,I$23,I$53,-I$27,0),IF($B167=I$23,I166+PPMT(I$25/12,$B167,I$23,I$53,-I$27,0)-I$27,0)))</f>
        <v/>
      </c>
      <c r="J167" s="279">
        <f>IF(J$1=0,"",IF($B167&lt;J$23,J166+PPMT(J$25/12,$B167,J$23,J$53,-J$27,0),IF($B167=J$23,J166+PPMT(J$25/12,$B167,J$23,J$53,-J$27,0)-J$27,0)))</f>
        <v/>
      </c>
      <c r="K167" s="279">
        <f>IF(K$1=0,"",IF($B167&lt;K$23,K166+PPMT(K$25/12,$B167,K$23,K$53,-K$27,0),IF($B167=K$23,K166+PPMT(K$25/12,$B167,K$23,K$53,-K$27,0)-K$27,0)))</f>
        <v/>
      </c>
      <c r="L167" s="279">
        <f>IF(L$1=0,"",IF($B167&lt;L$23,L166+PPMT(L$25/12,$B167,L$23,L$53,-L$27,0),IF($B167=L$23,L166+PPMT(L$25/12,$B167,L$23,L$53,-L$27,0)-L$27,0)))</f>
        <v/>
      </c>
      <c r="M167" s="279">
        <f>IF(M$1=0,"",IF($B167&lt;M$23,M166+PPMT(M$25/12,$B167,M$23,M$53,-M$27,0),IF($B167=M$23,M166+PPMT(M$25/12,$B167,M$23,M$53,-M$27,0)-M$27,0)))</f>
        <v/>
      </c>
      <c r="N167" s="280" t="n"/>
      <c r="O167" s="281" t="n"/>
    </row>
    <row r="168" hidden="1" outlineLevel="1">
      <c r="B168" s="2">
        <f>B167+1</f>
        <v/>
      </c>
      <c r="D168" s="279">
        <f>IF(B168&lt;$D$24,(+CALCULETTE!T747/CALCULETTE!$B$612),0)</f>
        <v/>
      </c>
      <c r="E168" s="279">
        <f>IF(E$1=0,"",IF($B168&lt;E$23,E167+PPMT(E$25/12,$B168,E$23,E$53,-E$27,0),IF($B168=E$23,E167+PPMT(E$25/12,$B168,E$23,E$53,-E$27,0)-E$27,0)))</f>
        <v/>
      </c>
      <c r="F168" s="279">
        <f>IF(F$1=0,"",IF($B168&lt;F$23,F167+PPMT(F$25/12,$B168,F$23,F$53,-F$27,0),IF($B168=F$23,F167+PPMT(F$25/12,$B168,F$23,F$53,-F$27,0)-F$27,0)))</f>
        <v/>
      </c>
      <c r="G168" s="279">
        <f>IF(G$1=0,"",IF($B168&lt;G$23,G167+PPMT(G$25/12,$B168,G$23,G$53,-G$27,0),IF($B168=G$23,G167+PPMT(G$25/12,$B168,G$23,G$53,-G$27,0)-G$27,0)))</f>
        <v/>
      </c>
      <c r="H168" s="279">
        <f>IF(H$1=0,"",IF($B168&lt;H$23,H167+PPMT(H$25/12,$B168,H$23,H$53,-H$27,0),IF($B168=H$23,H167+PPMT(H$25/12,$B168,H$23,H$53,-H$27,0)-H$27,0)))</f>
        <v/>
      </c>
      <c r="I168" s="279">
        <f>IF(I$1=0,"",IF($B168&lt;I$23,I167+PPMT(I$25/12,$B168,I$23,I$53,-I$27,0),IF($B168=I$23,I167+PPMT(I$25/12,$B168,I$23,I$53,-I$27,0)-I$27,0)))</f>
        <v/>
      </c>
      <c r="J168" s="279">
        <f>IF(J$1=0,"",IF($B168&lt;J$23,J167+PPMT(J$25/12,$B168,J$23,J$53,-J$27,0),IF($B168=J$23,J167+PPMT(J$25/12,$B168,J$23,J$53,-J$27,0)-J$27,0)))</f>
        <v/>
      </c>
      <c r="K168" s="279">
        <f>IF(K$1=0,"",IF($B168&lt;K$23,K167+PPMT(K$25/12,$B168,K$23,K$53,-K$27,0),IF($B168=K$23,K167+PPMT(K$25/12,$B168,K$23,K$53,-K$27,0)-K$27,0)))</f>
        <v/>
      </c>
      <c r="L168" s="279">
        <f>IF(L$1=0,"",IF($B168&lt;L$23,L167+PPMT(L$25/12,$B168,L$23,L$53,-L$27,0),IF($B168=L$23,L167+PPMT(L$25/12,$B168,L$23,L$53,-L$27,0)-L$27,0)))</f>
        <v/>
      </c>
      <c r="M168" s="279">
        <f>IF(M$1=0,"",IF($B168&lt;M$23,M167+PPMT(M$25/12,$B168,M$23,M$53,-M$27,0),IF($B168=M$23,M167+PPMT(M$25/12,$B168,M$23,M$53,-M$27,0)-M$27,0)))</f>
        <v/>
      </c>
      <c r="N168" s="280" t="n"/>
      <c r="O168" s="281" t="n"/>
    </row>
    <row r="169" hidden="1" outlineLevel="1">
      <c r="B169" s="2">
        <f>B168+1</f>
        <v/>
      </c>
      <c r="D169" s="279">
        <f>IF(B169&lt;$D$24,(+CALCULETTE!T748/CALCULETTE!$B$612),0)</f>
        <v/>
      </c>
      <c r="E169" s="279">
        <f>IF(E$1=0,"",IF($B169&lt;E$23,E168+PPMT(E$25/12,$B169,E$23,E$53,-E$27,0),IF($B169=E$23,E168+PPMT(E$25/12,$B169,E$23,E$53,-E$27,0)-E$27,0)))</f>
        <v/>
      </c>
      <c r="F169" s="279">
        <f>IF(F$1=0,"",IF($B169&lt;F$23,F168+PPMT(F$25/12,$B169,F$23,F$53,-F$27,0),IF($B169=F$23,F168+PPMT(F$25/12,$B169,F$23,F$53,-F$27,0)-F$27,0)))</f>
        <v/>
      </c>
      <c r="G169" s="279">
        <f>IF(G$1=0,"",IF($B169&lt;G$23,G168+PPMT(G$25/12,$B169,G$23,G$53,-G$27,0),IF($B169=G$23,G168+PPMT(G$25/12,$B169,G$23,G$53,-G$27,0)-G$27,0)))</f>
        <v/>
      </c>
      <c r="H169" s="279">
        <f>IF(H$1=0,"",IF($B169&lt;H$23,H168+PPMT(H$25/12,$B169,H$23,H$53,-H$27,0),IF($B169=H$23,H168+PPMT(H$25/12,$B169,H$23,H$53,-H$27,0)-H$27,0)))</f>
        <v/>
      </c>
      <c r="I169" s="279">
        <f>IF(I$1=0,"",IF($B169&lt;I$23,I168+PPMT(I$25/12,$B169,I$23,I$53,-I$27,0),IF($B169=I$23,I168+PPMT(I$25/12,$B169,I$23,I$53,-I$27,0)-I$27,0)))</f>
        <v/>
      </c>
      <c r="J169" s="279">
        <f>IF(J$1=0,"",IF($B169&lt;J$23,J168+PPMT(J$25/12,$B169,J$23,J$53,-J$27,0),IF($B169=J$23,J168+PPMT(J$25/12,$B169,J$23,J$53,-J$27,0)-J$27,0)))</f>
        <v/>
      </c>
      <c r="K169" s="279">
        <f>IF(K$1=0,"",IF($B169&lt;K$23,K168+PPMT(K$25/12,$B169,K$23,K$53,-K$27,0),IF($B169=K$23,K168+PPMT(K$25/12,$B169,K$23,K$53,-K$27,0)-K$27,0)))</f>
        <v/>
      </c>
      <c r="L169" s="279">
        <f>IF(L$1=0,"",IF($B169&lt;L$23,L168+PPMT(L$25/12,$B169,L$23,L$53,-L$27,0),IF($B169=L$23,L168+PPMT(L$25/12,$B169,L$23,L$53,-L$27,0)-L$27,0)))</f>
        <v/>
      </c>
      <c r="M169" s="279">
        <f>IF(M$1=0,"",IF($B169&lt;M$23,M168+PPMT(M$25/12,$B169,M$23,M$53,-M$27,0),IF($B169=M$23,M168+PPMT(M$25/12,$B169,M$23,M$53,-M$27,0)-M$27,0)))</f>
        <v/>
      </c>
      <c r="N169" s="280" t="n"/>
      <c r="O169" s="281" t="n"/>
    </row>
    <row r="170" hidden="1" outlineLevel="1">
      <c r="B170" s="2">
        <f>B169+1</f>
        <v/>
      </c>
      <c r="D170" s="279">
        <f>IF(B170&lt;$D$24,(+CALCULETTE!T749/CALCULETTE!$B$612),0)</f>
        <v/>
      </c>
      <c r="E170" s="279">
        <f>IF(E$1=0,"",IF($B170&lt;E$23,E169+PPMT(E$25/12,$B170,E$23,E$53,-E$27,0),IF($B170=E$23,E169+PPMT(E$25/12,$B170,E$23,E$53,-E$27,0)-E$27,0)))</f>
        <v/>
      </c>
      <c r="F170" s="279">
        <f>IF(F$1=0,"",IF($B170&lt;F$23,F169+PPMT(F$25/12,$B170,F$23,F$53,-F$27,0),IF($B170=F$23,F169+PPMT(F$25/12,$B170,F$23,F$53,-F$27,0)-F$27,0)))</f>
        <v/>
      </c>
      <c r="G170" s="279">
        <f>IF(G$1=0,"",IF($B170&lt;G$23,G169+PPMT(G$25/12,$B170,G$23,G$53,-G$27,0),IF($B170=G$23,G169+PPMT(G$25/12,$B170,G$23,G$53,-G$27,0)-G$27,0)))</f>
        <v/>
      </c>
      <c r="H170" s="279">
        <f>IF(H$1=0,"",IF($B170&lt;H$23,H169+PPMT(H$25/12,$B170,H$23,H$53,-H$27,0),IF($B170=H$23,H169+PPMT(H$25/12,$B170,H$23,H$53,-H$27,0)-H$27,0)))</f>
        <v/>
      </c>
      <c r="I170" s="279">
        <f>IF(I$1=0,"",IF($B170&lt;I$23,I169+PPMT(I$25/12,$B170,I$23,I$53,-I$27,0),IF($B170=I$23,I169+PPMT(I$25/12,$B170,I$23,I$53,-I$27,0)-I$27,0)))</f>
        <v/>
      </c>
      <c r="J170" s="279">
        <f>IF(J$1=0,"",IF($B170&lt;J$23,J169+PPMT(J$25/12,$B170,J$23,J$53,-J$27,0),IF($B170=J$23,J169+PPMT(J$25/12,$B170,J$23,J$53,-J$27,0)-J$27,0)))</f>
        <v/>
      </c>
      <c r="K170" s="279">
        <f>IF(K$1=0,"",IF($B170&lt;K$23,K169+PPMT(K$25/12,$B170,K$23,K$53,-K$27,0),IF($B170=K$23,K169+PPMT(K$25/12,$B170,K$23,K$53,-K$27,0)-K$27,0)))</f>
        <v/>
      </c>
      <c r="L170" s="279">
        <f>IF(L$1=0,"",IF($B170&lt;L$23,L169+PPMT(L$25/12,$B170,L$23,L$53,-L$27,0),IF($B170=L$23,L169+PPMT(L$25/12,$B170,L$23,L$53,-L$27,0)-L$27,0)))</f>
        <v/>
      </c>
      <c r="M170" s="279">
        <f>IF(M$1=0,"",IF($B170&lt;M$23,M169+PPMT(M$25/12,$B170,M$23,M$53,-M$27,0),IF($B170=M$23,M169+PPMT(M$25/12,$B170,M$23,M$53,-M$27,0)-M$27,0)))</f>
        <v/>
      </c>
      <c r="N170" s="280" t="n"/>
      <c r="O170" s="281" t="n"/>
    </row>
    <row r="171" hidden="1" outlineLevel="1">
      <c r="B171" s="2">
        <f>B170+1</f>
        <v/>
      </c>
      <c r="D171" s="279">
        <f>IF(B171&lt;$D$24,(+CALCULETTE!T750/CALCULETTE!$B$612),0)</f>
        <v/>
      </c>
      <c r="E171" s="279">
        <f>IF(E$1=0,"",IF($B171&lt;E$23,E170+PPMT(E$25/12,$B171,E$23,E$53,-E$27,0),IF($B171=E$23,E170+PPMT(E$25/12,$B171,E$23,E$53,-E$27,0)-E$27,0)))</f>
        <v/>
      </c>
      <c r="F171" s="279">
        <f>IF(F$1=0,"",IF($B171&lt;F$23,F170+PPMT(F$25/12,$B171,F$23,F$53,-F$27,0),IF($B171=F$23,F170+PPMT(F$25/12,$B171,F$23,F$53,-F$27,0)-F$27,0)))</f>
        <v/>
      </c>
      <c r="G171" s="279">
        <f>IF(G$1=0,"",IF($B171&lt;G$23,G170+PPMT(G$25/12,$B171,G$23,G$53,-G$27,0),IF($B171=G$23,G170+PPMT(G$25/12,$B171,G$23,G$53,-G$27,0)-G$27,0)))</f>
        <v/>
      </c>
      <c r="H171" s="279">
        <f>IF(H$1=0,"",IF($B171&lt;H$23,H170+PPMT(H$25/12,$B171,H$23,H$53,-H$27,0),IF($B171=H$23,H170+PPMT(H$25/12,$B171,H$23,H$53,-H$27,0)-H$27,0)))</f>
        <v/>
      </c>
      <c r="I171" s="279">
        <f>IF(I$1=0,"",IF($B171&lt;I$23,I170+PPMT(I$25/12,$B171,I$23,I$53,-I$27,0),IF($B171=I$23,I170+PPMT(I$25/12,$B171,I$23,I$53,-I$27,0)-I$27,0)))</f>
        <v/>
      </c>
      <c r="J171" s="279">
        <f>IF(J$1=0,"",IF($B171&lt;J$23,J170+PPMT(J$25/12,$B171,J$23,J$53,-J$27,0),IF($B171=J$23,J170+PPMT(J$25/12,$B171,J$23,J$53,-J$27,0)-J$27,0)))</f>
        <v/>
      </c>
      <c r="K171" s="279">
        <f>IF(K$1=0,"",IF($B171&lt;K$23,K170+PPMT(K$25/12,$B171,K$23,K$53,-K$27,0),IF($B171=K$23,K170+PPMT(K$25/12,$B171,K$23,K$53,-K$27,0)-K$27,0)))</f>
        <v/>
      </c>
      <c r="L171" s="279">
        <f>IF(L$1=0,"",IF($B171&lt;L$23,L170+PPMT(L$25/12,$B171,L$23,L$53,-L$27,0),IF($B171=L$23,L170+PPMT(L$25/12,$B171,L$23,L$53,-L$27,0)-L$27,0)))</f>
        <v/>
      </c>
      <c r="M171" s="279">
        <f>IF(M$1=0,"",IF($B171&lt;M$23,M170+PPMT(M$25/12,$B171,M$23,M$53,-M$27,0),IF($B171=M$23,M170+PPMT(M$25/12,$B171,M$23,M$53,-M$27,0)-M$27,0)))</f>
        <v/>
      </c>
      <c r="N171" s="280" t="n"/>
      <c r="O171" s="281" t="n"/>
    </row>
    <row r="172" hidden="1" outlineLevel="1">
      <c r="B172" s="2">
        <f>B171+1</f>
        <v/>
      </c>
      <c r="D172" s="279">
        <f>IF(B172&lt;$D$24,(+CALCULETTE!T751/CALCULETTE!$B$612),0)</f>
        <v/>
      </c>
      <c r="E172" s="279">
        <f>IF(E$1=0,"",IF($B172&lt;E$23,E171+PPMT(E$25/12,$B172,E$23,E$53,-E$27,0),IF($B172=E$23,E171+PPMT(E$25/12,$B172,E$23,E$53,-E$27,0)-E$27,0)))</f>
        <v/>
      </c>
      <c r="F172" s="279">
        <f>IF(F$1=0,"",IF($B172&lt;F$23,F171+PPMT(F$25/12,$B172,F$23,F$53,-F$27,0),IF($B172=F$23,F171+PPMT(F$25/12,$B172,F$23,F$53,-F$27,0)-F$27,0)))</f>
        <v/>
      </c>
      <c r="G172" s="279">
        <f>IF(G$1=0,"",IF($B172&lt;G$23,G171+PPMT(G$25/12,$B172,G$23,G$53,-G$27,0),IF($B172=G$23,G171+PPMT(G$25/12,$B172,G$23,G$53,-G$27,0)-G$27,0)))</f>
        <v/>
      </c>
      <c r="H172" s="279">
        <f>IF(H$1=0,"",IF($B172&lt;H$23,H171+PPMT(H$25/12,$B172,H$23,H$53,-H$27,0),IF($B172=H$23,H171+PPMT(H$25/12,$B172,H$23,H$53,-H$27,0)-H$27,0)))</f>
        <v/>
      </c>
      <c r="I172" s="279">
        <f>IF(I$1=0,"",IF($B172&lt;I$23,I171+PPMT(I$25/12,$B172,I$23,I$53,-I$27,0),IF($B172=I$23,I171+PPMT(I$25/12,$B172,I$23,I$53,-I$27,0)-I$27,0)))</f>
        <v/>
      </c>
      <c r="J172" s="279">
        <f>IF(J$1=0,"",IF($B172&lt;J$23,J171+PPMT(J$25/12,$B172,J$23,J$53,-J$27,0),IF($B172=J$23,J171+PPMT(J$25/12,$B172,J$23,J$53,-J$27,0)-J$27,0)))</f>
        <v/>
      </c>
      <c r="K172" s="279">
        <f>IF(K$1=0,"",IF($B172&lt;K$23,K171+PPMT(K$25/12,$B172,K$23,K$53,-K$27,0),IF($B172=K$23,K171+PPMT(K$25/12,$B172,K$23,K$53,-K$27,0)-K$27,0)))</f>
        <v/>
      </c>
      <c r="L172" s="279">
        <f>IF(L$1=0,"",IF($B172&lt;L$23,L171+PPMT(L$25/12,$B172,L$23,L$53,-L$27,0),IF($B172=L$23,L171+PPMT(L$25/12,$B172,L$23,L$53,-L$27,0)-L$27,0)))</f>
        <v/>
      </c>
      <c r="M172" s="279">
        <f>IF(M$1=0,"",IF($B172&lt;M$23,M171+PPMT(M$25/12,$B172,M$23,M$53,-M$27,0),IF($B172=M$23,M171+PPMT(M$25/12,$B172,M$23,M$53,-M$27,0)-M$27,0)))</f>
        <v/>
      </c>
      <c r="N172" s="280" t="n"/>
      <c r="O172" s="281" t="n"/>
    </row>
    <row r="173" hidden="1" outlineLevel="1">
      <c r="B173" s="2">
        <f>B172+1</f>
        <v/>
      </c>
      <c r="D173" s="279">
        <f>IF(B173&lt;$D$24,(+CALCULETTE!T752/CALCULETTE!$B$612),0)</f>
        <v/>
      </c>
      <c r="E173" s="279">
        <f>IF(E$1=0,"",IF($B173&lt;E$23,E172+PPMT(E$25/12,$B173,E$23,E$53,-E$27,0),IF($B173=E$23,E172+PPMT(E$25/12,$B173,E$23,E$53,-E$27,0)-E$27,0)))</f>
        <v/>
      </c>
      <c r="F173" s="279">
        <f>IF(F$1=0,"",IF($B173&lt;F$23,F172+PPMT(F$25/12,$B173,F$23,F$53,-F$27,0),IF($B173=F$23,F172+PPMT(F$25/12,$B173,F$23,F$53,-F$27,0)-F$27,0)))</f>
        <v/>
      </c>
      <c r="G173" s="279">
        <f>IF(G$1=0,"",IF($B173&lt;G$23,G172+PPMT(G$25/12,$B173,G$23,G$53,-G$27,0),IF($B173=G$23,G172+PPMT(G$25/12,$B173,G$23,G$53,-G$27,0)-G$27,0)))</f>
        <v/>
      </c>
      <c r="H173" s="279">
        <f>IF(H$1=0,"",IF($B173&lt;H$23,H172+PPMT(H$25/12,$B173,H$23,H$53,-H$27,0),IF($B173=H$23,H172+PPMT(H$25/12,$B173,H$23,H$53,-H$27,0)-H$27,0)))</f>
        <v/>
      </c>
      <c r="I173" s="279">
        <f>IF(I$1=0,"",IF($B173&lt;I$23,I172+PPMT(I$25/12,$B173,I$23,I$53,-I$27,0),IF($B173=I$23,I172+PPMT(I$25/12,$B173,I$23,I$53,-I$27,0)-I$27,0)))</f>
        <v/>
      </c>
      <c r="J173" s="279">
        <f>IF(J$1=0,"",IF($B173&lt;J$23,J172+PPMT(J$25/12,$B173,J$23,J$53,-J$27,0),IF($B173=J$23,J172+PPMT(J$25/12,$B173,J$23,J$53,-J$27,0)-J$27,0)))</f>
        <v/>
      </c>
      <c r="K173" s="279">
        <f>IF(K$1=0,"",IF($B173&lt;K$23,K172+PPMT(K$25/12,$B173,K$23,K$53,-K$27,0),IF($B173=K$23,K172+PPMT(K$25/12,$B173,K$23,K$53,-K$27,0)-K$27,0)))</f>
        <v/>
      </c>
      <c r="L173" s="279">
        <f>IF(L$1=0,"",IF($B173&lt;L$23,L172+PPMT(L$25/12,$B173,L$23,L$53,-L$27,0),IF($B173=L$23,L172+PPMT(L$25/12,$B173,L$23,L$53,-L$27,0)-L$27,0)))</f>
        <v/>
      </c>
      <c r="M173" s="279">
        <f>IF(M$1=0,"",IF($B173&lt;M$23,M172+PPMT(M$25/12,$B173,M$23,M$53,-M$27,0),IF($B173=M$23,M172+PPMT(M$25/12,$B173,M$23,M$53,-M$27,0)-M$27,0)))</f>
        <v/>
      </c>
      <c r="N173" s="280" t="n"/>
      <c r="O173" s="281" t="n"/>
    </row>
    <row r="174" hidden="1" outlineLevel="1">
      <c r="B174" s="2">
        <f>B173+1</f>
        <v/>
      </c>
      <c r="D174" s="279">
        <f>IF(B174&lt;$D$24,(+CALCULETTE!T753/CALCULETTE!$B$612),0)</f>
        <v/>
      </c>
      <c r="E174" s="279">
        <f>IF(E$1=0,"",IF($B174&lt;E$23,E173+PPMT(E$25/12,$B174,E$23,E$53,-E$27,0),IF($B174=E$23,E173+PPMT(E$25/12,$B174,E$23,E$53,-E$27,0)-E$27,0)))</f>
        <v/>
      </c>
      <c r="F174" s="279">
        <f>IF(F$1=0,"",IF($B174&lt;F$23,F173+PPMT(F$25/12,$B174,F$23,F$53,-F$27,0),IF($B174=F$23,F173+PPMT(F$25/12,$B174,F$23,F$53,-F$27,0)-F$27,0)))</f>
        <v/>
      </c>
      <c r="G174" s="279">
        <f>IF(G$1=0,"",IF($B174&lt;G$23,G173+PPMT(G$25/12,$B174,G$23,G$53,-G$27,0),IF($B174=G$23,G173+PPMT(G$25/12,$B174,G$23,G$53,-G$27,0)-G$27,0)))</f>
        <v/>
      </c>
      <c r="H174" s="279">
        <f>IF(H$1=0,"",IF($B174&lt;H$23,H173+PPMT(H$25/12,$B174,H$23,H$53,-H$27,0),IF($B174=H$23,H173+PPMT(H$25/12,$B174,H$23,H$53,-H$27,0)-H$27,0)))</f>
        <v/>
      </c>
      <c r="I174" s="279">
        <f>IF(I$1=0,"",IF($B174&lt;I$23,I173+PPMT(I$25/12,$B174,I$23,I$53,-I$27,0),IF($B174=I$23,I173+PPMT(I$25/12,$B174,I$23,I$53,-I$27,0)-I$27,0)))</f>
        <v/>
      </c>
      <c r="J174" s="279">
        <f>IF(J$1=0,"",IF($B174&lt;J$23,J173+PPMT(J$25/12,$B174,J$23,J$53,-J$27,0),IF($B174=J$23,J173+PPMT(J$25/12,$B174,J$23,J$53,-J$27,0)-J$27,0)))</f>
        <v/>
      </c>
      <c r="K174" s="279">
        <f>IF(K$1=0,"",IF($B174&lt;K$23,K173+PPMT(K$25/12,$B174,K$23,K$53,-K$27,0),IF($B174=K$23,K173+PPMT(K$25/12,$B174,K$23,K$53,-K$27,0)-K$27,0)))</f>
        <v/>
      </c>
      <c r="L174" s="279">
        <f>IF(L$1=0,"",IF($B174&lt;L$23,L173+PPMT(L$25/12,$B174,L$23,L$53,-L$27,0),IF($B174=L$23,L173+PPMT(L$25/12,$B174,L$23,L$53,-L$27,0)-L$27,0)))</f>
        <v/>
      </c>
      <c r="M174" s="279">
        <f>IF(M$1=0,"",IF($B174&lt;M$23,M173+PPMT(M$25/12,$B174,M$23,M$53,-M$27,0),IF($B174=M$23,M173+PPMT(M$25/12,$B174,M$23,M$53,-M$27,0)-M$27,0)))</f>
        <v/>
      </c>
      <c r="N174" s="280" t="n"/>
      <c r="O174" s="281" t="n"/>
    </row>
    <row r="175" hidden="1" outlineLevel="1">
      <c r="B175" s="2">
        <f>B174+1</f>
        <v/>
      </c>
      <c r="D175" s="279">
        <f>IF(B175&lt;$D$24,(+CALCULETTE!T754/CALCULETTE!$B$612),0)</f>
        <v/>
      </c>
      <c r="E175" s="279">
        <f>IF(E$1=0,"",IF($B175&lt;E$23,E174+PPMT(E$25/12,$B175,E$23,E$53,-E$27,0),IF($B175=E$23,E174+PPMT(E$25/12,$B175,E$23,E$53,-E$27,0)-E$27,0)))</f>
        <v/>
      </c>
      <c r="F175" s="279">
        <f>IF(F$1=0,"",IF($B175&lt;F$23,F174+PPMT(F$25/12,$B175,F$23,F$53,-F$27,0),IF($B175=F$23,F174+PPMT(F$25/12,$B175,F$23,F$53,-F$27,0)-F$27,0)))</f>
        <v/>
      </c>
      <c r="G175" s="279">
        <f>IF(G$1=0,"",IF($B175&lt;G$23,G174+PPMT(G$25/12,$B175,G$23,G$53,-G$27,0),IF($B175=G$23,G174+PPMT(G$25/12,$B175,G$23,G$53,-G$27,0)-G$27,0)))</f>
        <v/>
      </c>
      <c r="H175" s="279">
        <f>IF(H$1=0,"",IF($B175&lt;H$23,H174+PPMT(H$25/12,$B175,H$23,H$53,-H$27,0),IF($B175=H$23,H174+PPMT(H$25/12,$B175,H$23,H$53,-H$27,0)-H$27,0)))</f>
        <v/>
      </c>
      <c r="I175" s="279">
        <f>IF(I$1=0,"",IF($B175&lt;I$23,I174+PPMT(I$25/12,$B175,I$23,I$53,-I$27,0),IF($B175=I$23,I174+PPMT(I$25/12,$B175,I$23,I$53,-I$27,0)-I$27,0)))</f>
        <v/>
      </c>
      <c r="J175" s="279">
        <f>IF(J$1=0,"",IF($B175&lt;J$23,J174+PPMT(J$25/12,$B175,J$23,J$53,-J$27,0),IF($B175=J$23,J174+PPMT(J$25/12,$B175,J$23,J$53,-J$27,0)-J$27,0)))</f>
        <v/>
      </c>
      <c r="K175" s="279">
        <f>IF(K$1=0,"",IF($B175&lt;K$23,K174+PPMT(K$25/12,$B175,K$23,K$53,-K$27,0),IF($B175=K$23,K174+PPMT(K$25/12,$B175,K$23,K$53,-K$27,0)-K$27,0)))</f>
        <v/>
      </c>
      <c r="L175" s="279">
        <f>IF(L$1=0,"",IF($B175&lt;L$23,L174+PPMT(L$25/12,$B175,L$23,L$53,-L$27,0),IF($B175=L$23,L174+PPMT(L$25/12,$B175,L$23,L$53,-L$27,0)-L$27,0)))</f>
        <v/>
      </c>
      <c r="M175" s="279">
        <f>IF(M$1=0,"",IF($B175&lt;M$23,M174+PPMT(M$25/12,$B175,M$23,M$53,-M$27,0),IF($B175=M$23,M174+PPMT(M$25/12,$B175,M$23,M$53,-M$27,0)-M$27,0)))</f>
        <v/>
      </c>
      <c r="N175" s="280" t="n"/>
      <c r="O175" s="281" t="n"/>
    </row>
    <row r="176" hidden="1" outlineLevel="1">
      <c r="B176" s="2">
        <f>B175+1</f>
        <v/>
      </c>
      <c r="D176" s="279">
        <f>IF(B176&lt;$D$24,(+CALCULETTE!T755/CALCULETTE!$B$612),0)</f>
        <v/>
      </c>
      <c r="E176" s="279">
        <f>IF(E$1=0,"",IF($B176&lt;E$23,E175+PPMT(E$25/12,$B176,E$23,E$53,-E$27,0),IF($B176=E$23,E175+PPMT(E$25/12,$B176,E$23,E$53,-E$27,0)-E$27,0)))</f>
        <v/>
      </c>
      <c r="F176" s="279">
        <f>IF(F$1=0,"",IF($B176&lt;F$23,F175+PPMT(F$25/12,$B176,F$23,F$53,-F$27,0),IF($B176=F$23,F175+PPMT(F$25/12,$B176,F$23,F$53,-F$27,0)-F$27,0)))</f>
        <v/>
      </c>
      <c r="G176" s="279">
        <f>IF(G$1=0,"",IF($B176&lt;G$23,G175+PPMT(G$25/12,$B176,G$23,G$53,-G$27,0),IF($B176=G$23,G175+PPMT(G$25/12,$B176,G$23,G$53,-G$27,0)-G$27,0)))</f>
        <v/>
      </c>
      <c r="H176" s="279">
        <f>IF(H$1=0,"",IF($B176&lt;H$23,H175+PPMT(H$25/12,$B176,H$23,H$53,-H$27,0),IF($B176=H$23,H175+PPMT(H$25/12,$B176,H$23,H$53,-H$27,0)-H$27,0)))</f>
        <v/>
      </c>
      <c r="I176" s="279">
        <f>IF(I$1=0,"",IF($B176&lt;I$23,I175+PPMT(I$25/12,$B176,I$23,I$53,-I$27,0),IF($B176=I$23,I175+PPMT(I$25/12,$B176,I$23,I$53,-I$27,0)-I$27,0)))</f>
        <v/>
      </c>
      <c r="J176" s="279">
        <f>IF(J$1=0,"",IF($B176&lt;J$23,J175+PPMT(J$25/12,$B176,J$23,J$53,-J$27,0),IF($B176=J$23,J175+PPMT(J$25/12,$B176,J$23,J$53,-J$27,0)-J$27,0)))</f>
        <v/>
      </c>
      <c r="K176" s="279">
        <f>IF(K$1=0,"",IF($B176&lt;K$23,K175+PPMT(K$25/12,$B176,K$23,K$53,-K$27,0),IF($B176=K$23,K175+PPMT(K$25/12,$B176,K$23,K$53,-K$27,0)-K$27,0)))</f>
        <v/>
      </c>
      <c r="L176" s="279">
        <f>IF(L$1=0,"",IF($B176&lt;L$23,L175+PPMT(L$25/12,$B176,L$23,L$53,-L$27,0),IF($B176=L$23,L175+PPMT(L$25/12,$B176,L$23,L$53,-L$27,0)-L$27,0)))</f>
        <v/>
      </c>
      <c r="M176" s="279">
        <f>IF(M$1=0,"",IF($B176&lt;M$23,M175+PPMT(M$25/12,$B176,M$23,M$53,-M$27,0),IF($B176=M$23,M175+PPMT(M$25/12,$B176,M$23,M$53,-M$27,0)-M$27,0)))</f>
        <v/>
      </c>
      <c r="N176" s="280" t="n"/>
      <c r="O176" s="281" t="n"/>
    </row>
    <row r="177" hidden="1" outlineLevel="1">
      <c r="B177" s="2">
        <f>B176+1</f>
        <v/>
      </c>
      <c r="D177" s="279">
        <f>IF(B177&lt;$D$24,(+CALCULETTE!T756/CALCULETTE!$B$612),0)</f>
        <v/>
      </c>
      <c r="E177" s="279">
        <f>IF(E$1=0,"",IF($B177&lt;E$23,E176+PPMT(E$25/12,$B177,E$23,E$53,-E$27,0),IF($B177=E$23,E176+PPMT(E$25/12,$B177,E$23,E$53,-E$27,0)-E$27,0)))</f>
        <v/>
      </c>
      <c r="F177" s="279">
        <f>IF(F$1=0,"",IF($B177&lt;F$23,F176+PPMT(F$25/12,$B177,F$23,F$53,-F$27,0),IF($B177=F$23,F176+PPMT(F$25/12,$B177,F$23,F$53,-F$27,0)-F$27,0)))</f>
        <v/>
      </c>
      <c r="G177" s="279">
        <f>IF(G$1=0,"",IF($B177&lt;G$23,G176+PPMT(G$25/12,$B177,G$23,G$53,-G$27,0),IF($B177=G$23,G176+PPMT(G$25/12,$B177,G$23,G$53,-G$27,0)-G$27,0)))</f>
        <v/>
      </c>
      <c r="H177" s="279">
        <f>IF(H$1=0,"",IF($B177&lt;H$23,H176+PPMT(H$25/12,$B177,H$23,H$53,-H$27,0),IF($B177=H$23,H176+PPMT(H$25/12,$B177,H$23,H$53,-H$27,0)-H$27,0)))</f>
        <v/>
      </c>
      <c r="I177" s="279">
        <f>IF(I$1=0,"",IF($B177&lt;I$23,I176+PPMT(I$25/12,$B177,I$23,I$53,-I$27,0),IF($B177=I$23,I176+PPMT(I$25/12,$B177,I$23,I$53,-I$27,0)-I$27,0)))</f>
        <v/>
      </c>
      <c r="J177" s="279">
        <f>IF(J$1=0,"",IF($B177&lt;J$23,J176+PPMT(J$25/12,$B177,J$23,J$53,-J$27,0),IF($B177=J$23,J176+PPMT(J$25/12,$B177,J$23,J$53,-J$27,0)-J$27,0)))</f>
        <v/>
      </c>
      <c r="K177" s="279">
        <f>IF(K$1=0,"",IF($B177&lt;K$23,K176+PPMT(K$25/12,$B177,K$23,K$53,-K$27,0),IF($B177=K$23,K176+PPMT(K$25/12,$B177,K$23,K$53,-K$27,0)-K$27,0)))</f>
        <v/>
      </c>
      <c r="L177" s="279">
        <f>IF(L$1=0,"",IF($B177&lt;L$23,L176+PPMT(L$25/12,$B177,L$23,L$53,-L$27,0),IF($B177=L$23,L176+PPMT(L$25/12,$B177,L$23,L$53,-L$27,0)-L$27,0)))</f>
        <v/>
      </c>
      <c r="M177" s="279">
        <f>IF(M$1=0,"",IF($B177&lt;M$23,M176+PPMT(M$25/12,$B177,M$23,M$53,-M$27,0),IF($B177=M$23,M176+PPMT(M$25/12,$B177,M$23,M$53,-M$27,0)-M$27,0)))</f>
        <v/>
      </c>
      <c r="N177" s="280" t="n"/>
      <c r="O177" s="281" t="n"/>
    </row>
    <row r="178" hidden="1" outlineLevel="1">
      <c r="B178" s="2">
        <f>B177+1</f>
        <v/>
      </c>
      <c r="D178" s="279">
        <f>IF(B178&lt;$D$24,(+CALCULETTE!T757/CALCULETTE!$B$612),0)</f>
        <v/>
      </c>
      <c r="E178" s="279">
        <f>IF(E$1=0,"",IF($B178&lt;E$23,E177+PPMT(E$25/12,$B178,E$23,E$53,-E$27,0),IF($B178=E$23,E177+PPMT(E$25/12,$B178,E$23,E$53,-E$27,0)-E$27,0)))</f>
        <v/>
      </c>
      <c r="F178" s="279">
        <f>IF(F$1=0,"",IF($B178&lt;F$23,F177+PPMT(F$25/12,$B178,F$23,F$53,-F$27,0),IF($B178=F$23,F177+PPMT(F$25/12,$B178,F$23,F$53,-F$27,0)-F$27,0)))</f>
        <v/>
      </c>
      <c r="G178" s="279">
        <f>IF(G$1=0,"",IF($B178&lt;G$23,G177+PPMT(G$25/12,$B178,G$23,G$53,-G$27,0),IF($B178=G$23,G177+PPMT(G$25/12,$B178,G$23,G$53,-G$27,0)-G$27,0)))</f>
        <v/>
      </c>
      <c r="H178" s="279">
        <f>IF(H$1=0,"",IF($B178&lt;H$23,H177+PPMT(H$25/12,$B178,H$23,H$53,-H$27,0),IF($B178=H$23,H177+PPMT(H$25/12,$B178,H$23,H$53,-H$27,0)-H$27,0)))</f>
        <v/>
      </c>
      <c r="I178" s="279">
        <f>IF(I$1=0,"",IF($B178&lt;I$23,I177+PPMT(I$25/12,$B178,I$23,I$53,-I$27,0),IF($B178=I$23,I177+PPMT(I$25/12,$B178,I$23,I$53,-I$27,0)-I$27,0)))</f>
        <v/>
      </c>
      <c r="J178" s="279">
        <f>IF(J$1=0,"",IF($B178&lt;J$23,J177+PPMT(J$25/12,$B178,J$23,J$53,-J$27,0),IF($B178=J$23,J177+PPMT(J$25/12,$B178,J$23,J$53,-J$27,0)-J$27,0)))</f>
        <v/>
      </c>
      <c r="K178" s="279">
        <f>IF(K$1=0,"",IF($B178&lt;K$23,K177+PPMT(K$25/12,$B178,K$23,K$53,-K$27,0),IF($B178=K$23,K177+PPMT(K$25/12,$B178,K$23,K$53,-K$27,0)-K$27,0)))</f>
        <v/>
      </c>
      <c r="L178" s="279">
        <f>IF(L$1=0,"",IF($B178&lt;L$23,L177+PPMT(L$25/12,$B178,L$23,L$53,-L$27,0),IF($B178=L$23,L177+PPMT(L$25/12,$B178,L$23,L$53,-L$27,0)-L$27,0)))</f>
        <v/>
      </c>
      <c r="M178" s="279">
        <f>IF(M$1=0,"",IF($B178&lt;M$23,M177+PPMT(M$25/12,$B178,M$23,M$53,-M$27,0),IF($B178=M$23,M177+PPMT(M$25/12,$B178,M$23,M$53,-M$27,0)-M$27,0)))</f>
        <v/>
      </c>
      <c r="N178" s="280" t="n"/>
      <c r="O178" s="281" t="n"/>
    </row>
    <row r="179" hidden="1" outlineLevel="1">
      <c r="B179" s="2">
        <f>B178+1</f>
        <v/>
      </c>
      <c r="D179" s="279">
        <f>IF(B179&lt;$D$24,(+CALCULETTE!T758/CALCULETTE!$B$612),0)</f>
        <v/>
      </c>
      <c r="E179" s="279">
        <f>IF(E$1=0,"",IF($B179&lt;E$23,E178+PPMT(E$25/12,$B179,E$23,E$53,-E$27,0),IF($B179=E$23,E178+PPMT(E$25/12,$B179,E$23,E$53,-E$27,0)-E$27,0)))</f>
        <v/>
      </c>
      <c r="F179" s="279">
        <f>IF(F$1=0,"",IF($B179&lt;F$23,F178+PPMT(F$25/12,$B179,F$23,F$53,-F$27,0),IF($B179=F$23,F178+PPMT(F$25/12,$B179,F$23,F$53,-F$27,0)-F$27,0)))</f>
        <v/>
      </c>
      <c r="G179" s="279">
        <f>IF(G$1=0,"",IF($B179&lt;G$23,G178+PPMT(G$25/12,$B179,G$23,G$53,-G$27,0),IF($B179=G$23,G178+PPMT(G$25/12,$B179,G$23,G$53,-G$27,0)-G$27,0)))</f>
        <v/>
      </c>
      <c r="H179" s="279">
        <f>IF(H$1=0,"",IF($B179&lt;H$23,H178+PPMT(H$25/12,$B179,H$23,H$53,-H$27,0),IF($B179=H$23,H178+PPMT(H$25/12,$B179,H$23,H$53,-H$27,0)-H$27,0)))</f>
        <v/>
      </c>
      <c r="I179" s="279">
        <f>IF(I$1=0,"",IF($B179&lt;I$23,I178+PPMT(I$25/12,$B179,I$23,I$53,-I$27,0),IF($B179=I$23,I178+PPMT(I$25/12,$B179,I$23,I$53,-I$27,0)-I$27,0)))</f>
        <v/>
      </c>
      <c r="J179" s="279">
        <f>IF(J$1=0,"",IF($B179&lt;J$23,J178+PPMT(J$25/12,$B179,J$23,J$53,-J$27,0),IF($B179=J$23,J178+PPMT(J$25/12,$B179,J$23,J$53,-J$27,0)-J$27,0)))</f>
        <v/>
      </c>
      <c r="K179" s="279">
        <f>IF(K$1=0,"",IF($B179&lt;K$23,K178+PPMT(K$25/12,$B179,K$23,K$53,-K$27,0),IF($B179=K$23,K178+PPMT(K$25/12,$B179,K$23,K$53,-K$27,0)-K$27,0)))</f>
        <v/>
      </c>
      <c r="L179" s="279">
        <f>IF(L$1=0,"",IF($B179&lt;L$23,L178+PPMT(L$25/12,$B179,L$23,L$53,-L$27,0),IF($B179=L$23,L178+PPMT(L$25/12,$B179,L$23,L$53,-L$27,0)-L$27,0)))</f>
        <v/>
      </c>
      <c r="M179" s="279">
        <f>IF(M$1=0,"",IF($B179&lt;M$23,M178+PPMT(M$25/12,$B179,M$23,M$53,-M$27,0),IF($B179=M$23,M178+PPMT(M$25/12,$B179,M$23,M$53,-M$27,0)-M$27,0)))</f>
        <v/>
      </c>
      <c r="N179" s="280" t="n"/>
      <c r="O179" s="281" t="n"/>
    </row>
    <row r="180" hidden="1" outlineLevel="1">
      <c r="B180" s="2">
        <f>B179+1</f>
        <v/>
      </c>
      <c r="D180" s="279">
        <f>IF(B180&lt;$D$24,(+CALCULETTE!T759/CALCULETTE!$B$612),0)</f>
        <v/>
      </c>
      <c r="E180" s="279">
        <f>IF(E$1=0,"",IF($B180&lt;E$23,E179+PPMT(E$25/12,$B180,E$23,E$53,-E$27,0),IF($B180=E$23,E179+PPMT(E$25/12,$B180,E$23,E$53,-E$27,0)-E$27,0)))</f>
        <v/>
      </c>
      <c r="F180" s="279">
        <f>IF(F$1=0,"",IF($B180&lt;F$23,F179+PPMT(F$25/12,$B180,F$23,F$53,-F$27,0),IF($B180=F$23,F179+PPMT(F$25/12,$B180,F$23,F$53,-F$27,0)-F$27,0)))</f>
        <v/>
      </c>
      <c r="G180" s="279">
        <f>IF(G$1=0,"",IF($B180&lt;G$23,G179+PPMT(G$25/12,$B180,G$23,G$53,-G$27,0),IF($B180=G$23,G179+PPMT(G$25/12,$B180,G$23,G$53,-G$27,0)-G$27,0)))</f>
        <v/>
      </c>
      <c r="H180" s="279">
        <f>IF(H$1=0,"",IF($B180&lt;H$23,H179+PPMT(H$25/12,$B180,H$23,H$53,-H$27,0),IF($B180=H$23,H179+PPMT(H$25/12,$B180,H$23,H$53,-H$27,0)-H$27,0)))</f>
        <v/>
      </c>
      <c r="I180" s="279">
        <f>IF(I$1=0,"",IF($B180&lt;I$23,I179+PPMT(I$25/12,$B180,I$23,I$53,-I$27,0),IF($B180=I$23,I179+PPMT(I$25/12,$B180,I$23,I$53,-I$27,0)-I$27,0)))</f>
        <v/>
      </c>
      <c r="J180" s="279">
        <f>IF(J$1=0,"",IF($B180&lt;J$23,J179+PPMT(J$25/12,$B180,J$23,J$53,-J$27,0),IF($B180=J$23,J179+PPMT(J$25/12,$B180,J$23,J$53,-J$27,0)-J$27,0)))</f>
        <v/>
      </c>
      <c r="K180" s="279">
        <f>IF(K$1=0,"",IF($B180&lt;K$23,K179+PPMT(K$25/12,$B180,K$23,K$53,-K$27,0),IF($B180=K$23,K179+PPMT(K$25/12,$B180,K$23,K$53,-K$27,0)-K$27,0)))</f>
        <v/>
      </c>
      <c r="L180" s="279">
        <f>IF(L$1=0,"",IF($B180&lt;L$23,L179+PPMT(L$25/12,$B180,L$23,L$53,-L$27,0),IF($B180=L$23,L179+PPMT(L$25/12,$B180,L$23,L$53,-L$27,0)-L$27,0)))</f>
        <v/>
      </c>
      <c r="M180" s="279">
        <f>IF(M$1=0,"",IF($B180&lt;M$23,M179+PPMT(M$25/12,$B180,M$23,M$53,-M$27,0),IF($B180=M$23,M179+PPMT(M$25/12,$B180,M$23,M$53,-M$27,0)-M$27,0)))</f>
        <v/>
      </c>
      <c r="N180" s="280" t="n"/>
      <c r="O180" s="281" t="n"/>
    </row>
    <row r="181" hidden="1" outlineLevel="1">
      <c r="B181" s="2">
        <f>B180+1</f>
        <v/>
      </c>
      <c r="D181" s="279">
        <f>IF(B181&lt;$D$24,(+CALCULETTE!T760/CALCULETTE!$B$612),0)</f>
        <v/>
      </c>
      <c r="E181" s="279">
        <f>IF(E$1=0,"",IF($B181&lt;E$23,E180+PPMT(E$25/12,$B181,E$23,E$53,-E$27,0),IF($B181=E$23,E180+PPMT(E$25/12,$B181,E$23,E$53,-E$27,0)-E$27,0)))</f>
        <v/>
      </c>
      <c r="F181" s="279">
        <f>IF(F$1=0,"",IF($B181&lt;F$23,F180+PPMT(F$25/12,$B181,F$23,F$53,-F$27,0),IF($B181=F$23,F180+PPMT(F$25/12,$B181,F$23,F$53,-F$27,0)-F$27,0)))</f>
        <v/>
      </c>
      <c r="G181" s="279">
        <f>IF(G$1=0,"",IF($B181&lt;G$23,G180+PPMT(G$25/12,$B181,G$23,G$53,-G$27,0),IF($B181=G$23,G180+PPMT(G$25/12,$B181,G$23,G$53,-G$27,0)-G$27,0)))</f>
        <v/>
      </c>
      <c r="H181" s="279">
        <f>IF(H$1=0,"",IF($B181&lt;H$23,H180+PPMT(H$25/12,$B181,H$23,H$53,-H$27,0),IF($B181=H$23,H180+PPMT(H$25/12,$B181,H$23,H$53,-H$27,0)-H$27,0)))</f>
        <v/>
      </c>
      <c r="I181" s="279">
        <f>IF(I$1=0,"",IF($B181&lt;I$23,I180+PPMT(I$25/12,$B181,I$23,I$53,-I$27,0),IF($B181=I$23,I180+PPMT(I$25/12,$B181,I$23,I$53,-I$27,0)-I$27,0)))</f>
        <v/>
      </c>
      <c r="J181" s="279">
        <f>IF(J$1=0,"",IF($B181&lt;J$23,J180+PPMT(J$25/12,$B181,J$23,J$53,-J$27,0),IF($B181=J$23,J180+PPMT(J$25/12,$B181,J$23,J$53,-J$27,0)-J$27,0)))</f>
        <v/>
      </c>
      <c r="K181" s="279">
        <f>IF(K$1=0,"",IF($B181&lt;K$23,K180+PPMT(K$25/12,$B181,K$23,K$53,-K$27,0),IF($B181=K$23,K180+PPMT(K$25/12,$B181,K$23,K$53,-K$27,0)-K$27,0)))</f>
        <v/>
      </c>
      <c r="L181" s="279">
        <f>IF(L$1=0,"",IF($B181&lt;L$23,L180+PPMT(L$25/12,$B181,L$23,L$53,-L$27,0),IF($B181=L$23,L180+PPMT(L$25/12,$B181,L$23,L$53,-L$27,0)-L$27,0)))</f>
        <v/>
      </c>
      <c r="M181" s="279">
        <f>IF(M$1=0,"",IF($B181&lt;M$23,M180+PPMT(M$25/12,$B181,M$23,M$53,-M$27,0),IF($B181=M$23,M180+PPMT(M$25/12,$B181,M$23,M$53,-M$27,0)-M$27,0)))</f>
        <v/>
      </c>
      <c r="N181" s="280" t="n"/>
      <c r="O181" s="281" t="n"/>
    </row>
    <row r="182" hidden="1" outlineLevel="1">
      <c r="B182" s="2">
        <f>B181+1</f>
        <v/>
      </c>
      <c r="D182" s="279">
        <f>IF(B182&lt;$D$24,(+CALCULETTE!T761/CALCULETTE!$B$612),0)</f>
        <v/>
      </c>
      <c r="E182" s="279">
        <f>IF(E$1=0,"",IF($B182&lt;E$23,E181+PPMT(E$25/12,$B182,E$23,E$53,-E$27,0),IF($B182=E$23,E181+PPMT(E$25/12,$B182,E$23,E$53,-E$27,0)-E$27,0)))</f>
        <v/>
      </c>
      <c r="F182" s="279">
        <f>IF(F$1=0,"",IF($B182&lt;F$23,F181+PPMT(F$25/12,$B182,F$23,F$53,-F$27,0),IF($B182=F$23,F181+PPMT(F$25/12,$B182,F$23,F$53,-F$27,0)-F$27,0)))</f>
        <v/>
      </c>
      <c r="G182" s="279">
        <f>IF(G$1=0,"",IF($B182&lt;G$23,G181+PPMT(G$25/12,$B182,G$23,G$53,-G$27,0),IF($B182=G$23,G181+PPMT(G$25/12,$B182,G$23,G$53,-G$27,0)-G$27,0)))</f>
        <v/>
      </c>
      <c r="H182" s="279">
        <f>IF(H$1=0,"",IF($B182&lt;H$23,H181+PPMT(H$25/12,$B182,H$23,H$53,-H$27,0),IF($B182=H$23,H181+PPMT(H$25/12,$B182,H$23,H$53,-H$27,0)-H$27,0)))</f>
        <v/>
      </c>
      <c r="I182" s="279">
        <f>IF(I$1=0,"",IF($B182&lt;I$23,I181+PPMT(I$25/12,$B182,I$23,I$53,-I$27,0),IF($B182=I$23,I181+PPMT(I$25/12,$B182,I$23,I$53,-I$27,0)-I$27,0)))</f>
        <v/>
      </c>
      <c r="J182" s="279">
        <f>IF(J$1=0,"",IF($B182&lt;J$23,J181+PPMT(J$25/12,$B182,J$23,J$53,-J$27,0),IF($B182=J$23,J181+PPMT(J$25/12,$B182,J$23,J$53,-J$27,0)-J$27,0)))</f>
        <v/>
      </c>
      <c r="K182" s="279">
        <f>IF(K$1=0,"",IF($B182&lt;K$23,K181+PPMT(K$25/12,$B182,K$23,K$53,-K$27,0),IF($B182=K$23,K181+PPMT(K$25/12,$B182,K$23,K$53,-K$27,0)-K$27,0)))</f>
        <v/>
      </c>
      <c r="L182" s="279">
        <f>IF(L$1=0,"",IF($B182&lt;L$23,L181+PPMT(L$25/12,$B182,L$23,L$53,-L$27,0),IF($B182=L$23,L181+PPMT(L$25/12,$B182,L$23,L$53,-L$27,0)-L$27,0)))</f>
        <v/>
      </c>
      <c r="M182" s="279">
        <f>IF(M$1=0,"",IF($B182&lt;M$23,M181+PPMT(M$25/12,$B182,M$23,M$53,-M$27,0),IF($B182=M$23,M181+PPMT(M$25/12,$B182,M$23,M$53,-M$27,0)-M$27,0)))</f>
        <v/>
      </c>
      <c r="N182" s="280" t="n"/>
      <c r="O182" s="281" t="n"/>
    </row>
    <row r="183" hidden="1" outlineLevel="1">
      <c r="B183" s="2">
        <f>B182+1</f>
        <v/>
      </c>
      <c r="D183" s="279">
        <f>IF(B183&lt;$D$24,(+CALCULETTE!T762/CALCULETTE!$B$612),0)</f>
        <v/>
      </c>
      <c r="E183" s="279">
        <f>IF(E$1=0,"",IF($B183&lt;E$23,E182+PPMT(E$25/12,$B183,E$23,E$53,-E$27,0),IF($B183=E$23,E182+PPMT(E$25/12,$B183,E$23,E$53,-E$27,0)-E$27,0)))</f>
        <v/>
      </c>
      <c r="F183" s="279">
        <f>IF(F$1=0,"",IF($B183&lt;F$23,F182+PPMT(F$25/12,$B183,F$23,F$53,-F$27,0),IF($B183=F$23,F182+PPMT(F$25/12,$B183,F$23,F$53,-F$27,0)-F$27,0)))</f>
        <v/>
      </c>
      <c r="G183" s="279">
        <f>IF(G$1=0,"",IF($B183&lt;G$23,G182+PPMT(G$25/12,$B183,G$23,G$53,-G$27,0),IF($B183=G$23,G182+PPMT(G$25/12,$B183,G$23,G$53,-G$27,0)-G$27,0)))</f>
        <v/>
      </c>
      <c r="H183" s="279">
        <f>IF(H$1=0,"",IF($B183&lt;H$23,H182+PPMT(H$25/12,$B183,H$23,H$53,-H$27,0),IF($B183=H$23,H182+PPMT(H$25/12,$B183,H$23,H$53,-H$27,0)-H$27,0)))</f>
        <v/>
      </c>
      <c r="I183" s="279">
        <f>IF(I$1=0,"",IF($B183&lt;I$23,I182+PPMT(I$25/12,$B183,I$23,I$53,-I$27,0),IF($B183=I$23,I182+PPMT(I$25/12,$B183,I$23,I$53,-I$27,0)-I$27,0)))</f>
        <v/>
      </c>
      <c r="J183" s="279">
        <f>IF(J$1=0,"",IF($B183&lt;J$23,J182+PPMT(J$25/12,$B183,J$23,J$53,-J$27,0),IF($B183=J$23,J182+PPMT(J$25/12,$B183,J$23,J$53,-J$27,0)-J$27,0)))</f>
        <v/>
      </c>
      <c r="K183" s="279">
        <f>IF(K$1=0,"",IF($B183&lt;K$23,K182+PPMT(K$25/12,$B183,K$23,K$53,-K$27,0),IF($B183=K$23,K182+PPMT(K$25/12,$B183,K$23,K$53,-K$27,0)-K$27,0)))</f>
        <v/>
      </c>
      <c r="L183" s="279">
        <f>IF(L$1=0,"",IF($B183&lt;L$23,L182+PPMT(L$25/12,$B183,L$23,L$53,-L$27,0),IF($B183=L$23,L182+PPMT(L$25/12,$B183,L$23,L$53,-L$27,0)-L$27,0)))</f>
        <v/>
      </c>
      <c r="M183" s="279">
        <f>IF(M$1=0,"",IF($B183&lt;M$23,M182+PPMT(M$25/12,$B183,M$23,M$53,-M$27,0),IF($B183=M$23,M182+PPMT(M$25/12,$B183,M$23,M$53,-M$27,0)-M$27,0)))</f>
        <v/>
      </c>
      <c r="N183" s="280" t="n"/>
      <c r="O183" s="281" t="n"/>
    </row>
    <row r="184" hidden="1" outlineLevel="1">
      <c r="B184" s="2">
        <f>B183+1</f>
        <v/>
      </c>
      <c r="D184" s="279">
        <f>IF(B184&lt;$D$24,(+CALCULETTE!T763/CALCULETTE!$B$612),0)</f>
        <v/>
      </c>
      <c r="E184" s="279">
        <f>IF(E$1=0,"",IF($B184&lt;E$23,E183+PPMT(E$25/12,$B184,E$23,E$53,-E$27,0),IF($B184=E$23,E183+PPMT(E$25/12,$B184,E$23,E$53,-E$27,0)-E$27,0)))</f>
        <v/>
      </c>
      <c r="F184" s="279">
        <f>IF(F$1=0,"",IF($B184&lt;F$23,F183+PPMT(F$25/12,$B184,F$23,F$53,-F$27,0),IF($B184=F$23,F183+PPMT(F$25/12,$B184,F$23,F$53,-F$27,0)-F$27,0)))</f>
        <v/>
      </c>
      <c r="G184" s="279">
        <f>IF(G$1=0,"",IF($B184&lt;G$23,G183+PPMT(G$25/12,$B184,G$23,G$53,-G$27,0),IF($B184=G$23,G183+PPMT(G$25/12,$B184,G$23,G$53,-G$27,0)-G$27,0)))</f>
        <v/>
      </c>
      <c r="H184" s="279">
        <f>IF(H$1=0,"",IF($B184&lt;H$23,H183+PPMT(H$25/12,$B184,H$23,H$53,-H$27,0),IF($B184=H$23,H183+PPMT(H$25/12,$B184,H$23,H$53,-H$27,0)-H$27,0)))</f>
        <v/>
      </c>
      <c r="I184" s="279">
        <f>IF(I$1=0,"",IF($B184&lt;I$23,I183+PPMT(I$25/12,$B184,I$23,I$53,-I$27,0),IF($B184=I$23,I183+PPMT(I$25/12,$B184,I$23,I$53,-I$27,0)-I$27,0)))</f>
        <v/>
      </c>
      <c r="J184" s="279">
        <f>IF(J$1=0,"",IF($B184&lt;J$23,J183+PPMT(J$25/12,$B184,J$23,J$53,-J$27,0),IF($B184=J$23,J183+PPMT(J$25/12,$B184,J$23,J$53,-J$27,0)-J$27,0)))</f>
        <v/>
      </c>
      <c r="K184" s="279">
        <f>IF(K$1=0,"",IF($B184&lt;K$23,K183+PPMT(K$25/12,$B184,K$23,K$53,-K$27,0),IF($B184=K$23,K183+PPMT(K$25/12,$B184,K$23,K$53,-K$27,0)-K$27,0)))</f>
        <v/>
      </c>
      <c r="L184" s="279">
        <f>IF(L$1=0,"",IF($B184&lt;L$23,L183+PPMT(L$25/12,$B184,L$23,L$53,-L$27,0),IF($B184=L$23,L183+PPMT(L$25/12,$B184,L$23,L$53,-L$27,0)-L$27,0)))</f>
        <v/>
      </c>
      <c r="M184" s="279">
        <f>IF(M$1=0,"",IF($B184&lt;M$23,M183+PPMT(M$25/12,$B184,M$23,M$53,-M$27,0),IF($B184=M$23,M183+PPMT(M$25/12,$B184,M$23,M$53,-M$27,0)-M$27,0)))</f>
        <v/>
      </c>
      <c r="N184" s="280" t="n"/>
      <c r="O184" s="281" t="n"/>
    </row>
    <row r="185" hidden="1" outlineLevel="1">
      <c r="B185" s="2">
        <f>B184+1</f>
        <v/>
      </c>
      <c r="D185" s="279">
        <f>IF(B185&lt;$D$24,(+CALCULETTE!T764/CALCULETTE!$B$612),0)</f>
        <v/>
      </c>
      <c r="E185" s="279">
        <f>IF(E$1=0,"",IF($B185&lt;E$23,E184+PPMT(E$25/12,$B185,E$23,E$53,-E$27,0),IF($B185=E$23,E184+PPMT(E$25/12,$B185,E$23,E$53,-E$27,0)-E$27,0)))</f>
        <v/>
      </c>
      <c r="F185" s="279">
        <f>IF(F$1=0,"",IF($B185&lt;F$23,F184+PPMT(F$25/12,$B185,F$23,F$53,-F$27,0),IF($B185=F$23,F184+PPMT(F$25/12,$B185,F$23,F$53,-F$27,0)-F$27,0)))</f>
        <v/>
      </c>
      <c r="G185" s="279">
        <f>IF(G$1=0,"",IF($B185&lt;G$23,G184+PPMT(G$25/12,$B185,G$23,G$53,-G$27,0),IF($B185=G$23,G184+PPMT(G$25/12,$B185,G$23,G$53,-G$27,0)-G$27,0)))</f>
        <v/>
      </c>
      <c r="H185" s="279">
        <f>IF(H$1=0,"",IF($B185&lt;H$23,H184+PPMT(H$25/12,$B185,H$23,H$53,-H$27,0),IF($B185=H$23,H184+PPMT(H$25/12,$B185,H$23,H$53,-H$27,0)-H$27,0)))</f>
        <v/>
      </c>
      <c r="I185" s="279">
        <f>IF(I$1=0,"",IF($B185&lt;I$23,I184+PPMT(I$25/12,$B185,I$23,I$53,-I$27,0),IF($B185=I$23,I184+PPMT(I$25/12,$B185,I$23,I$53,-I$27,0)-I$27,0)))</f>
        <v/>
      </c>
      <c r="J185" s="279">
        <f>IF(J$1=0,"",IF($B185&lt;J$23,J184+PPMT(J$25/12,$B185,J$23,J$53,-J$27,0),IF($B185=J$23,J184+PPMT(J$25/12,$B185,J$23,J$53,-J$27,0)-J$27,0)))</f>
        <v/>
      </c>
      <c r="K185" s="279">
        <f>IF(K$1=0,"",IF($B185&lt;K$23,K184+PPMT(K$25/12,$B185,K$23,K$53,-K$27,0),IF($B185=K$23,K184+PPMT(K$25/12,$B185,K$23,K$53,-K$27,0)-K$27,0)))</f>
        <v/>
      </c>
      <c r="L185" s="279">
        <f>IF(L$1=0,"",IF($B185&lt;L$23,L184+PPMT(L$25/12,$B185,L$23,L$53,-L$27,0),IF($B185=L$23,L184+PPMT(L$25/12,$B185,L$23,L$53,-L$27,0)-L$27,0)))</f>
        <v/>
      </c>
      <c r="M185" s="279">
        <f>IF(M$1=0,"",IF($B185&lt;M$23,M184+PPMT(M$25/12,$B185,M$23,M$53,-M$27,0),IF($B185=M$23,M184+PPMT(M$25/12,$B185,M$23,M$53,-M$27,0)-M$27,0)))</f>
        <v/>
      </c>
      <c r="N185" s="280" t="n"/>
      <c r="O185" s="281" t="n"/>
    </row>
    <row r="186" hidden="1" outlineLevel="1">
      <c r="B186" s="2">
        <f>B185+1</f>
        <v/>
      </c>
      <c r="D186" s="279">
        <f>IF(B186&lt;$D$24,(+CALCULETTE!T765/CALCULETTE!$B$612),0)</f>
        <v/>
      </c>
      <c r="E186" s="279">
        <f>IF(E$1=0,"",IF($B186&lt;E$23,E185+PPMT(E$25/12,$B186,E$23,E$53,-E$27,0),IF($B186=E$23,E185+PPMT(E$25/12,$B186,E$23,E$53,-E$27,0)-E$27,0)))</f>
        <v/>
      </c>
      <c r="F186" s="279">
        <f>IF(F$1=0,"",IF($B186&lt;F$23,F185+PPMT(F$25/12,$B186,F$23,F$53,-F$27,0),IF($B186=F$23,F185+PPMT(F$25/12,$B186,F$23,F$53,-F$27,0)-F$27,0)))</f>
        <v/>
      </c>
      <c r="G186" s="279">
        <f>IF(G$1=0,"",IF($B186&lt;G$23,G185+PPMT(G$25/12,$B186,G$23,G$53,-G$27,0),IF($B186=G$23,G185+PPMT(G$25/12,$B186,G$23,G$53,-G$27,0)-G$27,0)))</f>
        <v/>
      </c>
      <c r="H186" s="279">
        <f>IF(H$1=0,"",IF($B186&lt;H$23,H185+PPMT(H$25/12,$B186,H$23,H$53,-H$27,0),IF($B186=H$23,H185+PPMT(H$25/12,$B186,H$23,H$53,-H$27,0)-H$27,0)))</f>
        <v/>
      </c>
      <c r="I186" s="279">
        <f>IF(I$1=0,"",IF($B186&lt;I$23,I185+PPMT(I$25/12,$B186,I$23,I$53,-I$27,0),IF($B186=I$23,I185+PPMT(I$25/12,$B186,I$23,I$53,-I$27,0)-I$27,0)))</f>
        <v/>
      </c>
      <c r="J186" s="279">
        <f>IF(J$1=0,"",IF($B186&lt;J$23,J185+PPMT(J$25/12,$B186,J$23,J$53,-J$27,0),IF($B186=J$23,J185+PPMT(J$25/12,$B186,J$23,J$53,-J$27,0)-J$27,0)))</f>
        <v/>
      </c>
      <c r="K186" s="279">
        <f>IF(K$1=0,"",IF($B186&lt;K$23,K185+PPMT(K$25/12,$B186,K$23,K$53,-K$27,0),IF($B186=K$23,K185+PPMT(K$25/12,$B186,K$23,K$53,-K$27,0)-K$27,0)))</f>
        <v/>
      </c>
      <c r="L186" s="279">
        <f>IF(L$1=0,"",IF($B186&lt;L$23,L185+PPMT(L$25/12,$B186,L$23,L$53,-L$27,0),IF($B186=L$23,L185+PPMT(L$25/12,$B186,L$23,L$53,-L$27,0)-L$27,0)))</f>
        <v/>
      </c>
      <c r="M186" s="279">
        <f>IF(M$1=0,"",IF($B186&lt;M$23,M185+PPMT(M$25/12,$B186,M$23,M$53,-M$27,0),IF($B186=M$23,M185+PPMT(M$25/12,$B186,M$23,M$53,-M$27,0)-M$27,0)))</f>
        <v/>
      </c>
      <c r="N186" s="280" t="n"/>
      <c r="O186" s="281" t="n"/>
    </row>
    <row r="187" hidden="1" outlineLevel="1">
      <c r="B187" s="2">
        <f>B186+1</f>
        <v/>
      </c>
      <c r="D187" s="279">
        <f>IF(B187&lt;$D$24,(+CALCULETTE!T766/CALCULETTE!$B$612),0)</f>
        <v/>
      </c>
      <c r="E187" s="279">
        <f>IF(E$1=0,"",IF($B187&lt;E$23,E186+PPMT(E$25/12,$B187,E$23,E$53,-E$27,0),IF($B187=E$23,E186+PPMT(E$25/12,$B187,E$23,E$53,-E$27,0)-E$27,0)))</f>
        <v/>
      </c>
      <c r="F187" s="279">
        <f>IF(F$1=0,"",IF($B187&lt;F$23,F186+PPMT(F$25/12,$B187,F$23,F$53,-F$27,0),IF($B187=F$23,F186+PPMT(F$25/12,$B187,F$23,F$53,-F$27,0)-F$27,0)))</f>
        <v/>
      </c>
      <c r="G187" s="279">
        <f>IF(G$1=0,"",IF($B187&lt;G$23,G186+PPMT(G$25/12,$B187,G$23,G$53,-G$27,0),IF($B187=G$23,G186+PPMT(G$25/12,$B187,G$23,G$53,-G$27,0)-G$27,0)))</f>
        <v/>
      </c>
      <c r="H187" s="279">
        <f>IF(H$1=0,"",IF($B187&lt;H$23,H186+PPMT(H$25/12,$B187,H$23,H$53,-H$27,0),IF($B187=H$23,H186+PPMT(H$25/12,$B187,H$23,H$53,-H$27,0)-H$27,0)))</f>
        <v/>
      </c>
      <c r="I187" s="279">
        <f>IF(I$1=0,"",IF($B187&lt;I$23,I186+PPMT(I$25/12,$B187,I$23,I$53,-I$27,0),IF($B187=I$23,I186+PPMT(I$25/12,$B187,I$23,I$53,-I$27,0)-I$27,0)))</f>
        <v/>
      </c>
      <c r="J187" s="279">
        <f>IF(J$1=0,"",IF($B187&lt;J$23,J186+PPMT(J$25/12,$B187,J$23,J$53,-J$27,0),IF($B187=J$23,J186+PPMT(J$25/12,$B187,J$23,J$53,-J$27,0)-J$27,0)))</f>
        <v/>
      </c>
      <c r="K187" s="279">
        <f>IF(K$1=0,"",IF($B187&lt;K$23,K186+PPMT(K$25/12,$B187,K$23,K$53,-K$27,0),IF($B187=K$23,K186+PPMT(K$25/12,$B187,K$23,K$53,-K$27,0)-K$27,0)))</f>
        <v/>
      </c>
      <c r="L187" s="279">
        <f>IF(L$1=0,"",IF($B187&lt;L$23,L186+PPMT(L$25/12,$B187,L$23,L$53,-L$27,0),IF($B187=L$23,L186+PPMT(L$25/12,$B187,L$23,L$53,-L$27,0)-L$27,0)))</f>
        <v/>
      </c>
      <c r="M187" s="279">
        <f>IF(M$1=0,"",IF($B187&lt;M$23,M186+PPMT(M$25/12,$B187,M$23,M$53,-M$27,0),IF($B187=M$23,M186+PPMT(M$25/12,$B187,M$23,M$53,-M$27,0)-M$27,0)))</f>
        <v/>
      </c>
      <c r="N187" s="280" t="n"/>
      <c r="O187" s="281" t="n"/>
    </row>
    <row r="188" hidden="1" outlineLevel="1">
      <c r="B188" s="2">
        <f>B187+1</f>
        <v/>
      </c>
      <c r="D188" s="279">
        <f>IF(B188&lt;$D$24,(+#REF!/CALCULETTE!$B$612),0)</f>
        <v/>
      </c>
      <c r="E188" s="279">
        <f>IF(E$1=0,"",IF($B188&lt;E$23,E187+PPMT(E$25/12,$B188,E$23,E$53,-E$27,0),IF($B188=E$23,E187+PPMT(E$25/12,$B188,E$23,E$53,-E$27,0)-E$27,0)))</f>
        <v/>
      </c>
      <c r="F188" s="279">
        <f>IF(F$1=0,"",IF($B188&lt;F$23,F187+PPMT(F$25/12,$B188,F$23,F$53,-F$27,0),IF($B188=F$23,F187+PPMT(F$25/12,$B188,F$23,F$53,-F$27,0)-F$27,0)))</f>
        <v/>
      </c>
      <c r="G188" s="279">
        <f>IF(G$1=0,"",IF($B188&lt;G$23,G187+PPMT(G$25/12,$B188,G$23,G$53,-G$27,0),IF($B188=G$23,G187+PPMT(G$25/12,$B188,G$23,G$53,-G$27,0)-G$27,0)))</f>
        <v/>
      </c>
      <c r="H188" s="279">
        <f>IF(H$1=0,"",IF($B188&lt;H$23,H187+PPMT(H$25/12,$B188,H$23,H$53,-H$27,0),IF($B188=H$23,H187+PPMT(H$25/12,$B188,H$23,H$53,-H$27,0)-H$27,0)))</f>
        <v/>
      </c>
      <c r="I188" s="279">
        <f>IF(I$1=0,"",IF($B188&lt;I$23,I187+PPMT(I$25/12,$B188,I$23,I$53,-I$27,0),IF($B188=I$23,I187+PPMT(I$25/12,$B188,I$23,I$53,-I$27,0)-I$27,0)))</f>
        <v/>
      </c>
      <c r="J188" s="279">
        <f>IF(J$1=0,"",IF($B188&lt;J$23,J187+PPMT(J$25/12,$B188,J$23,J$53,-J$27,0),IF($B188=J$23,J187+PPMT(J$25/12,$B188,J$23,J$53,-J$27,0)-J$27,0)))</f>
        <v/>
      </c>
      <c r="K188" s="279">
        <f>IF(K$1=0,"",IF($B188&lt;K$23,K187+PPMT(K$25/12,$B188,K$23,K$53,-K$27,0),IF($B188=K$23,K187+PPMT(K$25/12,$B188,K$23,K$53,-K$27,0)-K$27,0)))</f>
        <v/>
      </c>
      <c r="L188" s="279">
        <f>IF(L$1=0,"",IF($B188&lt;L$23,L187+PPMT(L$25/12,$B188,L$23,L$53,-L$27,0),IF($B188=L$23,L187+PPMT(L$25/12,$B188,L$23,L$53,-L$27,0)-L$27,0)))</f>
        <v/>
      </c>
      <c r="M188" s="279">
        <f>IF(M$1=0,"",IF($B188&lt;M$23,M187+PPMT(M$25/12,$B188,M$23,M$53,-M$27,0),IF($B188=M$23,M187+PPMT(M$25/12,$B188,M$23,M$53,-M$27,0)-M$27,0)))</f>
        <v/>
      </c>
      <c r="N188" s="280" t="n"/>
      <c r="O188" s="281" t="n"/>
    </row>
    <row r="189" hidden="1" outlineLevel="1">
      <c r="B189" s="2">
        <f>B188+1</f>
        <v/>
      </c>
      <c r="D189" s="279">
        <f>IF(B189&lt;$D$24,(+#REF!/CALCULETTE!$B$612),0)</f>
        <v/>
      </c>
      <c r="E189" s="279">
        <f>IF(E$1=0,"",IF($B189&lt;E$23,E188+PPMT(E$25/12,$B189,E$23,E$53,-E$27,0),IF($B189=E$23,E188+PPMT(E$25/12,$B189,E$23,E$53,-E$27,0)-E$27,0)))</f>
        <v/>
      </c>
      <c r="F189" s="279">
        <f>IF(F$1=0,"",IF($B189&lt;F$23,F188+PPMT(F$25/12,$B189,F$23,F$53,-F$27,0),IF($B189=F$23,F188+PPMT(F$25/12,$B189,F$23,F$53,-F$27,0)-F$27,0)))</f>
        <v/>
      </c>
      <c r="G189" s="279">
        <f>IF(G$1=0,"",IF($B189&lt;G$23,G188+PPMT(G$25/12,$B189,G$23,G$53,-G$27,0),IF($B189=G$23,G188+PPMT(G$25/12,$B189,G$23,G$53,-G$27,0)-G$27,0)))</f>
        <v/>
      </c>
      <c r="H189" s="279">
        <f>IF(H$1=0,"",IF($B189&lt;H$23,H188+PPMT(H$25/12,$B189,H$23,H$53,-H$27,0),IF($B189=H$23,H188+PPMT(H$25/12,$B189,H$23,H$53,-H$27,0)-H$27,0)))</f>
        <v/>
      </c>
      <c r="I189" s="279">
        <f>IF(I$1=0,"",IF($B189&lt;I$23,I188+PPMT(I$25/12,$B189,I$23,I$53,-I$27,0),IF($B189=I$23,I188+PPMT(I$25/12,$B189,I$23,I$53,-I$27,0)-I$27,0)))</f>
        <v/>
      </c>
      <c r="J189" s="279">
        <f>IF(J$1=0,"",IF($B189&lt;J$23,J188+PPMT(J$25/12,$B189,J$23,J$53,-J$27,0),IF($B189=J$23,J188+PPMT(J$25/12,$B189,J$23,J$53,-J$27,0)-J$27,0)))</f>
        <v/>
      </c>
      <c r="K189" s="279">
        <f>IF(K$1=0,"",IF($B189&lt;K$23,K188+PPMT(K$25/12,$B189,K$23,K$53,-K$27,0),IF($B189=K$23,K188+PPMT(K$25/12,$B189,K$23,K$53,-K$27,0)-K$27,0)))</f>
        <v/>
      </c>
      <c r="L189" s="279">
        <f>IF(L$1=0,"",IF($B189&lt;L$23,L188+PPMT(L$25/12,$B189,L$23,L$53,-L$27,0),IF($B189=L$23,L188+PPMT(L$25/12,$B189,L$23,L$53,-L$27,0)-L$27,0)))</f>
        <v/>
      </c>
      <c r="M189" s="279">
        <f>IF(M$1=0,"",IF($B189&lt;M$23,M188+PPMT(M$25/12,$B189,M$23,M$53,-M$27,0),IF($B189=M$23,M188+PPMT(M$25/12,$B189,M$23,M$53,-M$27,0)-M$27,0)))</f>
        <v/>
      </c>
      <c r="N189" s="280" t="n"/>
      <c r="O189" s="281" t="n"/>
    </row>
    <row r="190" hidden="1" outlineLevel="1">
      <c r="B190" s="2">
        <f>B189+1</f>
        <v/>
      </c>
      <c r="D190" s="279">
        <f>IF(B190&lt;$D$24,(+#REF!/CALCULETTE!$B$612),0)</f>
        <v/>
      </c>
      <c r="E190" s="279">
        <f>IF(E$1=0,"",IF($B190&lt;E$23,E189+PPMT(E$25/12,$B190,E$23,E$53,-E$27,0),IF($B190=E$23,E189+PPMT(E$25/12,$B190,E$23,E$53,-E$27,0)-E$27,0)))</f>
        <v/>
      </c>
      <c r="F190" s="279">
        <f>IF(F$1=0,"",IF($B190&lt;F$23,F189+PPMT(F$25/12,$B190,F$23,F$53,-F$27,0),IF($B190=F$23,F189+PPMT(F$25/12,$B190,F$23,F$53,-F$27,0)-F$27,0)))</f>
        <v/>
      </c>
      <c r="G190" s="279">
        <f>IF(G$1=0,"",IF($B190&lt;G$23,G189+PPMT(G$25/12,$B190,G$23,G$53,-G$27,0),IF($B190=G$23,G189+PPMT(G$25/12,$B190,G$23,G$53,-G$27,0)-G$27,0)))</f>
        <v/>
      </c>
      <c r="H190" s="279">
        <f>IF(H$1=0,"",IF($B190&lt;H$23,H189+PPMT(H$25/12,$B190,H$23,H$53,-H$27,0),IF($B190=H$23,H189+PPMT(H$25/12,$B190,H$23,H$53,-H$27,0)-H$27,0)))</f>
        <v/>
      </c>
      <c r="I190" s="279">
        <f>IF(I$1=0,"",IF($B190&lt;I$23,I189+PPMT(I$25/12,$B190,I$23,I$53,-I$27,0),IF($B190=I$23,I189+PPMT(I$25/12,$B190,I$23,I$53,-I$27,0)-I$27,0)))</f>
        <v/>
      </c>
      <c r="J190" s="279">
        <f>IF(J$1=0,"",IF($B190&lt;J$23,J189+PPMT(J$25/12,$B190,J$23,J$53,-J$27,0),IF($B190=J$23,J189+PPMT(J$25/12,$B190,J$23,J$53,-J$27,0)-J$27,0)))</f>
        <v/>
      </c>
      <c r="K190" s="279">
        <f>IF(K$1=0,"",IF($B190&lt;K$23,K189+PPMT(K$25/12,$B190,K$23,K$53,-K$27,0),IF($B190=K$23,K189+PPMT(K$25/12,$B190,K$23,K$53,-K$27,0)-K$27,0)))</f>
        <v/>
      </c>
      <c r="L190" s="279">
        <f>IF(L$1=0,"",IF($B190&lt;L$23,L189+PPMT(L$25/12,$B190,L$23,L$53,-L$27,0),IF($B190=L$23,L189+PPMT(L$25/12,$B190,L$23,L$53,-L$27,0)-L$27,0)))</f>
        <v/>
      </c>
      <c r="M190" s="279">
        <f>IF(M$1=0,"",IF($B190&lt;M$23,M189+PPMT(M$25/12,$B190,M$23,M$53,-M$27,0),IF($B190=M$23,M189+PPMT(M$25/12,$B190,M$23,M$53,-M$27,0)-M$27,0)))</f>
        <v/>
      </c>
      <c r="N190" s="280" t="n"/>
      <c r="O190" s="281" t="n"/>
    </row>
    <row r="191" hidden="1" outlineLevel="1">
      <c r="B191" s="2">
        <f>B190+1</f>
        <v/>
      </c>
      <c r="D191" s="279">
        <f>IF(B191&lt;$D$24,(+#REF!/CALCULETTE!$B$612),0)</f>
        <v/>
      </c>
      <c r="E191" s="279">
        <f>IF(E$1=0,"",IF($B191&lt;E$23,E190+PPMT(E$25/12,$B191,E$23,E$53,-E$27,0),IF($B191=E$23,E190+PPMT(E$25/12,$B191,E$23,E$53,-E$27,0)-E$27,0)))</f>
        <v/>
      </c>
      <c r="F191" s="279">
        <f>IF(F$1=0,"",IF($B191&lt;F$23,F190+PPMT(F$25/12,$B191,F$23,F$53,-F$27,0),IF($B191=F$23,F190+PPMT(F$25/12,$B191,F$23,F$53,-F$27,0)-F$27,0)))</f>
        <v/>
      </c>
      <c r="G191" s="279">
        <f>IF(G$1=0,"",IF($B191&lt;G$23,G190+PPMT(G$25/12,$B191,G$23,G$53,-G$27,0),IF($B191=G$23,G190+PPMT(G$25/12,$B191,G$23,G$53,-G$27,0)-G$27,0)))</f>
        <v/>
      </c>
      <c r="H191" s="279">
        <f>IF(H$1=0,"",IF($B191&lt;H$23,H190+PPMT(H$25/12,$B191,H$23,H$53,-H$27,0),IF($B191=H$23,H190+PPMT(H$25/12,$B191,H$23,H$53,-H$27,0)-H$27,0)))</f>
        <v/>
      </c>
      <c r="I191" s="279">
        <f>IF(I$1=0,"",IF($B191&lt;I$23,I190+PPMT(I$25/12,$B191,I$23,I$53,-I$27,0),IF($B191=I$23,I190+PPMT(I$25/12,$B191,I$23,I$53,-I$27,0)-I$27,0)))</f>
        <v/>
      </c>
      <c r="J191" s="279">
        <f>IF(J$1=0,"",IF($B191&lt;J$23,J190+PPMT(J$25/12,$B191,J$23,J$53,-J$27,0),IF($B191=J$23,J190+PPMT(J$25/12,$B191,J$23,J$53,-J$27,0)-J$27,0)))</f>
        <v/>
      </c>
      <c r="K191" s="279">
        <f>IF(K$1=0,"",IF($B191&lt;K$23,K190+PPMT(K$25/12,$B191,K$23,K$53,-K$27,0),IF($B191=K$23,K190+PPMT(K$25/12,$B191,K$23,K$53,-K$27,0)-K$27,0)))</f>
        <v/>
      </c>
      <c r="L191" s="279">
        <f>IF(L$1=0,"",IF($B191&lt;L$23,L190+PPMT(L$25/12,$B191,L$23,L$53,-L$27,0),IF($B191=L$23,L190+PPMT(L$25/12,$B191,L$23,L$53,-L$27,0)-L$27,0)))</f>
        <v/>
      </c>
      <c r="M191" s="279">
        <f>IF(M$1=0,"",IF($B191&lt;M$23,M190+PPMT(M$25/12,$B191,M$23,M$53,-M$27,0),IF($B191=M$23,M190+PPMT(M$25/12,$B191,M$23,M$53,-M$27,0)-M$27,0)))</f>
        <v/>
      </c>
      <c r="N191" s="280" t="n"/>
      <c r="O191" s="281" t="n"/>
    </row>
    <row r="192" hidden="1" outlineLevel="1">
      <c r="B192" s="2">
        <f>B191+1</f>
        <v/>
      </c>
      <c r="D192" s="279">
        <f>IF(B192&lt;$D$24,(+#REF!/CALCULETTE!$B$612),0)</f>
        <v/>
      </c>
      <c r="E192" s="279">
        <f>IF(E$1=0,"",IF($B192&lt;E$23,E191+PPMT(E$25/12,$B192,E$23,E$53,-E$27,0),IF($B192=E$23,E191+PPMT(E$25/12,$B192,E$23,E$53,-E$27,0)-E$27,0)))</f>
        <v/>
      </c>
      <c r="F192" s="279">
        <f>IF(F$1=0,"",IF($B192&lt;F$23,F191+PPMT(F$25/12,$B192,F$23,F$53,-F$27,0),IF($B192=F$23,F191+PPMT(F$25/12,$B192,F$23,F$53,-F$27,0)-F$27,0)))</f>
        <v/>
      </c>
      <c r="G192" s="279">
        <f>IF(G$1=0,"",IF($B192&lt;G$23,G191+PPMT(G$25/12,$B192,G$23,G$53,-G$27,0),IF($B192=G$23,G191+PPMT(G$25/12,$B192,G$23,G$53,-G$27,0)-G$27,0)))</f>
        <v/>
      </c>
      <c r="H192" s="279">
        <f>IF(H$1=0,"",IF($B192&lt;H$23,H191+PPMT(H$25/12,$B192,H$23,H$53,-H$27,0),IF($B192=H$23,H191+PPMT(H$25/12,$B192,H$23,H$53,-H$27,0)-H$27,0)))</f>
        <v/>
      </c>
      <c r="I192" s="279">
        <f>IF(I$1=0,"",IF($B192&lt;I$23,I191+PPMT(I$25/12,$B192,I$23,I$53,-I$27,0),IF($B192=I$23,I191+PPMT(I$25/12,$B192,I$23,I$53,-I$27,0)-I$27,0)))</f>
        <v/>
      </c>
      <c r="J192" s="279">
        <f>IF(J$1=0,"",IF($B192&lt;J$23,J191+PPMT(J$25/12,$B192,J$23,J$53,-J$27,0),IF($B192=J$23,J191+PPMT(J$25/12,$B192,J$23,J$53,-J$27,0)-J$27,0)))</f>
        <v/>
      </c>
      <c r="K192" s="279">
        <f>IF(K$1=0,"",IF($B192&lt;K$23,K191+PPMT(K$25/12,$B192,K$23,K$53,-K$27,0),IF($B192=K$23,K191+PPMT(K$25/12,$B192,K$23,K$53,-K$27,0)-K$27,0)))</f>
        <v/>
      </c>
      <c r="L192" s="279">
        <f>IF(L$1=0,"",IF($B192&lt;L$23,L191+PPMT(L$25/12,$B192,L$23,L$53,-L$27,0),IF($B192=L$23,L191+PPMT(L$25/12,$B192,L$23,L$53,-L$27,0)-L$27,0)))</f>
        <v/>
      </c>
      <c r="M192" s="279">
        <f>IF(M$1=0,"",IF($B192&lt;M$23,M191+PPMT(M$25/12,$B192,M$23,M$53,-M$27,0),IF($B192=M$23,M191+PPMT(M$25/12,$B192,M$23,M$53,-M$27,0)-M$27,0)))</f>
        <v/>
      </c>
      <c r="N192" s="280" t="n"/>
      <c r="O192" s="281" t="n"/>
    </row>
    <row r="193" hidden="1" outlineLevel="1">
      <c r="B193" s="2">
        <f>B192+1</f>
        <v/>
      </c>
      <c r="D193" s="279">
        <f>IF(B193&lt;$D$24,(+#REF!/CALCULETTE!$B$612),0)</f>
        <v/>
      </c>
      <c r="E193" s="279">
        <f>IF(E$1=0,"",IF($B193&lt;E$23,E192+PPMT(E$25/12,$B193,E$23,E$53,-E$27,0),IF($B193=E$23,E192+PPMT(E$25/12,$B193,E$23,E$53,-E$27,0)-E$27,0)))</f>
        <v/>
      </c>
      <c r="F193" s="279">
        <f>IF(F$1=0,"",IF($B193&lt;F$23,F192+PPMT(F$25/12,$B193,F$23,F$53,-F$27,0),IF($B193=F$23,F192+PPMT(F$25/12,$B193,F$23,F$53,-F$27,0)-F$27,0)))</f>
        <v/>
      </c>
      <c r="G193" s="279">
        <f>IF(G$1=0,"",IF($B193&lt;G$23,G192+PPMT(G$25/12,$B193,G$23,G$53,-G$27,0),IF($B193=G$23,G192+PPMT(G$25/12,$B193,G$23,G$53,-G$27,0)-G$27,0)))</f>
        <v/>
      </c>
      <c r="H193" s="279">
        <f>IF(H$1=0,"",IF($B193&lt;H$23,H192+PPMT(H$25/12,$B193,H$23,H$53,-H$27,0),IF($B193=H$23,H192+PPMT(H$25/12,$B193,H$23,H$53,-H$27,0)-H$27,0)))</f>
        <v/>
      </c>
      <c r="I193" s="279">
        <f>IF(I$1=0,"",IF($B193&lt;I$23,I192+PPMT(I$25/12,$B193,I$23,I$53,-I$27,0),IF($B193=I$23,I192+PPMT(I$25/12,$B193,I$23,I$53,-I$27,0)-I$27,0)))</f>
        <v/>
      </c>
      <c r="J193" s="279">
        <f>IF(J$1=0,"",IF($B193&lt;J$23,J192+PPMT(J$25/12,$B193,J$23,J$53,-J$27,0),IF($B193=J$23,J192+PPMT(J$25/12,$B193,J$23,J$53,-J$27,0)-J$27,0)))</f>
        <v/>
      </c>
      <c r="K193" s="279">
        <f>IF(K$1=0,"",IF($B193&lt;K$23,K192+PPMT(K$25/12,$B193,K$23,K$53,-K$27,0),IF($B193=K$23,K192+PPMT(K$25/12,$B193,K$23,K$53,-K$27,0)-K$27,0)))</f>
        <v/>
      </c>
      <c r="L193" s="279">
        <f>IF(L$1=0,"",IF($B193&lt;L$23,L192+PPMT(L$25/12,$B193,L$23,L$53,-L$27,0),IF($B193=L$23,L192+PPMT(L$25/12,$B193,L$23,L$53,-L$27,0)-L$27,0)))</f>
        <v/>
      </c>
      <c r="M193" s="279">
        <f>IF(M$1=0,"",IF($B193&lt;M$23,M192+PPMT(M$25/12,$B193,M$23,M$53,-M$27,0),IF($B193=M$23,M192+PPMT(M$25/12,$B193,M$23,M$53,-M$27,0)-M$27,0)))</f>
        <v/>
      </c>
      <c r="N193" s="280" t="n"/>
      <c r="O193" s="281" t="n"/>
    </row>
    <row r="194" hidden="1" outlineLevel="1">
      <c r="B194" s="2">
        <f>B193+1</f>
        <v/>
      </c>
      <c r="D194" s="279">
        <f>IF(B194&lt;$D$24,(+#REF!/CALCULETTE!$B$612),0)</f>
        <v/>
      </c>
      <c r="E194" s="279">
        <f>IF(E$1=0,"",IF($B194&lt;E$23,E193+PPMT(E$25/12,$B194,E$23,E$53,-E$27,0),IF($B194=E$23,E193+PPMT(E$25/12,$B194,E$23,E$53,-E$27,0)-E$27,0)))</f>
        <v/>
      </c>
      <c r="F194" s="279">
        <f>IF(F$1=0,"",IF($B194&lt;F$23,F193+PPMT(F$25/12,$B194,F$23,F$53,-F$27,0),IF($B194=F$23,F193+PPMT(F$25/12,$B194,F$23,F$53,-F$27,0)-F$27,0)))</f>
        <v/>
      </c>
      <c r="G194" s="279">
        <f>IF(G$1=0,"",IF($B194&lt;G$23,G193+PPMT(G$25/12,$B194,G$23,G$53,-G$27,0),IF($B194=G$23,G193+PPMT(G$25/12,$B194,G$23,G$53,-G$27,0)-G$27,0)))</f>
        <v/>
      </c>
      <c r="H194" s="279">
        <f>IF(H$1=0,"",IF($B194&lt;H$23,H193+PPMT(H$25/12,$B194,H$23,H$53,-H$27,0),IF($B194=H$23,H193+PPMT(H$25/12,$B194,H$23,H$53,-H$27,0)-H$27,0)))</f>
        <v/>
      </c>
      <c r="I194" s="279">
        <f>IF(I$1=0,"",IF($B194&lt;I$23,I193+PPMT(I$25/12,$B194,I$23,I$53,-I$27,0),IF($B194=I$23,I193+PPMT(I$25/12,$B194,I$23,I$53,-I$27,0)-I$27,0)))</f>
        <v/>
      </c>
      <c r="J194" s="279">
        <f>IF(J$1=0,"",IF($B194&lt;J$23,J193+PPMT(J$25/12,$B194,J$23,J$53,-J$27,0),IF($B194=J$23,J193+PPMT(J$25/12,$B194,J$23,J$53,-J$27,0)-J$27,0)))</f>
        <v/>
      </c>
      <c r="K194" s="279">
        <f>IF(K$1=0,"",IF($B194&lt;K$23,K193+PPMT(K$25/12,$B194,K$23,K$53,-K$27,0),IF($B194=K$23,K193+PPMT(K$25/12,$B194,K$23,K$53,-K$27,0)-K$27,0)))</f>
        <v/>
      </c>
      <c r="L194" s="279">
        <f>IF(L$1=0,"",IF($B194&lt;L$23,L193+PPMT(L$25/12,$B194,L$23,L$53,-L$27,0),IF($B194=L$23,L193+PPMT(L$25/12,$B194,L$23,L$53,-L$27,0)-L$27,0)))</f>
        <v/>
      </c>
      <c r="M194" s="279">
        <f>IF(M$1=0,"",IF($B194&lt;M$23,M193+PPMT(M$25/12,$B194,M$23,M$53,-M$27,0),IF($B194=M$23,M193+PPMT(M$25/12,$B194,M$23,M$53,-M$27,0)-M$27,0)))</f>
        <v/>
      </c>
      <c r="N194" s="280" t="n"/>
      <c r="O194" s="281" t="n"/>
    </row>
    <row r="195" hidden="1" outlineLevel="1">
      <c r="B195" s="2">
        <f>B194+1</f>
        <v/>
      </c>
      <c r="D195" s="279">
        <f>IF(B195&lt;$D$24,(+#REF!/CALCULETTE!$B$612),0)</f>
        <v/>
      </c>
      <c r="E195" s="279">
        <f>IF(E$1=0,"",IF($B195&lt;E$23,E194+PPMT(E$25/12,$B195,E$23,E$53,-E$27,0),IF($B195=E$23,E194+PPMT(E$25/12,$B195,E$23,E$53,-E$27,0)-E$27,0)))</f>
        <v/>
      </c>
      <c r="F195" s="279">
        <f>IF(F$1=0,"",IF($B195&lt;F$23,F194+PPMT(F$25/12,$B195,F$23,F$53,-F$27,0),IF($B195=F$23,F194+PPMT(F$25/12,$B195,F$23,F$53,-F$27,0)-F$27,0)))</f>
        <v/>
      </c>
      <c r="G195" s="279">
        <f>IF(G$1=0,"",IF($B195&lt;G$23,G194+PPMT(G$25/12,$B195,G$23,G$53,-G$27,0),IF($B195=G$23,G194+PPMT(G$25/12,$B195,G$23,G$53,-G$27,0)-G$27,0)))</f>
        <v/>
      </c>
      <c r="H195" s="279">
        <f>IF(H$1=0,"",IF($B195&lt;H$23,H194+PPMT(H$25/12,$B195,H$23,H$53,-H$27,0),IF($B195=H$23,H194+PPMT(H$25/12,$B195,H$23,H$53,-H$27,0)-H$27,0)))</f>
        <v/>
      </c>
      <c r="I195" s="279">
        <f>IF(I$1=0,"",IF($B195&lt;I$23,I194+PPMT(I$25/12,$B195,I$23,I$53,-I$27,0),IF($B195=I$23,I194+PPMT(I$25/12,$B195,I$23,I$53,-I$27,0)-I$27,0)))</f>
        <v/>
      </c>
      <c r="J195" s="279">
        <f>IF(J$1=0,"",IF($B195&lt;J$23,J194+PPMT(J$25/12,$B195,J$23,J$53,-J$27,0),IF($B195=J$23,J194+PPMT(J$25/12,$B195,J$23,J$53,-J$27,0)-J$27,0)))</f>
        <v/>
      </c>
      <c r="K195" s="279">
        <f>IF(K$1=0,"",IF($B195&lt;K$23,K194+PPMT(K$25/12,$B195,K$23,K$53,-K$27,0),IF($B195=K$23,K194+PPMT(K$25/12,$B195,K$23,K$53,-K$27,0)-K$27,0)))</f>
        <v/>
      </c>
      <c r="L195" s="279">
        <f>IF(L$1=0,"",IF($B195&lt;L$23,L194+PPMT(L$25/12,$B195,L$23,L$53,-L$27,0),IF($B195=L$23,L194+PPMT(L$25/12,$B195,L$23,L$53,-L$27,0)-L$27,0)))</f>
        <v/>
      </c>
      <c r="M195" s="279">
        <f>IF(M$1=0,"",IF($B195&lt;M$23,M194+PPMT(M$25/12,$B195,M$23,M$53,-M$27,0),IF($B195=M$23,M194+PPMT(M$25/12,$B195,M$23,M$53,-M$27,0)-M$27,0)))</f>
        <v/>
      </c>
      <c r="N195" s="280" t="n"/>
      <c r="O195" s="281" t="n"/>
    </row>
    <row r="196" hidden="1" outlineLevel="1">
      <c r="B196" s="2">
        <f>B195+1</f>
        <v/>
      </c>
      <c r="D196" s="279">
        <f>IF(B196&lt;$D$24,(+#REF!/CALCULETTE!$B$612),0)</f>
        <v/>
      </c>
      <c r="E196" s="279">
        <f>IF(E$1=0,"",IF($B196&lt;E$23,E195+PPMT(E$25/12,$B196,E$23,E$53,-E$27,0),IF($B196=E$23,E195+PPMT(E$25/12,$B196,E$23,E$53,-E$27,0)-E$27,0)))</f>
        <v/>
      </c>
      <c r="F196" s="279">
        <f>IF(F$1=0,"",IF($B196&lt;F$23,F195+PPMT(F$25/12,$B196,F$23,F$53,-F$27,0),IF($B196=F$23,F195+PPMT(F$25/12,$B196,F$23,F$53,-F$27,0)-F$27,0)))</f>
        <v/>
      </c>
      <c r="G196" s="279">
        <f>IF(G$1=0,"",IF($B196&lt;G$23,G195+PPMT(G$25/12,$B196,G$23,G$53,-G$27,0),IF($B196=G$23,G195+PPMT(G$25/12,$B196,G$23,G$53,-G$27,0)-G$27,0)))</f>
        <v/>
      </c>
      <c r="H196" s="279">
        <f>IF(H$1=0,"",IF($B196&lt;H$23,H195+PPMT(H$25/12,$B196,H$23,H$53,-H$27,0),IF($B196=H$23,H195+PPMT(H$25/12,$B196,H$23,H$53,-H$27,0)-H$27,0)))</f>
        <v/>
      </c>
      <c r="I196" s="279">
        <f>IF(I$1=0,"",IF($B196&lt;I$23,I195+PPMT(I$25/12,$B196,I$23,I$53,-I$27,0),IF($B196=I$23,I195+PPMT(I$25/12,$B196,I$23,I$53,-I$27,0)-I$27,0)))</f>
        <v/>
      </c>
      <c r="J196" s="279">
        <f>IF(J$1=0,"",IF($B196&lt;J$23,J195+PPMT(J$25/12,$B196,J$23,J$53,-J$27,0),IF($B196=J$23,J195+PPMT(J$25/12,$B196,J$23,J$53,-J$27,0)-J$27,0)))</f>
        <v/>
      </c>
      <c r="K196" s="279">
        <f>IF(K$1=0,"",IF($B196&lt;K$23,K195+PPMT(K$25/12,$B196,K$23,K$53,-K$27,0),IF($B196=K$23,K195+PPMT(K$25/12,$B196,K$23,K$53,-K$27,0)-K$27,0)))</f>
        <v/>
      </c>
      <c r="L196" s="279">
        <f>IF(L$1=0,"",IF($B196&lt;L$23,L195+PPMT(L$25/12,$B196,L$23,L$53,-L$27,0),IF($B196=L$23,L195+PPMT(L$25/12,$B196,L$23,L$53,-L$27,0)-L$27,0)))</f>
        <v/>
      </c>
      <c r="M196" s="279">
        <f>IF(M$1=0,"",IF($B196&lt;M$23,M195+PPMT(M$25/12,$B196,M$23,M$53,-M$27,0),IF($B196=M$23,M195+PPMT(M$25/12,$B196,M$23,M$53,-M$27,0)-M$27,0)))</f>
        <v/>
      </c>
      <c r="N196" s="280" t="n"/>
      <c r="O196" s="281" t="n"/>
    </row>
    <row r="197" hidden="1" outlineLevel="1">
      <c r="B197" s="2">
        <f>B196+1</f>
        <v/>
      </c>
      <c r="D197" s="279">
        <f>IF(B197&lt;$D$24,(+#REF!/CALCULETTE!$B$612),0)</f>
        <v/>
      </c>
      <c r="E197" s="279">
        <f>IF(E$1=0,"",IF($B197&lt;E$23,E196+PPMT(E$25/12,$B197,E$23,E$53,-E$27,0),IF($B197=E$23,E196+PPMT(E$25/12,$B197,E$23,E$53,-E$27,0)-E$27,0)))</f>
        <v/>
      </c>
      <c r="F197" s="279">
        <f>IF(F$1=0,"",IF($B197&lt;F$23,F196+PPMT(F$25/12,$B197,F$23,F$53,-F$27,0),IF($B197=F$23,F196+PPMT(F$25/12,$B197,F$23,F$53,-F$27,0)-F$27,0)))</f>
        <v/>
      </c>
      <c r="G197" s="279">
        <f>IF(G$1=0,"",IF($B197&lt;G$23,G196+PPMT(G$25/12,$B197,G$23,G$53,-G$27,0),IF($B197=G$23,G196+PPMT(G$25/12,$B197,G$23,G$53,-G$27,0)-G$27,0)))</f>
        <v/>
      </c>
      <c r="H197" s="279">
        <f>IF(H$1=0,"",IF($B197&lt;H$23,H196+PPMT(H$25/12,$B197,H$23,H$53,-H$27,0),IF($B197=H$23,H196+PPMT(H$25/12,$B197,H$23,H$53,-H$27,0)-H$27,0)))</f>
        <v/>
      </c>
      <c r="I197" s="279">
        <f>IF(I$1=0,"",IF($B197&lt;I$23,I196+PPMT(I$25/12,$B197,I$23,I$53,-I$27,0),IF($B197=I$23,I196+PPMT(I$25/12,$B197,I$23,I$53,-I$27,0)-I$27,0)))</f>
        <v/>
      </c>
      <c r="J197" s="279">
        <f>IF(J$1=0,"",IF($B197&lt;J$23,J196+PPMT(J$25/12,$B197,J$23,J$53,-J$27,0),IF($B197=J$23,J196+PPMT(J$25/12,$B197,J$23,J$53,-J$27,0)-J$27,0)))</f>
        <v/>
      </c>
      <c r="K197" s="279">
        <f>IF(K$1=0,"",IF($B197&lt;K$23,K196+PPMT(K$25/12,$B197,K$23,K$53,-K$27,0),IF($B197=K$23,K196+PPMT(K$25/12,$B197,K$23,K$53,-K$27,0)-K$27,0)))</f>
        <v/>
      </c>
      <c r="L197" s="279">
        <f>IF(L$1=0,"",IF($B197&lt;L$23,L196+PPMT(L$25/12,$B197,L$23,L$53,-L$27,0),IF($B197=L$23,L196+PPMT(L$25/12,$B197,L$23,L$53,-L$27,0)-L$27,0)))</f>
        <v/>
      </c>
      <c r="M197" s="279">
        <f>IF(M$1=0,"",IF($B197&lt;M$23,M196+PPMT(M$25/12,$B197,M$23,M$53,-M$27,0),IF($B197=M$23,M196+PPMT(M$25/12,$B197,M$23,M$53,-M$27,0)-M$27,0)))</f>
        <v/>
      </c>
      <c r="N197" s="280" t="n"/>
      <c r="O197" s="281" t="n"/>
    </row>
    <row r="198" hidden="1" outlineLevel="1">
      <c r="B198" s="2">
        <f>B197+1</f>
        <v/>
      </c>
      <c r="D198" s="279">
        <f>IF(B198&lt;$D$24,(+#REF!/CALCULETTE!$B$612),0)</f>
        <v/>
      </c>
      <c r="E198" s="279">
        <f>IF(E$1=0,"",IF($B198&lt;E$23,E197+PPMT(E$25/12,$B198,E$23,E$53,-E$27,0),IF($B198=E$23,E197+PPMT(E$25/12,$B198,E$23,E$53,-E$27,0)-E$27,0)))</f>
        <v/>
      </c>
      <c r="F198" s="279">
        <f>IF(F$1=0,"",IF($B198&lt;F$23,F197+PPMT(F$25/12,$B198,F$23,F$53,-F$27,0),IF($B198=F$23,F197+PPMT(F$25/12,$B198,F$23,F$53,-F$27,0)-F$27,0)))</f>
        <v/>
      </c>
      <c r="G198" s="279">
        <f>IF(G$1=0,"",IF($B198&lt;G$23,G197+PPMT(G$25/12,$B198,G$23,G$53,-G$27,0),IF($B198=G$23,G197+PPMT(G$25/12,$B198,G$23,G$53,-G$27,0)-G$27,0)))</f>
        <v/>
      </c>
      <c r="H198" s="279">
        <f>IF(H$1=0,"",IF($B198&lt;H$23,H197+PPMT(H$25/12,$B198,H$23,H$53,-H$27,0),IF($B198=H$23,H197+PPMT(H$25/12,$B198,H$23,H$53,-H$27,0)-H$27,0)))</f>
        <v/>
      </c>
      <c r="I198" s="279">
        <f>IF(I$1=0,"",IF($B198&lt;I$23,I197+PPMT(I$25/12,$B198,I$23,I$53,-I$27,0),IF($B198=I$23,I197+PPMT(I$25/12,$B198,I$23,I$53,-I$27,0)-I$27,0)))</f>
        <v/>
      </c>
      <c r="J198" s="279">
        <f>IF(J$1=0,"",IF($B198&lt;J$23,J197+PPMT(J$25/12,$B198,J$23,J$53,-J$27,0),IF($B198=J$23,J197+PPMT(J$25/12,$B198,J$23,J$53,-J$27,0)-J$27,0)))</f>
        <v/>
      </c>
      <c r="K198" s="279">
        <f>IF(K$1=0,"",IF($B198&lt;K$23,K197+PPMT(K$25/12,$B198,K$23,K$53,-K$27,0),IF($B198=K$23,K197+PPMT(K$25/12,$B198,K$23,K$53,-K$27,0)-K$27,0)))</f>
        <v/>
      </c>
      <c r="L198" s="279">
        <f>IF(L$1=0,"",IF($B198&lt;L$23,L197+PPMT(L$25/12,$B198,L$23,L$53,-L$27,0),IF($B198=L$23,L197+PPMT(L$25/12,$B198,L$23,L$53,-L$27,0)-L$27,0)))</f>
        <v/>
      </c>
      <c r="M198" s="279">
        <f>IF(M$1=0,"",IF($B198&lt;M$23,M197+PPMT(M$25/12,$B198,M$23,M$53,-M$27,0),IF($B198=M$23,M197+PPMT(M$25/12,$B198,M$23,M$53,-M$27,0)-M$27,0)))</f>
        <v/>
      </c>
      <c r="N198" s="280" t="n"/>
      <c r="O198" s="281" t="n"/>
    </row>
    <row r="199" hidden="1" outlineLevel="1">
      <c r="B199" s="2">
        <f>B198+1</f>
        <v/>
      </c>
      <c r="D199" s="279">
        <f>IF(B199&lt;$D$24,(+#REF!/CALCULETTE!$B$612),0)</f>
        <v/>
      </c>
      <c r="E199" s="279">
        <f>IF(E$1=0,"",IF($B199&lt;E$23,E198+PPMT(E$25/12,$B199,E$23,E$53,-E$27,0),IF($B199=E$23,E198+PPMT(E$25/12,$B199,E$23,E$53,-E$27,0)-E$27,0)))</f>
        <v/>
      </c>
      <c r="F199" s="279">
        <f>IF(F$1=0,"",IF($B199&lt;F$23,F198+PPMT(F$25/12,$B199,F$23,F$53,-F$27,0),IF($B199=F$23,F198+PPMT(F$25/12,$B199,F$23,F$53,-F$27,0)-F$27,0)))</f>
        <v/>
      </c>
      <c r="G199" s="279">
        <f>IF(G$1=0,"",IF($B199&lt;G$23,G198+PPMT(G$25/12,$B199,G$23,G$53,-G$27,0),IF($B199=G$23,G198+PPMT(G$25/12,$B199,G$23,G$53,-G$27,0)-G$27,0)))</f>
        <v/>
      </c>
      <c r="H199" s="279">
        <f>IF(H$1=0,"",IF($B199&lt;H$23,H198+PPMT(H$25/12,$B199,H$23,H$53,-H$27,0),IF($B199=H$23,H198+PPMT(H$25/12,$B199,H$23,H$53,-H$27,0)-H$27,0)))</f>
        <v/>
      </c>
      <c r="I199" s="279">
        <f>IF(I$1=0,"",IF($B199&lt;I$23,I198+PPMT(I$25/12,$B199,I$23,I$53,-I$27,0),IF($B199=I$23,I198+PPMT(I$25/12,$B199,I$23,I$53,-I$27,0)-I$27,0)))</f>
        <v/>
      </c>
      <c r="J199" s="279">
        <f>IF(J$1=0,"",IF($B199&lt;J$23,J198+PPMT(J$25/12,$B199,J$23,J$53,-J$27,0),IF($B199=J$23,J198+PPMT(J$25/12,$B199,J$23,J$53,-J$27,0)-J$27,0)))</f>
        <v/>
      </c>
      <c r="K199" s="279">
        <f>IF(K$1=0,"",IF($B199&lt;K$23,K198+PPMT(K$25/12,$B199,K$23,K$53,-K$27,0),IF($B199=K$23,K198+PPMT(K$25/12,$B199,K$23,K$53,-K$27,0)-K$27,0)))</f>
        <v/>
      </c>
      <c r="L199" s="279">
        <f>IF(L$1=0,"",IF($B199&lt;L$23,L198+PPMT(L$25/12,$B199,L$23,L$53,-L$27,0),IF($B199=L$23,L198+PPMT(L$25/12,$B199,L$23,L$53,-L$27,0)-L$27,0)))</f>
        <v/>
      </c>
      <c r="M199" s="279">
        <f>IF(M$1=0,"",IF($B199&lt;M$23,M198+PPMT(M$25/12,$B199,M$23,M$53,-M$27,0),IF($B199=M$23,M198+PPMT(M$25/12,$B199,M$23,M$53,-M$27,0)-M$27,0)))</f>
        <v/>
      </c>
      <c r="N199" s="280" t="n"/>
      <c r="O199" s="281" t="n"/>
    </row>
    <row r="200" hidden="1" outlineLevel="1">
      <c r="B200" s="2">
        <f>B199+1</f>
        <v/>
      </c>
      <c r="D200" s="279">
        <f>IF(B200&lt;$D$24,(+#REF!/CALCULETTE!$B$612),0)</f>
        <v/>
      </c>
      <c r="E200" s="279">
        <f>IF(E$1=0,"",IF($B200&lt;E$23,E199+PPMT(E$25/12,$B200,E$23,E$53,-E$27,0),IF($B200=E$23,E199+PPMT(E$25/12,$B200,E$23,E$53,-E$27,0)-E$27,0)))</f>
        <v/>
      </c>
      <c r="F200" s="279">
        <f>IF(F$1=0,"",IF($B200&lt;F$23,F199+PPMT(F$25/12,$B200,F$23,F$53,-F$27,0),IF($B200=F$23,F199+PPMT(F$25/12,$B200,F$23,F$53,-F$27,0)-F$27,0)))</f>
        <v/>
      </c>
      <c r="G200" s="279">
        <f>IF(G$1=0,"",IF($B200&lt;G$23,G199+PPMT(G$25/12,$B200,G$23,G$53,-G$27,0),IF($B200=G$23,G199+PPMT(G$25/12,$B200,G$23,G$53,-G$27,0)-G$27,0)))</f>
        <v/>
      </c>
      <c r="H200" s="279">
        <f>IF(H$1=0,"",IF($B200&lt;H$23,H199+PPMT(H$25/12,$B200,H$23,H$53,-H$27,0),IF($B200=H$23,H199+PPMT(H$25/12,$B200,H$23,H$53,-H$27,0)-H$27,0)))</f>
        <v/>
      </c>
      <c r="I200" s="279">
        <f>IF(I$1=0,"",IF($B200&lt;I$23,I199+PPMT(I$25/12,$B200,I$23,I$53,-I$27,0),IF($B200=I$23,I199+PPMT(I$25/12,$B200,I$23,I$53,-I$27,0)-I$27,0)))</f>
        <v/>
      </c>
      <c r="J200" s="279">
        <f>IF(J$1=0,"",IF($B200&lt;J$23,J199+PPMT(J$25/12,$B200,J$23,J$53,-J$27,0),IF($B200=J$23,J199+PPMT(J$25/12,$B200,J$23,J$53,-J$27,0)-J$27,0)))</f>
        <v/>
      </c>
      <c r="K200" s="279">
        <f>IF(K$1=0,"",IF($B200&lt;K$23,K199+PPMT(K$25/12,$B200,K$23,K$53,-K$27,0),IF($B200=K$23,K199+PPMT(K$25/12,$B200,K$23,K$53,-K$27,0)-K$27,0)))</f>
        <v/>
      </c>
      <c r="L200" s="279">
        <f>IF(L$1=0,"",IF($B200&lt;L$23,L199+PPMT(L$25/12,$B200,L$23,L$53,-L$27,0),IF($B200=L$23,L199+PPMT(L$25/12,$B200,L$23,L$53,-L$27,0)-L$27,0)))</f>
        <v/>
      </c>
      <c r="M200" s="279">
        <f>IF(M$1=0,"",IF($B200&lt;M$23,M199+PPMT(M$25/12,$B200,M$23,M$53,-M$27,0),IF($B200=M$23,M199+PPMT(M$25/12,$B200,M$23,M$53,-M$27,0)-M$27,0)))</f>
        <v/>
      </c>
      <c r="N200" s="280" t="n"/>
      <c r="O200" s="281" t="n"/>
    </row>
    <row r="201" hidden="1" outlineLevel="1">
      <c r="B201" s="2">
        <f>B200+1</f>
        <v/>
      </c>
      <c r="D201" s="279">
        <f>IF(B201&lt;$D$24,(+#REF!/CALCULETTE!$B$612),0)</f>
        <v/>
      </c>
      <c r="E201" s="279">
        <f>IF(E$1=0,"",IF($B201&lt;E$23,E200+PPMT(E$25/12,$B201,E$23,E$53,-E$27,0),IF($B201=E$23,E200+PPMT(E$25/12,$B201,E$23,E$53,-E$27,0)-E$27,0)))</f>
        <v/>
      </c>
      <c r="F201" s="279">
        <f>IF(F$1=0,"",IF($B201&lt;F$23,F200+PPMT(F$25/12,$B201,F$23,F$53,-F$27,0),IF($B201=F$23,F200+PPMT(F$25/12,$B201,F$23,F$53,-F$27,0)-F$27,0)))</f>
        <v/>
      </c>
      <c r="G201" s="279">
        <f>IF(G$1=0,"",IF($B201&lt;G$23,G200+PPMT(G$25/12,$B201,G$23,G$53,-G$27,0),IF($B201=G$23,G200+PPMT(G$25/12,$B201,G$23,G$53,-G$27,0)-G$27,0)))</f>
        <v/>
      </c>
      <c r="H201" s="279">
        <f>IF(H$1=0,"",IF($B201&lt;H$23,H200+PPMT(H$25/12,$B201,H$23,H$53,-H$27,0),IF($B201=H$23,H200+PPMT(H$25/12,$B201,H$23,H$53,-H$27,0)-H$27,0)))</f>
        <v/>
      </c>
      <c r="I201" s="279">
        <f>IF(I$1=0,"",IF($B201&lt;I$23,I200+PPMT(I$25/12,$B201,I$23,I$53,-I$27,0),IF($B201=I$23,I200+PPMT(I$25/12,$B201,I$23,I$53,-I$27,0)-I$27,0)))</f>
        <v/>
      </c>
      <c r="J201" s="279">
        <f>IF(J$1=0,"",IF($B201&lt;J$23,J200+PPMT(J$25/12,$B201,J$23,J$53,-J$27,0),IF($B201=J$23,J200+PPMT(J$25/12,$B201,J$23,J$53,-J$27,0)-J$27,0)))</f>
        <v/>
      </c>
      <c r="K201" s="279">
        <f>IF(K$1=0,"",IF($B201&lt;K$23,K200+PPMT(K$25/12,$B201,K$23,K$53,-K$27,0),IF($B201=K$23,K200+PPMT(K$25/12,$B201,K$23,K$53,-K$27,0)-K$27,0)))</f>
        <v/>
      </c>
      <c r="L201" s="279">
        <f>IF(L$1=0,"",IF($B201&lt;L$23,L200+PPMT(L$25/12,$B201,L$23,L$53,-L$27,0),IF($B201=L$23,L200+PPMT(L$25/12,$B201,L$23,L$53,-L$27,0)-L$27,0)))</f>
        <v/>
      </c>
      <c r="M201" s="279">
        <f>IF(M$1=0,"",IF($B201&lt;M$23,M200+PPMT(M$25/12,$B201,M$23,M$53,-M$27,0),IF($B201=M$23,M200+PPMT(M$25/12,$B201,M$23,M$53,-M$27,0)-M$27,0)))</f>
        <v/>
      </c>
      <c r="N201" s="280" t="n"/>
      <c r="O201" s="281" t="n"/>
    </row>
    <row r="202" hidden="1" outlineLevel="1">
      <c r="B202" s="2">
        <f>B201+1</f>
        <v/>
      </c>
      <c r="D202" s="279">
        <f>IF(B202&lt;$D$24,(+#REF!/CALCULETTE!$B$612),0)</f>
        <v/>
      </c>
      <c r="E202" s="279">
        <f>IF(E$1=0,"",IF($B202&lt;E$23,E201+PPMT(E$25/12,$B202,E$23,E$53,-E$27,0),IF($B202=E$23,E201+PPMT(E$25/12,$B202,E$23,E$53,-E$27,0)-E$27,0)))</f>
        <v/>
      </c>
      <c r="F202" s="279">
        <f>IF(F$1=0,"",IF($B202&lt;F$23,F201+PPMT(F$25/12,$B202,F$23,F$53,-F$27,0),IF($B202=F$23,F201+PPMT(F$25/12,$B202,F$23,F$53,-F$27,0)-F$27,0)))</f>
        <v/>
      </c>
      <c r="G202" s="279">
        <f>IF(G$1=0,"",IF($B202&lt;G$23,G201+PPMT(G$25/12,$B202,G$23,G$53,-G$27,0),IF($B202=G$23,G201+PPMT(G$25/12,$B202,G$23,G$53,-G$27,0)-G$27,0)))</f>
        <v/>
      </c>
      <c r="H202" s="279">
        <f>IF(H$1=0,"",IF($B202&lt;H$23,H201+PPMT(H$25/12,$B202,H$23,H$53,-H$27,0),IF($B202=H$23,H201+PPMT(H$25/12,$B202,H$23,H$53,-H$27,0)-H$27,0)))</f>
        <v/>
      </c>
      <c r="I202" s="279">
        <f>IF(I$1=0,"",IF($B202&lt;I$23,I201+PPMT(I$25/12,$B202,I$23,I$53,-I$27,0),IF($B202=I$23,I201+PPMT(I$25/12,$B202,I$23,I$53,-I$27,0)-I$27,0)))</f>
        <v/>
      </c>
      <c r="J202" s="279">
        <f>IF(J$1=0,"",IF($B202&lt;J$23,J201+PPMT(J$25/12,$B202,J$23,J$53,-J$27,0),IF($B202=J$23,J201+PPMT(J$25/12,$B202,J$23,J$53,-J$27,0)-J$27,0)))</f>
        <v/>
      </c>
      <c r="K202" s="279">
        <f>IF(K$1=0,"",IF($B202&lt;K$23,K201+PPMT(K$25/12,$B202,K$23,K$53,-K$27,0),IF($B202=K$23,K201+PPMT(K$25/12,$B202,K$23,K$53,-K$27,0)-K$27,0)))</f>
        <v/>
      </c>
      <c r="L202" s="279">
        <f>IF(L$1=0,"",IF($B202&lt;L$23,L201+PPMT(L$25/12,$B202,L$23,L$53,-L$27,0),IF($B202=L$23,L201+PPMT(L$25/12,$B202,L$23,L$53,-L$27,0)-L$27,0)))</f>
        <v/>
      </c>
      <c r="M202" s="279">
        <f>IF(M$1=0,"",IF($B202&lt;M$23,M201+PPMT(M$25/12,$B202,M$23,M$53,-M$27,0),IF($B202=M$23,M201+PPMT(M$25/12,$B202,M$23,M$53,-M$27,0)-M$27,0)))</f>
        <v/>
      </c>
      <c r="N202" s="280" t="n"/>
      <c r="O202" s="281" t="n"/>
    </row>
    <row r="203" hidden="1" outlineLevel="1">
      <c r="B203" s="2">
        <f>B202+1</f>
        <v/>
      </c>
      <c r="D203" s="279">
        <f>IF(B203&lt;$D$24,(+#REF!/CALCULETTE!$B$612),0)</f>
        <v/>
      </c>
      <c r="E203" s="279">
        <f>IF(E$1=0,"",IF($B203&lt;E$23,E202+PPMT(E$25/12,$B203,E$23,E$53,-E$27,0),IF($B203=E$23,E202+PPMT(E$25/12,$B203,E$23,E$53,-E$27,0)-E$27,0)))</f>
        <v/>
      </c>
      <c r="F203" s="279">
        <f>IF(F$1=0,"",IF($B203&lt;F$23,F202+PPMT(F$25/12,$B203,F$23,F$53,-F$27,0),IF($B203=F$23,F202+PPMT(F$25/12,$B203,F$23,F$53,-F$27,0)-F$27,0)))</f>
        <v/>
      </c>
      <c r="G203" s="279">
        <f>IF(G$1=0,"",IF($B203&lt;G$23,G202+PPMT(G$25/12,$B203,G$23,G$53,-G$27,0),IF($B203=G$23,G202+PPMT(G$25/12,$B203,G$23,G$53,-G$27,0)-G$27,0)))</f>
        <v/>
      </c>
      <c r="H203" s="279">
        <f>IF(H$1=0,"",IF($B203&lt;H$23,H202+PPMT(H$25/12,$B203,H$23,H$53,-H$27,0),IF($B203=H$23,H202+PPMT(H$25/12,$B203,H$23,H$53,-H$27,0)-H$27,0)))</f>
        <v/>
      </c>
      <c r="I203" s="279">
        <f>IF(I$1=0,"",IF($B203&lt;I$23,I202+PPMT(I$25/12,$B203,I$23,I$53,-I$27,0),IF($B203=I$23,I202+PPMT(I$25/12,$B203,I$23,I$53,-I$27,0)-I$27,0)))</f>
        <v/>
      </c>
      <c r="J203" s="279">
        <f>IF(J$1=0,"",IF($B203&lt;J$23,J202+PPMT(J$25/12,$B203,J$23,J$53,-J$27,0),IF($B203=J$23,J202+PPMT(J$25/12,$B203,J$23,J$53,-J$27,0)-J$27,0)))</f>
        <v/>
      </c>
      <c r="K203" s="279">
        <f>IF(K$1=0,"",IF($B203&lt;K$23,K202+PPMT(K$25/12,$B203,K$23,K$53,-K$27,0),IF($B203=K$23,K202+PPMT(K$25/12,$B203,K$23,K$53,-K$27,0)-K$27,0)))</f>
        <v/>
      </c>
      <c r="L203" s="279">
        <f>IF(L$1=0,"",IF($B203&lt;L$23,L202+PPMT(L$25/12,$B203,L$23,L$53,-L$27,0),IF($B203=L$23,L202+PPMT(L$25/12,$B203,L$23,L$53,-L$27,0)-L$27,0)))</f>
        <v/>
      </c>
      <c r="M203" s="279">
        <f>IF(M$1=0,"",IF($B203&lt;M$23,M202+PPMT(M$25/12,$B203,M$23,M$53,-M$27,0),IF($B203=M$23,M202+PPMT(M$25/12,$B203,M$23,M$53,-M$27,0)-M$27,0)))</f>
        <v/>
      </c>
      <c r="N203" s="280" t="n"/>
      <c r="O203" s="281" t="n"/>
    </row>
    <row r="204" hidden="1" outlineLevel="1">
      <c r="B204" s="2">
        <f>B203+1</f>
        <v/>
      </c>
      <c r="D204" s="279">
        <f>IF(B204&lt;$D$24,(+#REF!/CALCULETTE!$B$612),0)</f>
        <v/>
      </c>
      <c r="E204" s="279">
        <f>IF(E$1=0,"",IF($B204&lt;E$23,E203+PPMT(E$25/12,$B204,E$23,E$53,-E$27,0),IF($B204=E$23,E203+PPMT(E$25/12,$B204,E$23,E$53,-E$27,0)-E$27,0)))</f>
        <v/>
      </c>
      <c r="F204" s="279">
        <f>IF(F$1=0,"",IF($B204&lt;F$23,F203+PPMT(F$25/12,$B204,F$23,F$53,-F$27,0),IF($B204=F$23,F203+PPMT(F$25/12,$B204,F$23,F$53,-F$27,0)-F$27,0)))</f>
        <v/>
      </c>
      <c r="G204" s="279">
        <f>IF(G$1=0,"",IF($B204&lt;G$23,G203+PPMT(G$25/12,$B204,G$23,G$53,-G$27,0),IF($B204=G$23,G203+PPMT(G$25/12,$B204,G$23,G$53,-G$27,0)-G$27,0)))</f>
        <v/>
      </c>
      <c r="H204" s="279">
        <f>IF(H$1=0,"",IF($B204&lt;H$23,H203+PPMT(H$25/12,$B204,H$23,H$53,-H$27,0),IF($B204=H$23,H203+PPMT(H$25/12,$B204,H$23,H$53,-H$27,0)-H$27,0)))</f>
        <v/>
      </c>
      <c r="I204" s="279">
        <f>IF(I$1=0,"",IF($B204&lt;I$23,I203+PPMT(I$25/12,$B204,I$23,I$53,-I$27,0),IF($B204=I$23,I203+PPMT(I$25/12,$B204,I$23,I$53,-I$27,0)-I$27,0)))</f>
        <v/>
      </c>
      <c r="J204" s="279">
        <f>IF(J$1=0,"",IF($B204&lt;J$23,J203+PPMT(J$25/12,$B204,J$23,J$53,-J$27,0),IF($B204=J$23,J203+PPMT(J$25/12,$B204,J$23,J$53,-J$27,0)-J$27,0)))</f>
        <v/>
      </c>
      <c r="K204" s="279">
        <f>IF(K$1=0,"",IF($B204&lt;K$23,K203+PPMT(K$25/12,$B204,K$23,K$53,-K$27,0),IF($B204=K$23,K203+PPMT(K$25/12,$B204,K$23,K$53,-K$27,0)-K$27,0)))</f>
        <v/>
      </c>
      <c r="L204" s="279">
        <f>IF(L$1=0,"",IF($B204&lt;L$23,L203+PPMT(L$25/12,$B204,L$23,L$53,-L$27,0),IF($B204=L$23,L203+PPMT(L$25/12,$B204,L$23,L$53,-L$27,0)-L$27,0)))</f>
        <v/>
      </c>
      <c r="M204" s="279">
        <f>IF(M$1=0,"",IF($B204&lt;M$23,M203+PPMT(M$25/12,$B204,M$23,M$53,-M$27,0),IF($B204=M$23,M203+PPMT(M$25/12,$B204,M$23,M$53,-M$27,0)-M$27,0)))</f>
        <v/>
      </c>
      <c r="N204" s="280" t="n"/>
      <c r="O204" s="281" t="n"/>
    </row>
    <row r="205" hidden="1" outlineLevel="1">
      <c r="B205" s="2">
        <f>B204+1</f>
        <v/>
      </c>
      <c r="D205" s="279">
        <f>IF(B205&lt;$D$24,(+#REF!/CALCULETTE!$B$612),0)</f>
        <v/>
      </c>
      <c r="E205" s="279">
        <f>IF(E$1=0,"",IF($B205&lt;E$23,E204+PPMT(E$25/12,$B205,E$23,E$53,-E$27,0),IF($B205=E$23,E204+PPMT(E$25/12,$B205,E$23,E$53,-E$27,0)-E$27,0)))</f>
        <v/>
      </c>
      <c r="F205" s="279">
        <f>IF(F$1=0,"",IF($B205&lt;F$23,F204+PPMT(F$25/12,$B205,F$23,F$53,-F$27,0),IF($B205=F$23,F204+PPMT(F$25/12,$B205,F$23,F$53,-F$27,0)-F$27,0)))</f>
        <v/>
      </c>
      <c r="G205" s="279">
        <f>IF(G$1=0,"",IF($B205&lt;G$23,G204+PPMT(G$25/12,$B205,G$23,G$53,-G$27,0),IF($B205=G$23,G204+PPMT(G$25/12,$B205,G$23,G$53,-G$27,0)-G$27,0)))</f>
        <v/>
      </c>
      <c r="H205" s="279">
        <f>IF(H$1=0,"",IF($B205&lt;H$23,H204+PPMT(H$25/12,$B205,H$23,H$53,-H$27,0),IF($B205=H$23,H204+PPMT(H$25/12,$B205,H$23,H$53,-H$27,0)-H$27,0)))</f>
        <v/>
      </c>
      <c r="I205" s="279">
        <f>IF(I$1=0,"",IF($B205&lt;I$23,I204+PPMT(I$25/12,$B205,I$23,I$53,-I$27,0),IF($B205=I$23,I204+PPMT(I$25/12,$B205,I$23,I$53,-I$27,0)-I$27,0)))</f>
        <v/>
      </c>
      <c r="J205" s="279">
        <f>IF(J$1=0,"",IF($B205&lt;J$23,J204+PPMT(J$25/12,$B205,J$23,J$53,-J$27,0),IF($B205=J$23,J204+PPMT(J$25/12,$B205,J$23,J$53,-J$27,0)-J$27,0)))</f>
        <v/>
      </c>
      <c r="K205" s="279">
        <f>IF(K$1=0,"",IF($B205&lt;K$23,K204+PPMT(K$25/12,$B205,K$23,K$53,-K$27,0),IF($B205=K$23,K204+PPMT(K$25/12,$B205,K$23,K$53,-K$27,0)-K$27,0)))</f>
        <v/>
      </c>
      <c r="L205" s="279">
        <f>IF(L$1=0,"",IF($B205&lt;L$23,L204+PPMT(L$25/12,$B205,L$23,L$53,-L$27,0),IF($B205=L$23,L204+PPMT(L$25/12,$B205,L$23,L$53,-L$27,0)-L$27,0)))</f>
        <v/>
      </c>
      <c r="M205" s="279">
        <f>IF(M$1=0,"",IF($B205&lt;M$23,M204+PPMT(M$25/12,$B205,M$23,M$53,-M$27,0),IF($B205=M$23,M204+PPMT(M$25/12,$B205,M$23,M$53,-M$27,0)-M$27,0)))</f>
        <v/>
      </c>
      <c r="N205" s="280" t="n"/>
      <c r="O205" s="281" t="n"/>
    </row>
    <row r="206" hidden="1" outlineLevel="1">
      <c r="B206" s="2">
        <f>B205+1</f>
        <v/>
      </c>
      <c r="D206" s="279">
        <f>IF(B206&lt;$D$24,(+#REF!/CALCULETTE!$B$612),0)</f>
        <v/>
      </c>
      <c r="E206" s="279">
        <f>IF(E$1=0,"",IF($B206&lt;E$23,E205+PPMT(E$25/12,$B206,E$23,E$53,-E$27,0),IF($B206=E$23,E205+PPMT(E$25/12,$B206,E$23,E$53,-E$27,0)-E$27,0)))</f>
        <v/>
      </c>
      <c r="F206" s="279">
        <f>IF(F$1=0,"",IF($B206&lt;F$23,F205+PPMT(F$25/12,$B206,F$23,F$53,-F$27,0),IF($B206=F$23,F205+PPMT(F$25/12,$B206,F$23,F$53,-F$27,0)-F$27,0)))</f>
        <v/>
      </c>
      <c r="G206" s="279">
        <f>IF(G$1=0,"",IF($B206&lt;G$23,G205+PPMT(G$25/12,$B206,G$23,G$53,-G$27,0),IF($B206=G$23,G205+PPMT(G$25/12,$B206,G$23,G$53,-G$27,0)-G$27,0)))</f>
        <v/>
      </c>
      <c r="H206" s="279">
        <f>IF(H$1=0,"",IF($B206&lt;H$23,H205+PPMT(H$25/12,$B206,H$23,H$53,-H$27,0),IF($B206=H$23,H205+PPMT(H$25/12,$B206,H$23,H$53,-H$27,0)-H$27,0)))</f>
        <v/>
      </c>
      <c r="I206" s="279">
        <f>IF(I$1=0,"",IF($B206&lt;I$23,I205+PPMT(I$25/12,$B206,I$23,I$53,-I$27,0),IF($B206=I$23,I205+PPMT(I$25/12,$B206,I$23,I$53,-I$27,0)-I$27,0)))</f>
        <v/>
      </c>
      <c r="J206" s="279">
        <f>IF(J$1=0,"",IF($B206&lt;J$23,J205+PPMT(J$25/12,$B206,J$23,J$53,-J$27,0),IF($B206=J$23,J205+PPMT(J$25/12,$B206,J$23,J$53,-J$27,0)-J$27,0)))</f>
        <v/>
      </c>
      <c r="K206" s="279">
        <f>IF(K$1=0,"",IF($B206&lt;K$23,K205+PPMT(K$25/12,$B206,K$23,K$53,-K$27,0),IF($B206=K$23,K205+PPMT(K$25/12,$B206,K$23,K$53,-K$27,0)-K$27,0)))</f>
        <v/>
      </c>
      <c r="L206" s="279">
        <f>IF(L$1=0,"",IF($B206&lt;L$23,L205+PPMT(L$25/12,$B206,L$23,L$53,-L$27,0),IF($B206=L$23,L205+PPMT(L$25/12,$B206,L$23,L$53,-L$27,0)-L$27,0)))</f>
        <v/>
      </c>
      <c r="M206" s="279">
        <f>IF(M$1=0,"",IF($B206&lt;M$23,M205+PPMT(M$25/12,$B206,M$23,M$53,-M$27,0),IF($B206=M$23,M205+PPMT(M$25/12,$B206,M$23,M$53,-M$27,0)-M$27,0)))</f>
        <v/>
      </c>
      <c r="N206" s="280" t="n"/>
      <c r="O206" s="281" t="n"/>
    </row>
    <row r="207" hidden="1" outlineLevel="1">
      <c r="B207" s="2">
        <f>B206+1</f>
        <v/>
      </c>
      <c r="D207" s="279">
        <f>IF(B207&lt;$D$24,(+#REF!/CALCULETTE!$B$612),0)</f>
        <v/>
      </c>
      <c r="E207" s="279">
        <f>IF(E$1=0,"",IF($B207&lt;E$23,E206+PPMT(E$25/12,$B207,E$23,E$53,-E$27,0),IF($B207=E$23,E206+PPMT(E$25/12,$B207,E$23,E$53,-E$27,0)-E$27,0)))</f>
        <v/>
      </c>
      <c r="F207" s="279">
        <f>IF(F$1=0,"",IF($B207&lt;F$23,F206+PPMT(F$25/12,$B207,F$23,F$53,-F$27,0),IF($B207=F$23,F206+PPMT(F$25/12,$B207,F$23,F$53,-F$27,0)-F$27,0)))</f>
        <v/>
      </c>
      <c r="G207" s="279">
        <f>IF(G$1=0,"",IF($B207&lt;G$23,G206+PPMT(G$25/12,$B207,G$23,G$53,-G$27,0),IF($B207=G$23,G206+PPMT(G$25/12,$B207,G$23,G$53,-G$27,0)-G$27,0)))</f>
        <v/>
      </c>
      <c r="H207" s="279">
        <f>IF(H$1=0,"",IF($B207&lt;H$23,H206+PPMT(H$25/12,$B207,H$23,H$53,-H$27,0),IF($B207=H$23,H206+PPMT(H$25/12,$B207,H$23,H$53,-H$27,0)-H$27,0)))</f>
        <v/>
      </c>
      <c r="I207" s="279">
        <f>IF(I$1=0,"",IF($B207&lt;I$23,I206+PPMT(I$25/12,$B207,I$23,I$53,-I$27,0),IF($B207=I$23,I206+PPMT(I$25/12,$B207,I$23,I$53,-I$27,0)-I$27,0)))</f>
        <v/>
      </c>
      <c r="J207" s="279">
        <f>IF(J$1=0,"",IF($B207&lt;J$23,J206+PPMT(J$25/12,$B207,J$23,J$53,-J$27,0),IF($B207=J$23,J206+PPMT(J$25/12,$B207,J$23,J$53,-J$27,0)-J$27,0)))</f>
        <v/>
      </c>
      <c r="K207" s="279">
        <f>IF(K$1=0,"",IF($B207&lt;K$23,K206+PPMT(K$25/12,$B207,K$23,K$53,-K$27,0),IF($B207=K$23,K206+PPMT(K$25/12,$B207,K$23,K$53,-K$27,0)-K$27,0)))</f>
        <v/>
      </c>
      <c r="L207" s="279">
        <f>IF(L$1=0,"",IF($B207&lt;L$23,L206+PPMT(L$25/12,$B207,L$23,L$53,-L$27,0),IF($B207=L$23,L206+PPMT(L$25/12,$B207,L$23,L$53,-L$27,0)-L$27,0)))</f>
        <v/>
      </c>
      <c r="M207" s="279">
        <f>IF(M$1=0,"",IF($B207&lt;M$23,M206+PPMT(M$25/12,$B207,M$23,M$53,-M$27,0),IF($B207=M$23,M206+PPMT(M$25/12,$B207,M$23,M$53,-M$27,0)-M$27,0)))</f>
        <v/>
      </c>
      <c r="N207" s="280" t="n"/>
      <c r="O207" s="281" t="n"/>
    </row>
    <row r="208" hidden="1" outlineLevel="1">
      <c r="B208" s="2">
        <f>B207+1</f>
        <v/>
      </c>
      <c r="D208" s="279">
        <f>IF(B208&lt;$D$24,(+#REF!/CALCULETTE!$B$612),0)</f>
        <v/>
      </c>
      <c r="E208" s="279">
        <f>IF(E$1=0,"",IF($B208&lt;E$23,E207+PPMT(E$25/12,$B208,E$23,E$53,-E$27,0),IF($B208=E$23,E207+PPMT(E$25/12,$B208,E$23,E$53,-E$27,0)-E$27,0)))</f>
        <v/>
      </c>
      <c r="F208" s="279">
        <f>IF(F$1=0,"",IF($B208&lt;F$23,F207+PPMT(F$25/12,$B208,F$23,F$53,-F$27,0),IF($B208=F$23,F207+PPMT(F$25/12,$B208,F$23,F$53,-F$27,0)-F$27,0)))</f>
        <v/>
      </c>
      <c r="G208" s="279">
        <f>IF(G$1=0,"",IF($B208&lt;G$23,G207+PPMT(G$25/12,$B208,G$23,G$53,-G$27,0),IF($B208=G$23,G207+PPMT(G$25/12,$B208,G$23,G$53,-G$27,0)-G$27,0)))</f>
        <v/>
      </c>
      <c r="H208" s="279">
        <f>IF(H$1=0,"",IF($B208&lt;H$23,H207+PPMT(H$25/12,$B208,H$23,H$53,-H$27,0),IF($B208=H$23,H207+PPMT(H$25/12,$B208,H$23,H$53,-H$27,0)-H$27,0)))</f>
        <v/>
      </c>
      <c r="I208" s="279">
        <f>IF(I$1=0,"",IF($B208&lt;I$23,I207+PPMT(I$25/12,$B208,I$23,I$53,-I$27,0),IF($B208=I$23,I207+PPMT(I$25/12,$B208,I$23,I$53,-I$27,0)-I$27,0)))</f>
        <v/>
      </c>
      <c r="J208" s="279">
        <f>IF(J$1=0,"",IF($B208&lt;J$23,J207+PPMT(J$25/12,$B208,J$23,J$53,-J$27,0),IF($B208=J$23,J207+PPMT(J$25/12,$B208,J$23,J$53,-J$27,0)-J$27,0)))</f>
        <v/>
      </c>
      <c r="K208" s="279">
        <f>IF(K$1=0,"",IF($B208&lt;K$23,K207+PPMT(K$25/12,$B208,K$23,K$53,-K$27,0),IF($B208=K$23,K207+PPMT(K$25/12,$B208,K$23,K$53,-K$27,0)-K$27,0)))</f>
        <v/>
      </c>
      <c r="L208" s="279">
        <f>IF(L$1=0,"",IF($B208&lt;L$23,L207+PPMT(L$25/12,$B208,L$23,L$53,-L$27,0),IF($B208=L$23,L207+PPMT(L$25/12,$B208,L$23,L$53,-L$27,0)-L$27,0)))</f>
        <v/>
      </c>
      <c r="M208" s="279">
        <f>IF(M$1=0,"",IF($B208&lt;M$23,M207+PPMT(M$25/12,$B208,M$23,M$53,-M$27,0),IF($B208=M$23,M207+PPMT(M$25/12,$B208,M$23,M$53,-M$27,0)-M$27,0)))</f>
        <v/>
      </c>
      <c r="N208" s="280" t="n"/>
      <c r="O208" s="281" t="n"/>
    </row>
    <row r="209" hidden="1" outlineLevel="1">
      <c r="B209" s="2">
        <f>B208+1</f>
        <v/>
      </c>
      <c r="D209" s="279">
        <f>IF(B209&lt;$D$24,(+#REF!/CALCULETTE!$B$612),0)</f>
        <v/>
      </c>
      <c r="E209" s="279">
        <f>IF(E$1=0,"",IF($B209&lt;E$23,E208+PPMT(E$25/12,$B209,E$23,E$53,-E$27,0),IF($B209=E$23,E208+PPMT(E$25/12,$B209,E$23,E$53,-E$27,0)-E$27,0)))</f>
        <v/>
      </c>
      <c r="F209" s="279">
        <f>IF(F$1=0,"",IF($B209&lt;F$23,F208+PPMT(F$25/12,$B209,F$23,F$53,-F$27,0),IF($B209=F$23,F208+PPMT(F$25/12,$B209,F$23,F$53,-F$27,0)-F$27,0)))</f>
        <v/>
      </c>
      <c r="G209" s="279">
        <f>IF(G$1=0,"",IF($B209&lt;G$23,G208+PPMT(G$25/12,$B209,G$23,G$53,-G$27,0),IF($B209=G$23,G208+PPMT(G$25/12,$B209,G$23,G$53,-G$27,0)-G$27,0)))</f>
        <v/>
      </c>
      <c r="H209" s="279">
        <f>IF(H$1=0,"",IF($B209&lt;H$23,H208+PPMT(H$25/12,$B209,H$23,H$53,-H$27,0),IF($B209=H$23,H208+PPMT(H$25/12,$B209,H$23,H$53,-H$27,0)-H$27,0)))</f>
        <v/>
      </c>
      <c r="I209" s="279">
        <f>IF(I$1=0,"",IF($B209&lt;I$23,I208+PPMT(I$25/12,$B209,I$23,I$53,-I$27,0),IF($B209=I$23,I208+PPMT(I$25/12,$B209,I$23,I$53,-I$27,0)-I$27,0)))</f>
        <v/>
      </c>
      <c r="J209" s="279">
        <f>IF(J$1=0,"",IF($B209&lt;J$23,J208+PPMT(J$25/12,$B209,J$23,J$53,-J$27,0),IF($B209=J$23,J208+PPMT(J$25/12,$B209,J$23,J$53,-J$27,0)-J$27,0)))</f>
        <v/>
      </c>
      <c r="K209" s="279">
        <f>IF(K$1=0,"",IF($B209&lt;K$23,K208+PPMT(K$25/12,$B209,K$23,K$53,-K$27,0),IF($B209=K$23,K208+PPMT(K$25/12,$B209,K$23,K$53,-K$27,0)-K$27,0)))</f>
        <v/>
      </c>
      <c r="L209" s="279">
        <f>IF(L$1=0,"",IF($B209&lt;L$23,L208+PPMT(L$25/12,$B209,L$23,L$53,-L$27,0),IF($B209=L$23,L208+PPMT(L$25/12,$B209,L$23,L$53,-L$27,0)-L$27,0)))</f>
        <v/>
      </c>
      <c r="M209" s="279">
        <f>IF(M$1=0,"",IF($B209&lt;M$23,M208+PPMT(M$25/12,$B209,M$23,M$53,-M$27,0),IF($B209=M$23,M208+PPMT(M$25/12,$B209,M$23,M$53,-M$27,0)-M$27,0)))</f>
        <v/>
      </c>
      <c r="N209" s="280" t="n"/>
      <c r="O209" s="281" t="n"/>
    </row>
    <row r="210" hidden="1" outlineLevel="1">
      <c r="B210" s="2">
        <f>B209+1</f>
        <v/>
      </c>
      <c r="D210" s="279">
        <f>IF(B210&lt;$D$24,(+#REF!/CALCULETTE!$B$612),0)</f>
        <v/>
      </c>
      <c r="E210" s="279">
        <f>IF(E$1=0,"",IF($B210&lt;E$23,E209+PPMT(E$25/12,$B210,E$23,E$53,-E$27,0),IF($B210=E$23,E209+PPMT(E$25/12,$B210,E$23,E$53,-E$27,0)-E$27,0)))</f>
        <v/>
      </c>
      <c r="F210" s="279">
        <f>IF(F$1=0,"",IF($B210&lt;F$23,F209+PPMT(F$25/12,$B210,F$23,F$53,-F$27,0),IF($B210=F$23,F209+PPMT(F$25/12,$B210,F$23,F$53,-F$27,0)-F$27,0)))</f>
        <v/>
      </c>
      <c r="G210" s="279">
        <f>IF(G$1=0,"",IF($B210&lt;G$23,G209+PPMT(G$25/12,$B210,G$23,G$53,-G$27,0),IF($B210=G$23,G209+PPMT(G$25/12,$B210,G$23,G$53,-G$27,0)-G$27,0)))</f>
        <v/>
      </c>
      <c r="H210" s="279">
        <f>IF(H$1=0,"",IF($B210&lt;H$23,H209+PPMT(H$25/12,$B210,H$23,H$53,-H$27,0),IF($B210=H$23,H209+PPMT(H$25/12,$B210,H$23,H$53,-H$27,0)-H$27,0)))</f>
        <v/>
      </c>
      <c r="I210" s="279">
        <f>IF(I$1=0,"",IF($B210&lt;I$23,I209+PPMT(I$25/12,$B210,I$23,I$53,-I$27,0),IF($B210=I$23,I209+PPMT(I$25/12,$B210,I$23,I$53,-I$27,0)-I$27,0)))</f>
        <v/>
      </c>
      <c r="J210" s="279">
        <f>IF(J$1=0,"",IF($B210&lt;J$23,J209+PPMT(J$25/12,$B210,J$23,J$53,-J$27,0),IF($B210=J$23,J209+PPMT(J$25/12,$B210,J$23,J$53,-J$27,0)-J$27,0)))</f>
        <v/>
      </c>
      <c r="K210" s="279">
        <f>IF(K$1=0,"",IF($B210&lt;K$23,K209+PPMT(K$25/12,$B210,K$23,K$53,-K$27,0),IF($B210=K$23,K209+PPMT(K$25/12,$B210,K$23,K$53,-K$27,0)-K$27,0)))</f>
        <v/>
      </c>
      <c r="L210" s="279">
        <f>IF(L$1=0,"",IF($B210&lt;L$23,L209+PPMT(L$25/12,$B210,L$23,L$53,-L$27,0),IF($B210=L$23,L209+PPMT(L$25/12,$B210,L$23,L$53,-L$27,0)-L$27,0)))</f>
        <v/>
      </c>
      <c r="M210" s="279">
        <f>IF(M$1=0,"",IF($B210&lt;M$23,M209+PPMT(M$25/12,$B210,M$23,M$53,-M$27,0),IF($B210=M$23,M209+PPMT(M$25/12,$B210,M$23,M$53,-M$27,0)-M$27,0)))</f>
        <v/>
      </c>
      <c r="N210" s="280" t="n"/>
      <c r="O210" s="281" t="n"/>
    </row>
    <row r="211" hidden="1" outlineLevel="1">
      <c r="B211" s="2">
        <f>B210+1</f>
        <v/>
      </c>
      <c r="D211" s="279">
        <f>IF(B211&lt;$D$24,(+#REF!/CALCULETTE!$B$612),0)</f>
        <v/>
      </c>
      <c r="E211" s="279">
        <f>IF(E$1=0,"",IF($B211&lt;E$23,E210+PPMT(E$25/12,$B211,E$23,E$53,-E$27,0),IF($B211=E$23,E210+PPMT(E$25/12,$B211,E$23,E$53,-E$27,0)-E$27,0)))</f>
        <v/>
      </c>
      <c r="F211" s="279">
        <f>IF(F$1=0,"",IF($B211&lt;F$23,F210+PPMT(F$25/12,$B211,F$23,F$53,-F$27,0),IF($B211=F$23,F210+PPMT(F$25/12,$B211,F$23,F$53,-F$27,0)-F$27,0)))</f>
        <v/>
      </c>
      <c r="G211" s="279">
        <f>IF(G$1=0,"",IF($B211&lt;G$23,G210+PPMT(G$25/12,$B211,G$23,G$53,-G$27,0),IF($B211=G$23,G210+PPMT(G$25/12,$B211,G$23,G$53,-G$27,0)-G$27,0)))</f>
        <v/>
      </c>
      <c r="H211" s="279">
        <f>IF(H$1=0,"",IF($B211&lt;H$23,H210+PPMT(H$25/12,$B211,H$23,H$53,-H$27,0),IF($B211=H$23,H210+PPMT(H$25/12,$B211,H$23,H$53,-H$27,0)-H$27,0)))</f>
        <v/>
      </c>
      <c r="I211" s="279">
        <f>IF(I$1=0,"",IF($B211&lt;I$23,I210+PPMT(I$25/12,$B211,I$23,I$53,-I$27,0),IF($B211=I$23,I210+PPMT(I$25/12,$B211,I$23,I$53,-I$27,0)-I$27,0)))</f>
        <v/>
      </c>
      <c r="J211" s="279">
        <f>IF(J$1=0,"",IF($B211&lt;J$23,J210+PPMT(J$25/12,$B211,J$23,J$53,-J$27,0),IF($B211=J$23,J210+PPMT(J$25/12,$B211,J$23,J$53,-J$27,0)-J$27,0)))</f>
        <v/>
      </c>
      <c r="K211" s="279">
        <f>IF(K$1=0,"",IF($B211&lt;K$23,K210+PPMT(K$25/12,$B211,K$23,K$53,-K$27,0),IF($B211=K$23,K210+PPMT(K$25/12,$B211,K$23,K$53,-K$27,0)-K$27,0)))</f>
        <v/>
      </c>
      <c r="L211" s="279">
        <f>IF(L$1=0,"",IF($B211&lt;L$23,L210+PPMT(L$25/12,$B211,L$23,L$53,-L$27,0),IF($B211=L$23,L210+PPMT(L$25/12,$B211,L$23,L$53,-L$27,0)-L$27,0)))</f>
        <v/>
      </c>
      <c r="M211" s="279">
        <f>IF(M$1=0,"",IF($B211&lt;M$23,M210+PPMT(M$25/12,$B211,M$23,M$53,-M$27,0),IF($B211=M$23,M210+PPMT(M$25/12,$B211,M$23,M$53,-M$27,0)-M$27,0)))</f>
        <v/>
      </c>
      <c r="N211" s="280" t="n"/>
      <c r="O211" s="281" t="n"/>
    </row>
    <row r="212" hidden="1" outlineLevel="1">
      <c r="B212" s="2">
        <f>B211+1</f>
        <v/>
      </c>
      <c r="D212" s="279">
        <f>IF(B212&lt;$D$24,(+#REF!/CALCULETTE!$B$612),0)</f>
        <v/>
      </c>
      <c r="E212" s="279">
        <f>IF(E$1=0,"",IF($B212&lt;E$23,E211+PPMT(E$25/12,$B212,E$23,E$53,-E$27,0),IF($B212=E$23,E211+PPMT(E$25/12,$B212,E$23,E$53,-E$27,0)-E$27,0)))</f>
        <v/>
      </c>
      <c r="F212" s="279">
        <f>IF(F$1=0,"",IF($B212&lt;F$23,F211+PPMT(F$25/12,$B212,F$23,F$53,-F$27,0),IF($B212=F$23,F211+PPMT(F$25/12,$B212,F$23,F$53,-F$27,0)-F$27,0)))</f>
        <v/>
      </c>
      <c r="G212" s="279">
        <f>IF(G$1=0,"",IF($B212&lt;G$23,G211+PPMT(G$25/12,$B212,G$23,G$53,-G$27,0),IF($B212=G$23,G211+PPMT(G$25/12,$B212,G$23,G$53,-G$27,0)-G$27,0)))</f>
        <v/>
      </c>
      <c r="H212" s="279">
        <f>IF(H$1=0,"",IF($B212&lt;H$23,H211+PPMT(H$25/12,$B212,H$23,H$53,-H$27,0),IF($B212=H$23,H211+PPMT(H$25/12,$B212,H$23,H$53,-H$27,0)-H$27,0)))</f>
        <v/>
      </c>
      <c r="I212" s="279">
        <f>IF(I$1=0,"",IF($B212&lt;I$23,I211+PPMT(I$25/12,$B212,I$23,I$53,-I$27,0),IF($B212=I$23,I211+PPMT(I$25/12,$B212,I$23,I$53,-I$27,0)-I$27,0)))</f>
        <v/>
      </c>
      <c r="J212" s="279">
        <f>IF(J$1=0,"",IF($B212&lt;J$23,J211+PPMT(J$25/12,$B212,J$23,J$53,-J$27,0),IF($B212=J$23,J211+PPMT(J$25/12,$B212,J$23,J$53,-J$27,0)-J$27,0)))</f>
        <v/>
      </c>
      <c r="K212" s="279">
        <f>IF(K$1=0,"",IF($B212&lt;K$23,K211+PPMT(K$25/12,$B212,K$23,K$53,-K$27,0),IF($B212=K$23,K211+PPMT(K$25/12,$B212,K$23,K$53,-K$27,0)-K$27,0)))</f>
        <v/>
      </c>
      <c r="L212" s="279">
        <f>IF(L$1=0,"",IF($B212&lt;L$23,L211+PPMT(L$25/12,$B212,L$23,L$53,-L$27,0),IF($B212=L$23,L211+PPMT(L$25/12,$B212,L$23,L$53,-L$27,0)-L$27,0)))</f>
        <v/>
      </c>
      <c r="M212" s="279">
        <f>IF(M$1=0,"",IF($B212&lt;M$23,M211+PPMT(M$25/12,$B212,M$23,M$53,-M$27,0),IF($B212=M$23,M211+PPMT(M$25/12,$B212,M$23,M$53,-M$27,0)-M$27,0)))</f>
        <v/>
      </c>
      <c r="N212" s="280" t="n"/>
      <c r="O212" s="281" t="n"/>
    </row>
    <row r="213" hidden="1" outlineLevel="1">
      <c r="B213" s="2">
        <f>B212+1</f>
        <v/>
      </c>
      <c r="D213" s="279">
        <f>IF(B213&lt;$D$24,(+#REF!/CALCULETTE!$B$612),0)</f>
        <v/>
      </c>
      <c r="E213" s="279">
        <f>IF(E$1=0,"",IF($B213&lt;E$23,E212+PPMT(E$25/12,$B213,E$23,E$53,-E$27,0),IF($B213=E$23,E212+PPMT(E$25/12,$B213,E$23,E$53,-E$27,0)-E$27,0)))</f>
        <v/>
      </c>
      <c r="F213" s="279">
        <f>IF(F$1=0,"",IF($B213&lt;F$23,F212+PPMT(F$25/12,$B213,F$23,F$53,-F$27,0),IF($B213=F$23,F212+PPMT(F$25/12,$B213,F$23,F$53,-F$27,0)-F$27,0)))</f>
        <v/>
      </c>
      <c r="G213" s="279">
        <f>IF(G$1=0,"",IF($B213&lt;G$23,G212+PPMT(G$25/12,$B213,G$23,G$53,-G$27,0),IF($B213=G$23,G212+PPMT(G$25/12,$B213,G$23,G$53,-G$27,0)-G$27,0)))</f>
        <v/>
      </c>
      <c r="H213" s="279">
        <f>IF(H$1=0,"",IF($B213&lt;H$23,H212+PPMT(H$25/12,$B213,H$23,H$53,-H$27,0),IF($B213=H$23,H212+PPMT(H$25/12,$B213,H$23,H$53,-H$27,0)-H$27,0)))</f>
        <v/>
      </c>
      <c r="I213" s="279">
        <f>IF(I$1=0,"",IF($B213&lt;I$23,I212+PPMT(I$25/12,$B213,I$23,I$53,-I$27,0),IF($B213=I$23,I212+PPMT(I$25/12,$B213,I$23,I$53,-I$27,0)-I$27,0)))</f>
        <v/>
      </c>
      <c r="J213" s="279">
        <f>IF(J$1=0,"",IF($B213&lt;J$23,J212+PPMT(J$25/12,$B213,J$23,J$53,-J$27,0),IF($B213=J$23,J212+PPMT(J$25/12,$B213,J$23,J$53,-J$27,0)-J$27,0)))</f>
        <v/>
      </c>
      <c r="K213" s="279">
        <f>IF(K$1=0,"",IF($B213&lt;K$23,K212+PPMT(K$25/12,$B213,K$23,K$53,-K$27,0),IF($B213=K$23,K212+PPMT(K$25/12,$B213,K$23,K$53,-K$27,0)-K$27,0)))</f>
        <v/>
      </c>
      <c r="L213" s="279">
        <f>IF(L$1=0,"",IF($B213&lt;L$23,L212+PPMT(L$25/12,$B213,L$23,L$53,-L$27,0),IF($B213=L$23,L212+PPMT(L$25/12,$B213,L$23,L$53,-L$27,0)-L$27,0)))</f>
        <v/>
      </c>
      <c r="M213" s="279">
        <f>IF(M$1=0,"",IF($B213&lt;M$23,M212+PPMT(M$25/12,$B213,M$23,M$53,-M$27,0),IF($B213=M$23,M212+PPMT(M$25/12,$B213,M$23,M$53,-M$27,0)-M$27,0)))</f>
        <v/>
      </c>
      <c r="N213" s="280" t="n"/>
      <c r="O213" s="281" t="n"/>
    </row>
    <row r="214" hidden="1" outlineLevel="1">
      <c r="B214" s="2">
        <f>B213+1</f>
        <v/>
      </c>
      <c r="D214" s="279">
        <f>IF(B214&lt;$D$24,(+#REF!/CALCULETTE!$B$612),0)</f>
        <v/>
      </c>
      <c r="E214" s="279">
        <f>IF(E$1=0,"",IF($B214&lt;E$23,E213+PPMT(E$25/12,$B214,E$23,E$53,-E$27,0),IF($B214=E$23,E213+PPMT(E$25/12,$B214,E$23,E$53,-E$27,0)-E$27,0)))</f>
        <v/>
      </c>
      <c r="F214" s="279">
        <f>IF(F$1=0,"",IF($B214&lt;F$23,F213+PPMT(F$25/12,$B214,F$23,F$53,-F$27,0),IF($B214=F$23,F213+PPMT(F$25/12,$B214,F$23,F$53,-F$27,0)-F$27,0)))</f>
        <v/>
      </c>
      <c r="G214" s="279">
        <f>IF(G$1=0,"",IF($B214&lt;G$23,G213+PPMT(G$25/12,$B214,G$23,G$53,-G$27,0),IF($B214=G$23,G213+PPMT(G$25/12,$B214,G$23,G$53,-G$27,0)-G$27,0)))</f>
        <v/>
      </c>
      <c r="H214" s="279">
        <f>IF(H$1=0,"",IF($B214&lt;H$23,H213+PPMT(H$25/12,$B214,H$23,H$53,-H$27,0),IF($B214=H$23,H213+PPMT(H$25/12,$B214,H$23,H$53,-H$27,0)-H$27,0)))</f>
        <v/>
      </c>
      <c r="I214" s="279">
        <f>IF(I$1=0,"",IF($B214&lt;I$23,I213+PPMT(I$25/12,$B214,I$23,I$53,-I$27,0),IF($B214=I$23,I213+PPMT(I$25/12,$B214,I$23,I$53,-I$27,0)-I$27,0)))</f>
        <v/>
      </c>
      <c r="J214" s="279">
        <f>IF(J$1=0,"",IF($B214&lt;J$23,J213+PPMT(J$25/12,$B214,J$23,J$53,-J$27,0),IF($B214=J$23,J213+PPMT(J$25/12,$B214,J$23,J$53,-J$27,0)-J$27,0)))</f>
        <v/>
      </c>
      <c r="K214" s="279">
        <f>IF(K$1=0,"",IF($B214&lt;K$23,K213+PPMT(K$25/12,$B214,K$23,K$53,-K$27,0),IF($B214=K$23,K213+PPMT(K$25/12,$B214,K$23,K$53,-K$27,0)-K$27,0)))</f>
        <v/>
      </c>
      <c r="L214" s="279">
        <f>IF(L$1=0,"",IF($B214&lt;L$23,L213+PPMT(L$25/12,$B214,L$23,L$53,-L$27,0),IF($B214=L$23,L213+PPMT(L$25/12,$B214,L$23,L$53,-L$27,0)-L$27,0)))</f>
        <v/>
      </c>
      <c r="M214" s="279">
        <f>IF(M$1=0,"",IF($B214&lt;M$23,M213+PPMT(M$25/12,$B214,M$23,M$53,-M$27,0),IF($B214=M$23,M213+PPMT(M$25/12,$B214,M$23,M$53,-M$27,0)-M$27,0)))</f>
        <v/>
      </c>
      <c r="N214" s="280" t="n"/>
      <c r="O214" s="281" t="n"/>
    </row>
    <row r="215" hidden="1" outlineLevel="1">
      <c r="B215" s="2">
        <f>B214+1</f>
        <v/>
      </c>
      <c r="D215" s="279">
        <f>IF(B215&lt;$D$24,(+#REF!/CALCULETTE!$B$612),0)</f>
        <v/>
      </c>
      <c r="E215" s="279">
        <f>IF(E$1=0,"",IF($B215&lt;E$23,E214+PPMT(E$25/12,$B215,E$23,E$53,-E$27,0),IF($B215=E$23,E214+PPMT(E$25/12,$B215,E$23,E$53,-E$27,0)-E$27,0)))</f>
        <v/>
      </c>
      <c r="F215" s="279">
        <f>IF(F$1=0,"",IF($B215&lt;F$23,F214+PPMT(F$25/12,$B215,F$23,F$53,-F$27,0),IF($B215=F$23,F214+PPMT(F$25/12,$B215,F$23,F$53,-F$27,0)-F$27,0)))</f>
        <v/>
      </c>
      <c r="G215" s="279">
        <f>IF(G$1=0,"",IF($B215&lt;G$23,G214+PPMT(G$25/12,$B215,G$23,G$53,-G$27,0),IF($B215=G$23,G214+PPMT(G$25/12,$B215,G$23,G$53,-G$27,0)-G$27,0)))</f>
        <v/>
      </c>
      <c r="H215" s="279">
        <f>IF(H$1=0,"",IF($B215&lt;H$23,H214+PPMT(H$25/12,$B215,H$23,H$53,-H$27,0),IF($B215=H$23,H214+PPMT(H$25/12,$B215,H$23,H$53,-H$27,0)-H$27,0)))</f>
        <v/>
      </c>
      <c r="I215" s="279">
        <f>IF(I$1=0,"",IF($B215&lt;I$23,I214+PPMT(I$25/12,$B215,I$23,I$53,-I$27,0),IF($B215=I$23,I214+PPMT(I$25/12,$B215,I$23,I$53,-I$27,0)-I$27,0)))</f>
        <v/>
      </c>
      <c r="J215" s="279">
        <f>IF(J$1=0,"",IF($B215&lt;J$23,J214+PPMT(J$25/12,$B215,J$23,J$53,-J$27,0),IF($B215=J$23,J214+PPMT(J$25/12,$B215,J$23,J$53,-J$27,0)-J$27,0)))</f>
        <v/>
      </c>
      <c r="K215" s="279">
        <f>IF(K$1=0,"",IF($B215&lt;K$23,K214+PPMT(K$25/12,$B215,K$23,K$53,-K$27,0),IF($B215=K$23,K214+PPMT(K$25/12,$B215,K$23,K$53,-K$27,0)-K$27,0)))</f>
        <v/>
      </c>
      <c r="L215" s="279">
        <f>IF(L$1=0,"",IF($B215&lt;L$23,L214+PPMT(L$25/12,$B215,L$23,L$53,-L$27,0),IF($B215=L$23,L214+PPMT(L$25/12,$B215,L$23,L$53,-L$27,0)-L$27,0)))</f>
        <v/>
      </c>
      <c r="M215" s="279">
        <f>IF(M$1=0,"",IF($B215&lt;M$23,M214+PPMT(M$25/12,$B215,M$23,M$53,-M$27,0),IF($B215=M$23,M214+PPMT(M$25/12,$B215,M$23,M$53,-M$27,0)-M$27,0)))</f>
        <v/>
      </c>
      <c r="N215" s="280" t="n"/>
      <c r="O215" s="281" t="n"/>
    </row>
    <row r="216" hidden="1" outlineLevel="1">
      <c r="B216" s="2">
        <f>B215+1</f>
        <v/>
      </c>
      <c r="D216" s="279">
        <f>IF(B216&lt;$D$24,(+#REF!/CALCULETTE!$B$612),0)</f>
        <v/>
      </c>
      <c r="E216" s="279">
        <f>IF(E$1=0,"",IF($B216&lt;E$23,E215+PPMT(E$25/12,$B216,E$23,E$53,-E$27,0),IF($B216=E$23,E215+PPMT(E$25/12,$B216,E$23,E$53,-E$27,0)-E$27,0)))</f>
        <v/>
      </c>
      <c r="F216" s="279">
        <f>IF(F$1=0,"",IF($B216&lt;F$23,F215+PPMT(F$25/12,$B216,F$23,F$53,-F$27,0),IF($B216=F$23,F215+PPMT(F$25/12,$B216,F$23,F$53,-F$27,0)-F$27,0)))</f>
        <v/>
      </c>
      <c r="G216" s="279">
        <f>IF(G$1=0,"",IF($B216&lt;G$23,G215+PPMT(G$25/12,$B216,G$23,G$53,-G$27,0),IF($B216=G$23,G215+PPMT(G$25/12,$B216,G$23,G$53,-G$27,0)-G$27,0)))</f>
        <v/>
      </c>
      <c r="H216" s="279">
        <f>IF(H$1=0,"",IF($B216&lt;H$23,H215+PPMT(H$25/12,$B216,H$23,H$53,-H$27,0),IF($B216=H$23,H215+PPMT(H$25/12,$B216,H$23,H$53,-H$27,0)-H$27,0)))</f>
        <v/>
      </c>
      <c r="I216" s="279">
        <f>IF(I$1=0,"",IF($B216&lt;I$23,I215+PPMT(I$25/12,$B216,I$23,I$53,-I$27,0),IF($B216=I$23,I215+PPMT(I$25/12,$B216,I$23,I$53,-I$27,0)-I$27,0)))</f>
        <v/>
      </c>
      <c r="J216" s="279">
        <f>IF(J$1=0,"",IF($B216&lt;J$23,J215+PPMT(J$25/12,$B216,J$23,J$53,-J$27,0),IF($B216=J$23,J215+PPMT(J$25/12,$B216,J$23,J$53,-J$27,0)-J$27,0)))</f>
        <v/>
      </c>
      <c r="K216" s="279">
        <f>IF(K$1=0,"",IF($B216&lt;K$23,K215+PPMT(K$25/12,$B216,K$23,K$53,-K$27,0),IF($B216=K$23,K215+PPMT(K$25/12,$B216,K$23,K$53,-K$27,0)-K$27,0)))</f>
        <v/>
      </c>
      <c r="L216" s="279">
        <f>IF(L$1=0,"",IF($B216&lt;L$23,L215+PPMT(L$25/12,$B216,L$23,L$53,-L$27,0),IF($B216=L$23,L215+PPMT(L$25/12,$B216,L$23,L$53,-L$27,0)-L$27,0)))</f>
        <v/>
      </c>
      <c r="M216" s="279">
        <f>IF(M$1=0,"",IF($B216&lt;M$23,M215+PPMT(M$25/12,$B216,M$23,M$53,-M$27,0),IF($B216=M$23,M215+PPMT(M$25/12,$B216,M$23,M$53,-M$27,0)-M$27,0)))</f>
        <v/>
      </c>
      <c r="N216" s="280" t="n"/>
      <c r="O216" s="281" t="n"/>
    </row>
    <row r="217" hidden="1" outlineLevel="1">
      <c r="B217" s="2">
        <f>B216+1</f>
        <v/>
      </c>
      <c r="D217" s="279">
        <f>IF(B217&lt;$D$24,(+#REF!/CALCULETTE!$B$612),0)</f>
        <v/>
      </c>
      <c r="E217" s="279">
        <f>IF(E$1=0,"",IF($B217&lt;E$23,E216+PPMT(E$25/12,$B217,E$23,E$53,-E$27,0),IF($B217=E$23,E216+PPMT(E$25/12,$B217,E$23,E$53,-E$27,0)-E$27,0)))</f>
        <v/>
      </c>
      <c r="F217" s="279">
        <f>IF(F$1=0,"",IF($B217&lt;F$23,F216+PPMT(F$25/12,$B217,F$23,F$53,-F$27,0),IF($B217=F$23,F216+PPMT(F$25/12,$B217,F$23,F$53,-F$27,0)-F$27,0)))</f>
        <v/>
      </c>
      <c r="G217" s="279">
        <f>IF(G$1=0,"",IF($B217&lt;G$23,G216+PPMT(G$25/12,$B217,G$23,G$53,-G$27,0),IF($B217=G$23,G216+PPMT(G$25/12,$B217,G$23,G$53,-G$27,0)-G$27,0)))</f>
        <v/>
      </c>
      <c r="H217" s="279">
        <f>IF(H$1=0,"",IF($B217&lt;H$23,H216+PPMT(H$25/12,$B217,H$23,H$53,-H$27,0),IF($B217=H$23,H216+PPMT(H$25/12,$B217,H$23,H$53,-H$27,0)-H$27,0)))</f>
        <v/>
      </c>
      <c r="I217" s="279">
        <f>IF(I$1=0,"",IF($B217&lt;I$23,I216+PPMT(I$25/12,$B217,I$23,I$53,-I$27,0),IF($B217=I$23,I216+PPMT(I$25/12,$B217,I$23,I$53,-I$27,0)-I$27,0)))</f>
        <v/>
      </c>
      <c r="J217" s="279">
        <f>IF(J$1=0,"",IF($B217&lt;J$23,J216+PPMT(J$25/12,$B217,J$23,J$53,-J$27,0),IF($B217=J$23,J216+PPMT(J$25/12,$B217,J$23,J$53,-J$27,0)-J$27,0)))</f>
        <v/>
      </c>
      <c r="K217" s="279">
        <f>IF(K$1=0,"",IF($B217&lt;K$23,K216+PPMT(K$25/12,$B217,K$23,K$53,-K$27,0),IF($B217=K$23,K216+PPMT(K$25/12,$B217,K$23,K$53,-K$27,0)-K$27,0)))</f>
        <v/>
      </c>
      <c r="L217" s="279">
        <f>IF(L$1=0,"",IF($B217&lt;L$23,L216+PPMT(L$25/12,$B217,L$23,L$53,-L$27,0),IF($B217=L$23,L216+PPMT(L$25/12,$B217,L$23,L$53,-L$27,0)-L$27,0)))</f>
        <v/>
      </c>
      <c r="M217" s="279">
        <f>IF(M$1=0,"",IF($B217&lt;M$23,M216+PPMT(M$25/12,$B217,M$23,M$53,-M$27,0),IF($B217=M$23,M216+PPMT(M$25/12,$B217,M$23,M$53,-M$27,0)-M$27,0)))</f>
        <v/>
      </c>
      <c r="N217" s="280" t="n"/>
      <c r="O217" s="281" t="n"/>
    </row>
    <row r="218" hidden="1" outlineLevel="1">
      <c r="B218" s="2">
        <f>B217+1</f>
        <v/>
      </c>
      <c r="D218" s="279">
        <f>IF(B218&lt;$D$24,(+#REF!/CALCULETTE!$B$612),0)</f>
        <v/>
      </c>
      <c r="E218" s="279">
        <f>IF(E$1=0,"",IF($B218&lt;E$23,E217+PPMT(E$25/12,$B218,E$23,E$53,-E$27,0),IF($B218=E$23,E217+PPMT(E$25/12,$B218,E$23,E$53,-E$27,0)-E$27,0)))</f>
        <v/>
      </c>
      <c r="F218" s="279">
        <f>IF(F$1=0,"",IF($B218&lt;F$23,F217+PPMT(F$25/12,$B218,F$23,F$53,-F$27,0),IF($B218=F$23,F217+PPMT(F$25/12,$B218,F$23,F$53,-F$27,0)-F$27,0)))</f>
        <v/>
      </c>
      <c r="G218" s="279">
        <f>IF(G$1=0,"",IF($B218&lt;G$23,G217+PPMT(G$25/12,$B218,G$23,G$53,-G$27,0),IF($B218=G$23,G217+PPMT(G$25/12,$B218,G$23,G$53,-G$27,0)-G$27,0)))</f>
        <v/>
      </c>
      <c r="H218" s="279">
        <f>IF(H$1=0,"",IF($B218&lt;H$23,H217+PPMT(H$25/12,$B218,H$23,H$53,-H$27,0),IF($B218=H$23,H217+PPMT(H$25/12,$B218,H$23,H$53,-H$27,0)-H$27,0)))</f>
        <v/>
      </c>
      <c r="I218" s="279">
        <f>IF(I$1=0,"",IF($B218&lt;I$23,I217+PPMT(I$25/12,$B218,I$23,I$53,-I$27,0),IF($B218=I$23,I217+PPMT(I$25/12,$B218,I$23,I$53,-I$27,0)-I$27,0)))</f>
        <v/>
      </c>
      <c r="J218" s="279">
        <f>IF(J$1=0,"",IF($B218&lt;J$23,J217+PPMT(J$25/12,$B218,J$23,J$53,-J$27,0),IF($B218=J$23,J217+PPMT(J$25/12,$B218,J$23,J$53,-J$27,0)-J$27,0)))</f>
        <v/>
      </c>
      <c r="K218" s="279">
        <f>IF(K$1=0,"",IF($B218&lt;K$23,K217+PPMT(K$25/12,$B218,K$23,K$53,-K$27,0),IF($B218=K$23,K217+PPMT(K$25/12,$B218,K$23,K$53,-K$27,0)-K$27,0)))</f>
        <v/>
      </c>
      <c r="L218" s="279">
        <f>IF(L$1=0,"",IF($B218&lt;L$23,L217+PPMT(L$25/12,$B218,L$23,L$53,-L$27,0),IF($B218=L$23,L217+PPMT(L$25/12,$B218,L$23,L$53,-L$27,0)-L$27,0)))</f>
        <v/>
      </c>
      <c r="M218" s="279">
        <f>IF(M$1=0,"",IF($B218&lt;M$23,M217+PPMT(M$25/12,$B218,M$23,M$53,-M$27,0),IF($B218=M$23,M217+PPMT(M$25/12,$B218,M$23,M$53,-M$27,0)-M$27,0)))</f>
        <v/>
      </c>
      <c r="N218" s="280" t="n"/>
      <c r="O218" s="281" t="n"/>
    </row>
    <row r="219" hidden="1" outlineLevel="1">
      <c r="B219" s="2">
        <f>B218+1</f>
        <v/>
      </c>
      <c r="D219" s="279">
        <f>IF(B219&lt;$D$24,(+#REF!/CALCULETTE!$B$612),0)</f>
        <v/>
      </c>
      <c r="E219" s="279">
        <f>IF(E$1=0,"",IF($B219&lt;E$23,E218+PPMT(E$25/12,$B219,E$23,E$53,-E$27,0),IF($B219=E$23,E218+PPMT(E$25/12,$B219,E$23,E$53,-E$27,0)-E$27,0)))</f>
        <v/>
      </c>
      <c r="F219" s="279">
        <f>IF(F$1=0,"",IF($B219&lt;F$23,F218+PPMT(F$25/12,$B219,F$23,F$53,-F$27,0),IF($B219=F$23,F218+PPMT(F$25/12,$B219,F$23,F$53,-F$27,0)-F$27,0)))</f>
        <v/>
      </c>
      <c r="G219" s="279">
        <f>IF(G$1=0,"",IF($B219&lt;G$23,G218+PPMT(G$25/12,$B219,G$23,G$53,-G$27,0),IF($B219=G$23,G218+PPMT(G$25/12,$B219,G$23,G$53,-G$27,0)-G$27,0)))</f>
        <v/>
      </c>
      <c r="H219" s="279">
        <f>IF(H$1=0,"",IF($B219&lt;H$23,H218+PPMT(H$25/12,$B219,H$23,H$53,-H$27,0),IF($B219=H$23,H218+PPMT(H$25/12,$B219,H$23,H$53,-H$27,0)-H$27,0)))</f>
        <v/>
      </c>
      <c r="I219" s="279">
        <f>IF(I$1=0,"",IF($B219&lt;I$23,I218+PPMT(I$25/12,$B219,I$23,I$53,-I$27,0),IF($B219=I$23,I218+PPMT(I$25/12,$B219,I$23,I$53,-I$27,0)-I$27,0)))</f>
        <v/>
      </c>
      <c r="J219" s="279">
        <f>IF(J$1=0,"",IF($B219&lt;J$23,J218+PPMT(J$25/12,$B219,J$23,J$53,-J$27,0),IF($B219=J$23,J218+PPMT(J$25/12,$B219,J$23,J$53,-J$27,0)-J$27,0)))</f>
        <v/>
      </c>
      <c r="K219" s="279">
        <f>IF(K$1=0,"",IF($B219&lt;K$23,K218+PPMT(K$25/12,$B219,K$23,K$53,-K$27,0),IF($B219=K$23,K218+PPMT(K$25/12,$B219,K$23,K$53,-K$27,0)-K$27,0)))</f>
        <v/>
      </c>
      <c r="L219" s="279">
        <f>IF(L$1=0,"",IF($B219&lt;L$23,L218+PPMT(L$25/12,$B219,L$23,L$53,-L$27,0),IF($B219=L$23,L218+PPMT(L$25/12,$B219,L$23,L$53,-L$27,0)-L$27,0)))</f>
        <v/>
      </c>
      <c r="M219" s="279">
        <f>IF(M$1=0,"",IF($B219&lt;M$23,M218+PPMT(M$25/12,$B219,M$23,M$53,-M$27,0),IF($B219=M$23,M218+PPMT(M$25/12,$B219,M$23,M$53,-M$27,0)-M$27,0)))</f>
        <v/>
      </c>
      <c r="N219" s="280" t="n"/>
      <c r="O219" s="281" t="n"/>
    </row>
    <row r="220" hidden="1" outlineLevel="1">
      <c r="B220" s="2">
        <f>B219+1</f>
        <v/>
      </c>
      <c r="D220" s="279">
        <f>IF(B220&lt;$D$24,(+#REF!/CALCULETTE!$B$612),0)</f>
        <v/>
      </c>
      <c r="E220" s="279">
        <f>IF(E$1=0,"",IF($B220&lt;E$23,E219+PPMT(E$25/12,$B220,E$23,E$53,-E$27,0),IF($B220=E$23,E219+PPMT(E$25/12,$B220,E$23,E$53,-E$27,0)-E$27,0)))</f>
        <v/>
      </c>
      <c r="F220" s="279">
        <f>IF(F$1=0,"",IF($B220&lt;F$23,F219+PPMT(F$25/12,$B220,F$23,F$53,-F$27,0),IF($B220=F$23,F219+PPMT(F$25/12,$B220,F$23,F$53,-F$27,0)-F$27,0)))</f>
        <v/>
      </c>
      <c r="G220" s="279">
        <f>IF(G$1=0,"",IF($B220&lt;G$23,G219+PPMT(G$25/12,$B220,G$23,G$53,-G$27,0),IF($B220=G$23,G219+PPMT(G$25/12,$B220,G$23,G$53,-G$27,0)-G$27,0)))</f>
        <v/>
      </c>
      <c r="H220" s="279">
        <f>IF(H$1=0,"",IF($B220&lt;H$23,H219+PPMT(H$25/12,$B220,H$23,H$53,-H$27,0),IF($B220=H$23,H219+PPMT(H$25/12,$B220,H$23,H$53,-H$27,0)-H$27,0)))</f>
        <v/>
      </c>
      <c r="I220" s="279">
        <f>IF(I$1=0,"",IF($B220&lt;I$23,I219+PPMT(I$25/12,$B220,I$23,I$53,-I$27,0),IF($B220=I$23,I219+PPMT(I$25/12,$B220,I$23,I$53,-I$27,0)-I$27,0)))</f>
        <v/>
      </c>
      <c r="J220" s="279">
        <f>IF(J$1=0,"",IF($B220&lt;J$23,J219+PPMT(J$25/12,$B220,J$23,J$53,-J$27,0),IF($B220=J$23,J219+PPMT(J$25/12,$B220,J$23,J$53,-J$27,0)-J$27,0)))</f>
        <v/>
      </c>
      <c r="K220" s="279">
        <f>IF(K$1=0,"",IF($B220&lt;K$23,K219+PPMT(K$25/12,$B220,K$23,K$53,-K$27,0),IF($B220=K$23,K219+PPMT(K$25/12,$B220,K$23,K$53,-K$27,0)-K$27,0)))</f>
        <v/>
      </c>
      <c r="L220" s="279">
        <f>IF(L$1=0,"",IF($B220&lt;L$23,L219+PPMT(L$25/12,$B220,L$23,L$53,-L$27,0),IF($B220=L$23,L219+PPMT(L$25/12,$B220,L$23,L$53,-L$27,0)-L$27,0)))</f>
        <v/>
      </c>
      <c r="M220" s="279">
        <f>IF(M$1=0,"",IF($B220&lt;M$23,M219+PPMT(M$25/12,$B220,M$23,M$53,-M$27,0),IF($B220=M$23,M219+PPMT(M$25/12,$B220,M$23,M$53,-M$27,0)-M$27,0)))</f>
        <v/>
      </c>
      <c r="N220" s="280" t="n"/>
      <c r="O220" s="281" t="n"/>
    </row>
    <row r="221" hidden="1" outlineLevel="1">
      <c r="B221" s="2">
        <f>B220+1</f>
        <v/>
      </c>
      <c r="D221" s="279">
        <f>IF(B221&lt;$D$24,(+#REF!/CALCULETTE!$B$612),0)</f>
        <v/>
      </c>
      <c r="E221" s="279">
        <f>IF(E$1=0,"",IF($B221&lt;E$23,E220+PPMT(E$25/12,$B221,E$23,E$53,-E$27,0),IF($B221=E$23,E220+PPMT(E$25/12,$B221,E$23,E$53,-E$27,0)-E$27,0)))</f>
        <v/>
      </c>
      <c r="F221" s="279">
        <f>IF(F$1=0,"",IF($B221&lt;F$23,F220+PPMT(F$25/12,$B221,F$23,F$53,-F$27,0),IF($B221=F$23,F220+PPMT(F$25/12,$B221,F$23,F$53,-F$27,0)-F$27,0)))</f>
        <v/>
      </c>
      <c r="G221" s="279">
        <f>IF(G$1=0,"",IF($B221&lt;G$23,G220+PPMT(G$25/12,$B221,G$23,G$53,-G$27,0),IF($B221=G$23,G220+PPMT(G$25/12,$B221,G$23,G$53,-G$27,0)-G$27,0)))</f>
        <v/>
      </c>
      <c r="H221" s="279">
        <f>IF(H$1=0,"",IF($B221&lt;H$23,H220+PPMT(H$25/12,$B221,H$23,H$53,-H$27,0),IF($B221=H$23,H220+PPMT(H$25/12,$B221,H$23,H$53,-H$27,0)-H$27,0)))</f>
        <v/>
      </c>
      <c r="I221" s="279">
        <f>IF(I$1=0,"",IF($B221&lt;I$23,I220+PPMT(I$25/12,$B221,I$23,I$53,-I$27,0),IF($B221=I$23,I220+PPMT(I$25/12,$B221,I$23,I$53,-I$27,0)-I$27,0)))</f>
        <v/>
      </c>
      <c r="J221" s="279">
        <f>IF(J$1=0,"",IF($B221&lt;J$23,J220+PPMT(J$25/12,$B221,J$23,J$53,-J$27,0),IF($B221=J$23,J220+PPMT(J$25/12,$B221,J$23,J$53,-J$27,0)-J$27,0)))</f>
        <v/>
      </c>
      <c r="K221" s="279">
        <f>IF(K$1=0,"",IF($B221&lt;K$23,K220+PPMT(K$25/12,$B221,K$23,K$53,-K$27,0),IF($B221=K$23,K220+PPMT(K$25/12,$B221,K$23,K$53,-K$27,0)-K$27,0)))</f>
        <v/>
      </c>
      <c r="L221" s="279">
        <f>IF(L$1=0,"",IF($B221&lt;L$23,L220+PPMT(L$25/12,$B221,L$23,L$53,-L$27,0),IF($B221=L$23,L220+PPMT(L$25/12,$B221,L$23,L$53,-L$27,0)-L$27,0)))</f>
        <v/>
      </c>
      <c r="M221" s="279">
        <f>IF(M$1=0,"",IF($B221&lt;M$23,M220+PPMT(M$25/12,$B221,M$23,M$53,-M$27,0),IF($B221=M$23,M220+PPMT(M$25/12,$B221,M$23,M$53,-M$27,0)-M$27,0)))</f>
        <v/>
      </c>
      <c r="N221" s="280" t="n"/>
      <c r="O221" s="281" t="n"/>
    </row>
    <row r="222" hidden="1" outlineLevel="1">
      <c r="B222" s="2">
        <f>B221+1</f>
        <v/>
      </c>
      <c r="D222" s="279">
        <f>IF(B222&lt;$D$24,(+#REF!/CALCULETTE!$B$612),0)</f>
        <v/>
      </c>
      <c r="E222" s="279">
        <f>IF(E$1=0,"",IF($B222&lt;E$23,E221+PPMT(E$25/12,$B222,E$23,E$53,-E$27,0),IF($B222=E$23,E221+PPMT(E$25/12,$B222,E$23,E$53,-E$27,0)-E$27,0)))</f>
        <v/>
      </c>
      <c r="F222" s="279">
        <f>IF(F$1=0,"",IF($B222&lt;F$23,F221+PPMT(F$25/12,$B222,F$23,F$53,-F$27,0),IF($B222=F$23,F221+PPMT(F$25/12,$B222,F$23,F$53,-F$27,0)-F$27,0)))</f>
        <v/>
      </c>
      <c r="G222" s="279">
        <f>IF(G$1=0,"",IF($B222&lt;G$23,G221+PPMT(G$25/12,$B222,G$23,G$53,-G$27,0),IF($B222=G$23,G221+PPMT(G$25/12,$B222,G$23,G$53,-G$27,0)-G$27,0)))</f>
        <v/>
      </c>
      <c r="H222" s="279">
        <f>IF(H$1=0,"",IF($B222&lt;H$23,H221+PPMT(H$25/12,$B222,H$23,H$53,-H$27,0),IF($B222=H$23,H221+PPMT(H$25/12,$B222,H$23,H$53,-H$27,0)-H$27,0)))</f>
        <v/>
      </c>
      <c r="I222" s="279">
        <f>IF(I$1=0,"",IF($B222&lt;I$23,I221+PPMT(I$25/12,$B222,I$23,I$53,-I$27,0),IF($B222=I$23,I221+PPMT(I$25/12,$B222,I$23,I$53,-I$27,0)-I$27,0)))</f>
        <v/>
      </c>
      <c r="J222" s="279">
        <f>IF(J$1=0,"",IF($B222&lt;J$23,J221+PPMT(J$25/12,$B222,J$23,J$53,-J$27,0),IF($B222=J$23,J221+PPMT(J$25/12,$B222,J$23,J$53,-J$27,0)-J$27,0)))</f>
        <v/>
      </c>
      <c r="K222" s="279">
        <f>IF(K$1=0,"",IF($B222&lt;K$23,K221+PPMT(K$25/12,$B222,K$23,K$53,-K$27,0),IF($B222=K$23,K221+PPMT(K$25/12,$B222,K$23,K$53,-K$27,0)-K$27,0)))</f>
        <v/>
      </c>
      <c r="L222" s="279">
        <f>IF(L$1=0,"",IF($B222&lt;L$23,L221+PPMT(L$25/12,$B222,L$23,L$53,-L$27,0),IF($B222=L$23,L221+PPMT(L$25/12,$B222,L$23,L$53,-L$27,0)-L$27,0)))</f>
        <v/>
      </c>
      <c r="M222" s="279">
        <f>IF(M$1=0,"",IF($B222&lt;M$23,M221+PPMT(M$25/12,$B222,M$23,M$53,-M$27,0),IF($B222=M$23,M221+PPMT(M$25/12,$B222,M$23,M$53,-M$27,0)-M$27,0)))</f>
        <v/>
      </c>
      <c r="N222" s="280" t="n"/>
      <c r="O222" s="281" t="n"/>
    </row>
    <row r="223" hidden="1" outlineLevel="1">
      <c r="B223" s="2">
        <f>B222+1</f>
        <v/>
      </c>
      <c r="D223" s="279">
        <f>IF(B223&lt;$D$24,(+#REF!/CALCULETTE!$B$612),0)</f>
        <v/>
      </c>
      <c r="E223" s="279">
        <f>IF(E$1=0,"",IF($B223&lt;E$23,E222+PPMT(E$25/12,$B223,E$23,E$53,-E$27,0),IF($B223=E$23,E222+PPMT(E$25/12,$B223,E$23,E$53,-E$27,0)-E$27,0)))</f>
        <v/>
      </c>
      <c r="F223" s="279">
        <f>IF(F$1=0,"",IF($B223&lt;F$23,F222+PPMT(F$25/12,$B223,F$23,F$53,-F$27,0),IF($B223=F$23,F222+PPMT(F$25/12,$B223,F$23,F$53,-F$27,0)-F$27,0)))</f>
        <v/>
      </c>
      <c r="G223" s="279">
        <f>IF(G$1=0,"",IF($B223&lt;G$23,G222+PPMT(G$25/12,$B223,G$23,G$53,-G$27,0),IF($B223=G$23,G222+PPMT(G$25/12,$B223,G$23,G$53,-G$27,0)-G$27,0)))</f>
        <v/>
      </c>
      <c r="H223" s="279">
        <f>IF(H$1=0,"",IF($B223&lt;H$23,H222+PPMT(H$25/12,$B223,H$23,H$53,-H$27,0),IF($B223=H$23,H222+PPMT(H$25/12,$B223,H$23,H$53,-H$27,0)-H$27,0)))</f>
        <v/>
      </c>
      <c r="I223" s="279">
        <f>IF(I$1=0,"",IF($B223&lt;I$23,I222+PPMT(I$25/12,$B223,I$23,I$53,-I$27,0),IF($B223=I$23,I222+PPMT(I$25/12,$B223,I$23,I$53,-I$27,0)-I$27,0)))</f>
        <v/>
      </c>
      <c r="J223" s="279">
        <f>IF(J$1=0,"",IF($B223&lt;J$23,J222+PPMT(J$25/12,$B223,J$23,J$53,-J$27,0),IF($B223=J$23,J222+PPMT(J$25/12,$B223,J$23,J$53,-J$27,0)-J$27,0)))</f>
        <v/>
      </c>
      <c r="K223" s="279">
        <f>IF(K$1=0,"",IF($B223&lt;K$23,K222+PPMT(K$25/12,$B223,K$23,K$53,-K$27,0),IF($B223=K$23,K222+PPMT(K$25/12,$B223,K$23,K$53,-K$27,0)-K$27,0)))</f>
        <v/>
      </c>
      <c r="L223" s="279">
        <f>IF(L$1=0,"",IF($B223&lt;L$23,L222+PPMT(L$25/12,$B223,L$23,L$53,-L$27,0),IF($B223=L$23,L222+PPMT(L$25/12,$B223,L$23,L$53,-L$27,0)-L$27,0)))</f>
        <v/>
      </c>
      <c r="M223" s="279">
        <f>IF(M$1=0,"",IF($B223&lt;M$23,M222+PPMT(M$25/12,$B223,M$23,M$53,-M$27,0),IF($B223=M$23,M222+PPMT(M$25/12,$B223,M$23,M$53,-M$27,0)-M$27,0)))</f>
        <v/>
      </c>
      <c r="N223" s="280" t="n"/>
      <c r="O223" s="281" t="n"/>
    </row>
    <row r="224" hidden="1" outlineLevel="1">
      <c r="B224" s="2">
        <f>B223+1</f>
        <v/>
      </c>
      <c r="D224" s="279">
        <f>IF(B224&lt;$D$24,(+#REF!/CALCULETTE!$B$612),0)</f>
        <v/>
      </c>
      <c r="E224" s="279">
        <f>IF(E$1=0,"",IF($B224&lt;E$23,E223+PPMT(E$25/12,$B224,E$23,E$53,-E$27,0),IF($B224=E$23,E223+PPMT(E$25/12,$B224,E$23,E$53,-E$27,0)-E$27,0)))</f>
        <v/>
      </c>
      <c r="F224" s="279">
        <f>IF(F$1=0,"",IF($B224&lt;F$23,F223+PPMT(F$25/12,$B224,F$23,F$53,-F$27,0),IF($B224=F$23,F223+PPMT(F$25/12,$B224,F$23,F$53,-F$27,0)-F$27,0)))</f>
        <v/>
      </c>
      <c r="G224" s="279">
        <f>IF(G$1=0,"",IF($B224&lt;G$23,G223+PPMT(G$25/12,$B224,G$23,G$53,-G$27,0),IF($B224=G$23,G223+PPMT(G$25/12,$B224,G$23,G$53,-G$27,0)-G$27,0)))</f>
        <v/>
      </c>
      <c r="H224" s="279">
        <f>IF(H$1=0,"",IF($B224&lt;H$23,H223+PPMT(H$25/12,$B224,H$23,H$53,-H$27,0),IF($B224=H$23,H223+PPMT(H$25/12,$B224,H$23,H$53,-H$27,0)-H$27,0)))</f>
        <v/>
      </c>
      <c r="I224" s="279">
        <f>IF(I$1=0,"",IF($B224&lt;I$23,I223+PPMT(I$25/12,$B224,I$23,I$53,-I$27,0),IF($B224=I$23,I223+PPMT(I$25/12,$B224,I$23,I$53,-I$27,0)-I$27,0)))</f>
        <v/>
      </c>
      <c r="J224" s="279">
        <f>IF(J$1=0,"",IF($B224&lt;J$23,J223+PPMT(J$25/12,$B224,J$23,J$53,-J$27,0),IF($B224=J$23,J223+PPMT(J$25/12,$B224,J$23,J$53,-J$27,0)-J$27,0)))</f>
        <v/>
      </c>
      <c r="K224" s="279">
        <f>IF(K$1=0,"",IF($B224&lt;K$23,K223+PPMT(K$25/12,$B224,K$23,K$53,-K$27,0),IF($B224=K$23,K223+PPMT(K$25/12,$B224,K$23,K$53,-K$27,0)-K$27,0)))</f>
        <v/>
      </c>
      <c r="L224" s="279">
        <f>IF(L$1=0,"",IF($B224&lt;L$23,L223+PPMT(L$25/12,$B224,L$23,L$53,-L$27,0),IF($B224=L$23,L223+PPMT(L$25/12,$B224,L$23,L$53,-L$27,0)-L$27,0)))</f>
        <v/>
      </c>
      <c r="M224" s="279">
        <f>IF(M$1=0,"",IF($B224&lt;M$23,M223+PPMT(M$25/12,$B224,M$23,M$53,-M$27,0),IF($B224=M$23,M223+PPMT(M$25/12,$B224,M$23,M$53,-M$27,0)-M$27,0)))</f>
        <v/>
      </c>
      <c r="N224" s="280" t="n"/>
      <c r="O224" s="281" t="n"/>
    </row>
    <row r="225" hidden="1" outlineLevel="1">
      <c r="B225" s="2">
        <f>B224+1</f>
        <v/>
      </c>
      <c r="D225" s="279">
        <f>IF(B225&lt;$D$24,(+#REF!/CALCULETTE!$B$612),0)</f>
        <v/>
      </c>
      <c r="E225" s="279">
        <f>IF(E$1=0,"",IF($B225&lt;E$23,E224+PPMT(E$25/12,$B225,E$23,E$53,-E$27,0),IF($B225=E$23,E224+PPMT(E$25/12,$B225,E$23,E$53,-E$27,0)-E$27,0)))</f>
        <v/>
      </c>
      <c r="F225" s="279">
        <f>IF(F$1=0,"",IF($B225&lt;F$23,F224+PPMT(F$25/12,$B225,F$23,F$53,-F$27,0),IF($B225=F$23,F224+PPMT(F$25/12,$B225,F$23,F$53,-F$27,0)-F$27,0)))</f>
        <v/>
      </c>
      <c r="G225" s="279">
        <f>IF(G$1=0,"",IF($B225&lt;G$23,G224+PPMT(G$25/12,$B225,G$23,G$53,-G$27,0),IF($B225=G$23,G224+PPMT(G$25/12,$B225,G$23,G$53,-G$27,0)-G$27,0)))</f>
        <v/>
      </c>
      <c r="H225" s="279">
        <f>IF(H$1=0,"",IF($B225&lt;H$23,H224+PPMT(H$25/12,$B225,H$23,H$53,-H$27,0),IF($B225=H$23,H224+PPMT(H$25/12,$B225,H$23,H$53,-H$27,0)-H$27,0)))</f>
        <v/>
      </c>
      <c r="I225" s="279">
        <f>IF(I$1=0,"",IF($B225&lt;I$23,I224+PPMT(I$25/12,$B225,I$23,I$53,-I$27,0),IF($B225=I$23,I224+PPMT(I$25/12,$B225,I$23,I$53,-I$27,0)-I$27,0)))</f>
        <v/>
      </c>
      <c r="J225" s="279">
        <f>IF(J$1=0,"",IF($B225&lt;J$23,J224+PPMT(J$25/12,$B225,J$23,J$53,-J$27,0),IF($B225=J$23,J224+PPMT(J$25/12,$B225,J$23,J$53,-J$27,0)-J$27,0)))</f>
        <v/>
      </c>
      <c r="K225" s="279">
        <f>IF(K$1=0,"",IF($B225&lt;K$23,K224+PPMT(K$25/12,$B225,K$23,K$53,-K$27,0),IF($B225=K$23,K224+PPMT(K$25/12,$B225,K$23,K$53,-K$27,0)-K$27,0)))</f>
        <v/>
      </c>
      <c r="L225" s="279">
        <f>IF(L$1=0,"",IF($B225&lt;L$23,L224+PPMT(L$25/12,$B225,L$23,L$53,-L$27,0),IF($B225=L$23,L224+PPMT(L$25/12,$B225,L$23,L$53,-L$27,0)-L$27,0)))</f>
        <v/>
      </c>
      <c r="M225" s="279">
        <f>IF(M$1=0,"",IF($B225&lt;M$23,M224+PPMT(M$25/12,$B225,M$23,M$53,-M$27,0),IF($B225=M$23,M224+PPMT(M$25/12,$B225,M$23,M$53,-M$27,0)-M$27,0)))</f>
        <v/>
      </c>
      <c r="N225" s="280" t="n"/>
      <c r="O225" s="281" t="n"/>
    </row>
    <row r="226" hidden="1" outlineLevel="1">
      <c r="B226" s="2">
        <f>B225+1</f>
        <v/>
      </c>
      <c r="D226" s="279">
        <f>IF(B226&lt;$D$24,(+#REF!/CALCULETTE!$B$612),0)</f>
        <v/>
      </c>
      <c r="E226" s="279">
        <f>IF(E$1=0,"",IF($B226&lt;E$23,E225+PPMT(E$25/12,$B226,E$23,E$53,-E$27,0),IF($B226=E$23,E225+PPMT(E$25/12,$B226,E$23,E$53,-E$27,0)-E$27,0)))</f>
        <v/>
      </c>
      <c r="F226" s="279">
        <f>IF(F$1=0,"",IF($B226&lt;F$23,F225+PPMT(F$25/12,$B226,F$23,F$53,-F$27,0),IF($B226=F$23,F225+PPMT(F$25/12,$B226,F$23,F$53,-F$27,0)-F$27,0)))</f>
        <v/>
      </c>
      <c r="G226" s="279">
        <f>IF(G$1=0,"",IF($B226&lt;G$23,G225+PPMT(G$25/12,$B226,G$23,G$53,-G$27,0),IF($B226=G$23,G225+PPMT(G$25/12,$B226,G$23,G$53,-G$27,0)-G$27,0)))</f>
        <v/>
      </c>
      <c r="H226" s="279">
        <f>IF(H$1=0,"",IF($B226&lt;H$23,H225+PPMT(H$25/12,$B226,H$23,H$53,-H$27,0),IF($B226=H$23,H225+PPMT(H$25/12,$B226,H$23,H$53,-H$27,0)-H$27,0)))</f>
        <v/>
      </c>
      <c r="I226" s="279">
        <f>IF(I$1=0,"",IF($B226&lt;I$23,I225+PPMT(I$25/12,$B226,I$23,I$53,-I$27,0),IF($B226=I$23,I225+PPMT(I$25/12,$B226,I$23,I$53,-I$27,0)-I$27,0)))</f>
        <v/>
      </c>
      <c r="J226" s="279">
        <f>IF(J$1=0,"",IF($B226&lt;J$23,J225+PPMT(J$25/12,$B226,J$23,J$53,-J$27,0),IF($B226=J$23,J225+PPMT(J$25/12,$B226,J$23,J$53,-J$27,0)-J$27,0)))</f>
        <v/>
      </c>
      <c r="K226" s="279">
        <f>IF(K$1=0,"",IF($B226&lt;K$23,K225+PPMT(K$25/12,$B226,K$23,K$53,-K$27,0),IF($B226=K$23,K225+PPMT(K$25/12,$B226,K$23,K$53,-K$27,0)-K$27,0)))</f>
        <v/>
      </c>
      <c r="L226" s="279">
        <f>IF(L$1=0,"",IF($B226&lt;L$23,L225+PPMT(L$25/12,$B226,L$23,L$53,-L$27,0),IF($B226=L$23,L225+PPMT(L$25/12,$B226,L$23,L$53,-L$27,0)-L$27,0)))</f>
        <v/>
      </c>
      <c r="M226" s="279">
        <f>IF(M$1=0,"",IF($B226&lt;M$23,M225+PPMT(M$25/12,$B226,M$23,M$53,-M$27,0),IF($B226=M$23,M225+PPMT(M$25/12,$B226,M$23,M$53,-M$27,0)-M$27,0)))</f>
        <v/>
      </c>
      <c r="N226" s="280" t="n"/>
      <c r="O226" s="281" t="n"/>
    </row>
    <row r="227" hidden="1" outlineLevel="1">
      <c r="B227" s="2">
        <f>B226+1</f>
        <v/>
      </c>
      <c r="D227" s="279">
        <f>IF(B227&lt;$D$24,(+#REF!/CALCULETTE!$B$612),0)</f>
        <v/>
      </c>
      <c r="E227" s="279">
        <f>IF(E$1=0,"",IF($B227&lt;E$23,E226+PPMT(E$25/12,$B227,E$23,E$53,-E$27,0),IF($B227=E$23,E226+PPMT(E$25/12,$B227,E$23,E$53,-E$27,0)-E$27,0)))</f>
        <v/>
      </c>
      <c r="F227" s="279">
        <f>IF(F$1=0,"",IF($B227&lt;F$23,F226+PPMT(F$25/12,$B227,F$23,F$53,-F$27,0),IF($B227=F$23,F226+PPMT(F$25/12,$B227,F$23,F$53,-F$27,0)-F$27,0)))</f>
        <v/>
      </c>
      <c r="G227" s="279">
        <f>IF(G$1=0,"",IF($B227&lt;G$23,G226+PPMT(G$25/12,$B227,G$23,G$53,-G$27,0),IF($B227=G$23,G226+PPMT(G$25/12,$B227,G$23,G$53,-G$27,0)-G$27,0)))</f>
        <v/>
      </c>
      <c r="H227" s="279">
        <f>IF(H$1=0,"",IF($B227&lt;H$23,H226+PPMT(H$25/12,$B227,H$23,H$53,-H$27,0),IF($B227=H$23,H226+PPMT(H$25/12,$B227,H$23,H$53,-H$27,0)-H$27,0)))</f>
        <v/>
      </c>
      <c r="I227" s="279">
        <f>IF(I$1=0,"",IF($B227&lt;I$23,I226+PPMT(I$25/12,$B227,I$23,I$53,-I$27,0),IF($B227=I$23,I226+PPMT(I$25/12,$B227,I$23,I$53,-I$27,0)-I$27,0)))</f>
        <v/>
      </c>
      <c r="J227" s="279">
        <f>IF(J$1=0,"",IF($B227&lt;J$23,J226+PPMT(J$25/12,$B227,J$23,J$53,-J$27,0),IF($B227=J$23,J226+PPMT(J$25/12,$B227,J$23,J$53,-J$27,0)-J$27,0)))</f>
        <v/>
      </c>
      <c r="K227" s="279">
        <f>IF(K$1=0,"",IF($B227&lt;K$23,K226+PPMT(K$25/12,$B227,K$23,K$53,-K$27,0),IF($B227=K$23,K226+PPMT(K$25/12,$B227,K$23,K$53,-K$27,0)-K$27,0)))</f>
        <v/>
      </c>
      <c r="L227" s="279">
        <f>IF(L$1=0,"",IF($B227&lt;L$23,L226+PPMT(L$25/12,$B227,L$23,L$53,-L$27,0),IF($B227=L$23,L226+PPMT(L$25/12,$B227,L$23,L$53,-L$27,0)-L$27,0)))</f>
        <v/>
      </c>
      <c r="M227" s="279">
        <f>IF(M$1=0,"",IF($B227&lt;M$23,M226+PPMT(M$25/12,$B227,M$23,M$53,-M$27,0),IF($B227=M$23,M226+PPMT(M$25/12,$B227,M$23,M$53,-M$27,0)-M$27,0)))</f>
        <v/>
      </c>
      <c r="N227" s="280" t="n"/>
      <c r="O227" s="281" t="n"/>
    </row>
    <row r="228" hidden="1" outlineLevel="1">
      <c r="B228" s="2">
        <f>B227+1</f>
        <v/>
      </c>
      <c r="D228" s="279">
        <f>IF(B228&lt;$D$24,(+#REF!/CALCULETTE!$B$612),0)</f>
        <v/>
      </c>
      <c r="E228" s="279">
        <f>IF(E$1=0,"",IF($B228&lt;E$23,E227+PPMT(E$25/12,$B228,E$23,E$53,-E$27,0),IF($B228=E$23,E227+PPMT(E$25/12,$B228,E$23,E$53,-E$27,0)-E$27,0)))</f>
        <v/>
      </c>
      <c r="F228" s="279">
        <f>IF(F$1=0,"",IF($B228&lt;F$23,F227+PPMT(F$25/12,$B228,F$23,F$53,-F$27,0),IF($B228=F$23,F227+PPMT(F$25/12,$B228,F$23,F$53,-F$27,0)-F$27,0)))</f>
        <v/>
      </c>
      <c r="G228" s="279">
        <f>IF(G$1=0,"",IF($B228&lt;G$23,G227+PPMT(G$25/12,$B228,G$23,G$53,-G$27,0),IF($B228=G$23,G227+PPMT(G$25/12,$B228,G$23,G$53,-G$27,0)-G$27,0)))</f>
        <v/>
      </c>
      <c r="H228" s="279">
        <f>IF(H$1=0,"",IF($B228&lt;H$23,H227+PPMT(H$25/12,$B228,H$23,H$53,-H$27,0),IF($B228=H$23,H227+PPMT(H$25/12,$B228,H$23,H$53,-H$27,0)-H$27,0)))</f>
        <v/>
      </c>
      <c r="I228" s="279">
        <f>IF(I$1=0,"",IF($B228&lt;I$23,I227+PPMT(I$25/12,$B228,I$23,I$53,-I$27,0),IF($B228=I$23,I227+PPMT(I$25/12,$B228,I$23,I$53,-I$27,0)-I$27,0)))</f>
        <v/>
      </c>
      <c r="J228" s="279">
        <f>IF(J$1=0,"",IF($B228&lt;J$23,J227+PPMT(J$25/12,$B228,J$23,J$53,-J$27,0),IF($B228=J$23,J227+PPMT(J$25/12,$B228,J$23,J$53,-J$27,0)-J$27,0)))</f>
        <v/>
      </c>
      <c r="K228" s="279">
        <f>IF(K$1=0,"",IF($B228&lt;K$23,K227+PPMT(K$25/12,$B228,K$23,K$53,-K$27,0),IF($B228=K$23,K227+PPMT(K$25/12,$B228,K$23,K$53,-K$27,0)-K$27,0)))</f>
        <v/>
      </c>
      <c r="L228" s="279">
        <f>IF(L$1=0,"",IF($B228&lt;L$23,L227+PPMT(L$25/12,$B228,L$23,L$53,-L$27,0),IF($B228=L$23,L227+PPMT(L$25/12,$B228,L$23,L$53,-L$27,0)-L$27,0)))</f>
        <v/>
      </c>
      <c r="M228" s="279">
        <f>IF(M$1=0,"",IF($B228&lt;M$23,M227+PPMT(M$25/12,$B228,M$23,M$53,-M$27,0),IF($B228=M$23,M227+PPMT(M$25/12,$B228,M$23,M$53,-M$27,0)-M$27,0)))</f>
        <v/>
      </c>
      <c r="N228" s="280" t="n"/>
      <c r="O228" s="281" t="n"/>
    </row>
    <row r="229" hidden="1" outlineLevel="1">
      <c r="B229" s="2">
        <f>B228+1</f>
        <v/>
      </c>
      <c r="D229" s="279">
        <f>IF(B229&lt;$D$24,(+#REF!/CALCULETTE!$B$612),0)</f>
        <v/>
      </c>
      <c r="E229" s="279">
        <f>IF(E$1=0,"",IF($B229&lt;E$23,E228+PPMT(E$25/12,$B229,E$23,E$53,-E$27,0),IF($B229=E$23,E228+PPMT(E$25/12,$B229,E$23,E$53,-E$27,0)-E$27,0)))</f>
        <v/>
      </c>
      <c r="F229" s="279">
        <f>IF(F$1=0,"",IF($B229&lt;F$23,F228+PPMT(F$25/12,$B229,F$23,F$53,-F$27,0),IF($B229=F$23,F228+PPMT(F$25/12,$B229,F$23,F$53,-F$27,0)-F$27,0)))</f>
        <v/>
      </c>
      <c r="G229" s="279">
        <f>IF(G$1=0,"",IF($B229&lt;G$23,G228+PPMT(G$25/12,$B229,G$23,G$53,-G$27,0),IF($B229=G$23,G228+PPMT(G$25/12,$B229,G$23,G$53,-G$27,0)-G$27,0)))</f>
        <v/>
      </c>
      <c r="H229" s="279">
        <f>IF(H$1=0,"",IF($B229&lt;H$23,H228+PPMT(H$25/12,$B229,H$23,H$53,-H$27,0),IF($B229=H$23,H228+PPMT(H$25/12,$B229,H$23,H$53,-H$27,0)-H$27,0)))</f>
        <v/>
      </c>
      <c r="I229" s="279">
        <f>IF(I$1=0,"",IF($B229&lt;I$23,I228+PPMT(I$25/12,$B229,I$23,I$53,-I$27,0),IF($B229=I$23,I228+PPMT(I$25/12,$B229,I$23,I$53,-I$27,0)-I$27,0)))</f>
        <v/>
      </c>
      <c r="J229" s="279">
        <f>IF(J$1=0,"",IF($B229&lt;J$23,J228+PPMT(J$25/12,$B229,J$23,J$53,-J$27,0),IF($B229=J$23,J228+PPMT(J$25/12,$B229,J$23,J$53,-J$27,0)-J$27,0)))</f>
        <v/>
      </c>
      <c r="K229" s="279">
        <f>IF(K$1=0,"",IF($B229&lt;K$23,K228+PPMT(K$25/12,$B229,K$23,K$53,-K$27,0),IF($B229=K$23,K228+PPMT(K$25/12,$B229,K$23,K$53,-K$27,0)-K$27,0)))</f>
        <v/>
      </c>
      <c r="L229" s="279">
        <f>IF(L$1=0,"",IF($B229&lt;L$23,L228+PPMT(L$25/12,$B229,L$23,L$53,-L$27,0),IF($B229=L$23,L228+PPMT(L$25/12,$B229,L$23,L$53,-L$27,0)-L$27,0)))</f>
        <v/>
      </c>
      <c r="M229" s="279">
        <f>IF(M$1=0,"",IF($B229&lt;M$23,M228+PPMT(M$25/12,$B229,M$23,M$53,-M$27,0),IF($B229=M$23,M228+PPMT(M$25/12,$B229,M$23,M$53,-M$27,0)-M$27,0)))</f>
        <v/>
      </c>
      <c r="N229" s="280" t="n"/>
      <c r="O229" s="281" t="n"/>
    </row>
    <row r="230" hidden="1" outlineLevel="1">
      <c r="B230" s="2">
        <f>B229+1</f>
        <v/>
      </c>
      <c r="D230" s="279">
        <f>IF(B230&lt;$D$24,(+#REF!/CALCULETTE!$B$612),0)</f>
        <v/>
      </c>
      <c r="E230" s="279">
        <f>IF(E$1=0,"",IF($B230&lt;E$23,E229+PPMT(E$25/12,$B230,E$23,E$53,-E$27,0),IF($B230=E$23,E229+PPMT(E$25/12,$B230,E$23,E$53,-E$27,0)-E$27,0)))</f>
        <v/>
      </c>
      <c r="F230" s="279">
        <f>IF(F$1=0,"",IF($B230&lt;F$23,F229+PPMT(F$25/12,$B230,F$23,F$53,-F$27,0),IF($B230=F$23,F229+PPMT(F$25/12,$B230,F$23,F$53,-F$27,0)-F$27,0)))</f>
        <v/>
      </c>
      <c r="G230" s="279">
        <f>IF(G$1=0,"",IF($B230&lt;G$23,G229+PPMT(G$25/12,$B230,G$23,G$53,-G$27,0),IF($B230=G$23,G229+PPMT(G$25/12,$B230,G$23,G$53,-G$27,0)-G$27,0)))</f>
        <v/>
      </c>
      <c r="H230" s="279">
        <f>IF(H$1=0,"",IF($B230&lt;H$23,H229+PPMT(H$25/12,$B230,H$23,H$53,-H$27,0),IF($B230=H$23,H229+PPMT(H$25/12,$B230,H$23,H$53,-H$27,0)-H$27,0)))</f>
        <v/>
      </c>
      <c r="I230" s="279">
        <f>IF(I$1=0,"",IF($B230&lt;I$23,I229+PPMT(I$25/12,$B230,I$23,I$53,-I$27,0),IF($B230=I$23,I229+PPMT(I$25/12,$B230,I$23,I$53,-I$27,0)-I$27,0)))</f>
        <v/>
      </c>
      <c r="J230" s="279">
        <f>IF(J$1=0,"",IF($B230&lt;J$23,J229+PPMT(J$25/12,$B230,J$23,J$53,-J$27,0),IF($B230=J$23,J229+PPMT(J$25/12,$B230,J$23,J$53,-J$27,0)-J$27,0)))</f>
        <v/>
      </c>
      <c r="K230" s="279">
        <f>IF(K$1=0,"",IF($B230&lt;K$23,K229+PPMT(K$25/12,$B230,K$23,K$53,-K$27,0),IF($B230=K$23,K229+PPMT(K$25/12,$B230,K$23,K$53,-K$27,0)-K$27,0)))</f>
        <v/>
      </c>
      <c r="L230" s="279">
        <f>IF(L$1=0,"",IF($B230&lt;L$23,L229+PPMT(L$25/12,$B230,L$23,L$53,-L$27,0),IF($B230=L$23,L229+PPMT(L$25/12,$B230,L$23,L$53,-L$27,0)-L$27,0)))</f>
        <v/>
      </c>
      <c r="M230" s="279">
        <f>IF(M$1=0,"",IF($B230&lt;M$23,M229+PPMT(M$25/12,$B230,M$23,M$53,-M$27,0),IF($B230=M$23,M229+PPMT(M$25/12,$B230,M$23,M$53,-M$27,0)-M$27,0)))</f>
        <v/>
      </c>
      <c r="N230" s="280" t="n"/>
      <c r="O230" s="281" t="n"/>
    </row>
    <row r="231" hidden="1" outlineLevel="1">
      <c r="B231" s="2">
        <f>B230+1</f>
        <v/>
      </c>
      <c r="D231" s="279">
        <f>IF(B231&lt;$D$24,(+#REF!/CALCULETTE!$B$612),0)</f>
        <v/>
      </c>
      <c r="E231" s="279">
        <f>IF(E$1=0,"",IF($B231&lt;E$23,E230+PPMT(E$25/12,$B231,E$23,E$53,-E$27,0),IF($B231=E$23,E230+PPMT(E$25/12,$B231,E$23,E$53,-E$27,0)-E$27,0)))</f>
        <v/>
      </c>
      <c r="F231" s="279">
        <f>IF(F$1=0,"",IF($B231&lt;F$23,F230+PPMT(F$25/12,$B231,F$23,F$53,-F$27,0),IF($B231=F$23,F230+PPMT(F$25/12,$B231,F$23,F$53,-F$27,0)-F$27,0)))</f>
        <v/>
      </c>
      <c r="G231" s="279">
        <f>IF(G$1=0,"",IF($B231&lt;G$23,G230+PPMT(G$25/12,$B231,G$23,G$53,-G$27,0),IF($B231=G$23,G230+PPMT(G$25/12,$B231,G$23,G$53,-G$27,0)-G$27,0)))</f>
        <v/>
      </c>
      <c r="H231" s="279">
        <f>IF(H$1=0,"",IF($B231&lt;H$23,H230+PPMT(H$25/12,$B231,H$23,H$53,-H$27,0),IF($B231=H$23,H230+PPMT(H$25/12,$B231,H$23,H$53,-H$27,0)-H$27,0)))</f>
        <v/>
      </c>
      <c r="I231" s="279">
        <f>IF(I$1=0,"",IF($B231&lt;I$23,I230+PPMT(I$25/12,$B231,I$23,I$53,-I$27,0),IF($B231=I$23,I230+PPMT(I$25/12,$B231,I$23,I$53,-I$27,0)-I$27,0)))</f>
        <v/>
      </c>
      <c r="J231" s="279">
        <f>IF(J$1=0,"",IF($B231&lt;J$23,J230+PPMT(J$25/12,$B231,J$23,J$53,-J$27,0),IF($B231=J$23,J230+PPMT(J$25/12,$B231,J$23,J$53,-J$27,0)-J$27,0)))</f>
        <v/>
      </c>
      <c r="K231" s="279">
        <f>IF(K$1=0,"",IF($B231&lt;K$23,K230+PPMT(K$25/12,$B231,K$23,K$53,-K$27,0),IF($B231=K$23,K230+PPMT(K$25/12,$B231,K$23,K$53,-K$27,0)-K$27,0)))</f>
        <v/>
      </c>
      <c r="L231" s="279">
        <f>IF(L$1=0,"",IF($B231&lt;L$23,L230+PPMT(L$25/12,$B231,L$23,L$53,-L$27,0),IF($B231=L$23,L230+PPMT(L$25/12,$B231,L$23,L$53,-L$27,0)-L$27,0)))</f>
        <v/>
      </c>
      <c r="M231" s="279">
        <f>IF(M$1=0,"",IF($B231&lt;M$23,M230+PPMT(M$25/12,$B231,M$23,M$53,-M$27,0),IF($B231=M$23,M230+PPMT(M$25/12,$B231,M$23,M$53,-M$27,0)-M$27,0)))</f>
        <v/>
      </c>
      <c r="N231" s="280" t="n"/>
      <c r="O231" s="281" t="n"/>
    </row>
    <row r="232" hidden="1" outlineLevel="1">
      <c r="B232" s="2">
        <f>B231+1</f>
        <v/>
      </c>
      <c r="D232" s="279">
        <f>IF(B232&lt;$D$24,(+#REF!/CALCULETTE!$B$612),0)</f>
        <v/>
      </c>
      <c r="E232" s="279">
        <f>IF(E$1=0,"",IF($B232&lt;E$23,E231+PPMT(E$25/12,$B232,E$23,E$53,-E$27,0),IF($B232=E$23,E231+PPMT(E$25/12,$B232,E$23,E$53,-E$27,0)-E$27,0)))</f>
        <v/>
      </c>
      <c r="F232" s="279">
        <f>IF(F$1=0,"",IF($B232&lt;F$23,F231+PPMT(F$25/12,$B232,F$23,F$53,-F$27,0),IF($B232=F$23,F231+PPMT(F$25/12,$B232,F$23,F$53,-F$27,0)-F$27,0)))</f>
        <v/>
      </c>
      <c r="G232" s="279">
        <f>IF(G$1=0,"",IF($B232&lt;G$23,G231+PPMT(G$25/12,$B232,G$23,G$53,-G$27,0),IF($B232=G$23,G231+PPMT(G$25/12,$B232,G$23,G$53,-G$27,0)-G$27,0)))</f>
        <v/>
      </c>
      <c r="H232" s="279">
        <f>IF(H$1=0,"",IF($B232&lt;H$23,H231+PPMT(H$25/12,$B232,H$23,H$53,-H$27,0),IF($B232=H$23,H231+PPMT(H$25/12,$B232,H$23,H$53,-H$27,0)-H$27,0)))</f>
        <v/>
      </c>
      <c r="I232" s="279">
        <f>IF(I$1=0,"",IF($B232&lt;I$23,I231+PPMT(I$25/12,$B232,I$23,I$53,-I$27,0),IF($B232=I$23,I231+PPMT(I$25/12,$B232,I$23,I$53,-I$27,0)-I$27,0)))</f>
        <v/>
      </c>
      <c r="J232" s="279">
        <f>IF(J$1=0,"",IF($B232&lt;J$23,J231+PPMT(J$25/12,$B232,J$23,J$53,-J$27,0),IF($B232=J$23,J231+PPMT(J$25/12,$B232,J$23,J$53,-J$27,0)-J$27,0)))</f>
        <v/>
      </c>
      <c r="K232" s="279">
        <f>IF(K$1=0,"",IF($B232&lt;K$23,K231+PPMT(K$25/12,$B232,K$23,K$53,-K$27,0),IF($B232=K$23,K231+PPMT(K$25/12,$B232,K$23,K$53,-K$27,0)-K$27,0)))</f>
        <v/>
      </c>
      <c r="L232" s="279">
        <f>IF(L$1=0,"",IF($B232&lt;L$23,L231+PPMT(L$25/12,$B232,L$23,L$53,-L$27,0),IF($B232=L$23,L231+PPMT(L$25/12,$B232,L$23,L$53,-L$27,0)-L$27,0)))</f>
        <v/>
      </c>
      <c r="M232" s="279">
        <f>IF(M$1=0,"",IF($B232&lt;M$23,M231+PPMT(M$25/12,$B232,M$23,M$53,-M$27,0),IF($B232=M$23,M231+PPMT(M$25/12,$B232,M$23,M$53,-M$27,0)-M$27,0)))</f>
        <v/>
      </c>
      <c r="N232" s="280" t="n"/>
      <c r="O232" s="281" t="n"/>
    </row>
    <row r="233" hidden="1" outlineLevel="1">
      <c r="D233" s="25" t="n"/>
      <c r="E233" s="25" t="n"/>
      <c r="F233" s="25" t="n"/>
      <c r="G233" s="25" t="n"/>
      <c r="H233" s="25" t="n"/>
      <c r="I233" s="25" t="n"/>
      <c r="J233" s="25" t="n"/>
      <c r="K233" s="25" t="n"/>
      <c r="L233" s="25" t="n"/>
      <c r="M233" s="25" t="n"/>
      <c r="N233" s="280" t="n"/>
    </row>
    <row r="234" hidden="1" outlineLevel="1">
      <c r="B234" s="21" t="inlineStr">
        <is>
          <t>amort tx client</t>
        </is>
      </c>
      <c r="D234" s="25" t="n"/>
      <c r="E234" s="25" t="n"/>
      <c r="F234" s="25" t="n"/>
      <c r="G234" s="25" t="n"/>
      <c r="H234" s="25" t="n"/>
      <c r="I234" s="25" t="n"/>
      <c r="J234" s="25" t="n"/>
      <c r="K234" s="25" t="n"/>
      <c r="L234" s="25" t="n"/>
      <c r="M234" s="25" t="n"/>
      <c r="N234" s="280" t="n"/>
    </row>
    <row r="235" hidden="1" outlineLevel="1">
      <c r="B235" s="2" t="n">
        <v>0</v>
      </c>
      <c r="D235" s="279">
        <f>IF(B235&lt;$D$24,(+CALCULETTE!G632/CALCULETTE!$B$612),0)</f>
        <v/>
      </c>
      <c r="E235" s="279">
        <f>IF(E$1=0,"",1)</f>
        <v/>
      </c>
      <c r="F235" s="279">
        <f>IF(F$1=0,"",1)</f>
        <v/>
      </c>
      <c r="G235" s="279">
        <f>IF(G$1=0,"",1)</f>
        <v/>
      </c>
      <c r="H235" s="279">
        <f>IF(H$1=0,"",1)</f>
        <v/>
      </c>
      <c r="I235" s="279">
        <f>IF(I$1=0,"",1)</f>
        <v/>
      </c>
      <c r="J235" s="279">
        <f>IF(J$1=0,"",1)</f>
        <v/>
      </c>
      <c r="K235" s="279">
        <f>IF(K$1=0,"",1)</f>
        <v/>
      </c>
      <c r="L235" s="279">
        <f>IF(L$1=0,"",1)</f>
        <v/>
      </c>
      <c r="M235" s="279">
        <f>IF(M$1=0,"",1)</f>
        <v/>
      </c>
      <c r="N235" s="280" t="n"/>
      <c r="O235" s="281" t="n"/>
    </row>
    <row r="236" hidden="1" outlineLevel="1">
      <c r="B236" s="2">
        <f>B235+1</f>
        <v/>
      </c>
      <c r="D236" s="279">
        <f>IF(B236&lt;$D$24,(+CALCULETTE!G633/CALCULETTE!$B$612),0)</f>
        <v/>
      </c>
      <c r="E236" s="279">
        <f>IF(E$1=0,"",IF($B236&lt;E$23,E235+PPMT(E$26/12,$B236,E$23,E$235,-E$27,0),IF($B236=E$23,E235+PPMT(E$26/12,$B236,E$23,E$235,-E$27,0)-E$27,0)))</f>
        <v/>
      </c>
      <c r="F236" s="279">
        <f>IF(F$1=0,"",IF($B236&lt;F$23,F235+PPMT(F$26/12,$B236,F$23,F$235,-F$27,0),IF($B236=F$23,F235+PPMT(F$26/12,$B236,F$23,F$235,-F$27,0)-F$27,0)))</f>
        <v/>
      </c>
      <c r="G236" s="279">
        <f>IF(G$1=0,"",IF($B236&lt;G$23,G235+PPMT(G$26/12,$B236,G$23,G$235,-G$27,0),IF($B236=G$23,G235+PPMT(G$26/12,$B236,G$23,G$235,-G$27,0)-G$27,0)))</f>
        <v/>
      </c>
      <c r="H236" s="279">
        <f>IF(H$1=0,"",IF($B236&lt;H$23,H235+PPMT(H$26/12,$B236,H$23,H$235,-H$27,0),IF($B236=H$23,H235+PPMT(H$26/12,$B236,H$23,H$235,-H$27,0)-H$27,0)))</f>
        <v/>
      </c>
      <c r="I236" s="279">
        <f>IF(I$1=0,"",IF($B236&lt;I$23,I235+PPMT(I$26/12,$B236,I$23,I$235,-I$27,0),IF($B236=I$23,I235+PPMT(I$26/12,$B236,I$23,I$235,-I$27,0)-I$27,0)))</f>
        <v/>
      </c>
      <c r="J236" s="279">
        <f>IF(J$1=0,"",IF($B236&lt;J$23,J235+PPMT(J$26/12,$B236,J$23,J$235,-J$27,0),IF($B236=J$23,J235+PPMT(J$26/12,$B236,J$23,J$235,-J$27,0)-J$27,0)))</f>
        <v/>
      </c>
      <c r="K236" s="279">
        <f>IF(K$1=0,"",IF($B236&lt;K$23,K235+PPMT(K$26/12,$B236,K$23,K$235,-K$27,0),IF($B236=K$23,K235+PPMT(K$26/12,$B236,K$23,K$235,-K$27,0)-K$27,0)))</f>
        <v/>
      </c>
      <c r="L236" s="279">
        <f>IF(L$1=0,"",IF($B236&lt;L$23,L235+PPMT(L$26/12,$B236,L$23,L$235,-L$27,0),IF($B236=L$23,L235+PPMT(L$26/12,$B236,L$23,L$235,-L$27,0)-L$27,0)))</f>
        <v/>
      </c>
      <c r="M236" s="279">
        <f>IF(M$1=0,"",IF($B236&lt;M$23,M235+PPMT(M$26/12,$B236,M$23,M$235,-M$27,0),IF($B236=M$23,M235+PPMT(M$26/12,$B236,M$23,M$235,-M$27,0)-M$27,0)))</f>
        <v/>
      </c>
      <c r="N236" s="280" t="n"/>
      <c r="O236" s="281" t="n"/>
    </row>
    <row r="237" hidden="1" outlineLevel="1">
      <c r="B237" s="2">
        <f>B236+1</f>
        <v/>
      </c>
      <c r="D237" s="279">
        <f>IF(B237&lt;$D$24,(+CALCULETTE!G634/CALCULETTE!$B$612),0)</f>
        <v/>
      </c>
      <c r="E237" s="279">
        <f>IF(E$1=0,"",IF($B237&lt;E$23,E236+PPMT(E$26/12,$B237,E$23,E$235,-E$27,0),IF($B237=E$23,E236+PPMT(E$26/12,$B237,E$23,E$235,-E$27,0)-E$27,0)))</f>
        <v/>
      </c>
      <c r="F237" s="279">
        <f>IF(F$1=0,"",IF($B237&lt;F$23,F236+PPMT(F$26/12,$B237,F$23,F$235,-F$27,0),IF($B237=F$23,F236+PPMT(F$26/12,$B237,F$23,F$235,-F$27,0)-F$27,0)))</f>
        <v/>
      </c>
      <c r="G237" s="279">
        <f>IF(G$1=0,"",IF($B237&lt;G$23,G236+PPMT(G$26/12,$B237,G$23,G$235,-G$27,0),IF($B237=G$23,G236+PPMT(G$26/12,$B237,G$23,G$235,-G$27,0)-G$27,0)))</f>
        <v/>
      </c>
      <c r="H237" s="279">
        <f>IF(H$1=0,"",IF($B237&lt;H$23,H236+PPMT(H$26/12,$B237,H$23,H$235,-H$27,0),IF($B237=H$23,H236+PPMT(H$26/12,$B237,H$23,H$235,-H$27,0)-H$27,0)))</f>
        <v/>
      </c>
      <c r="I237" s="279">
        <f>IF(I$1=0,"",IF($B237&lt;I$23,I236+PPMT(I$26/12,$B237,I$23,I$235,-I$27,0),IF($B237=I$23,I236+PPMT(I$26/12,$B237,I$23,I$235,-I$27,0)-I$27,0)))</f>
        <v/>
      </c>
      <c r="J237" s="279">
        <f>IF(J$1=0,"",IF($B237&lt;J$23,J236+PPMT(J$26/12,$B237,J$23,J$235,-J$27,0),IF($B237=J$23,J236+PPMT(J$26/12,$B237,J$23,J$235,-J$27,0)-J$27,0)))</f>
        <v/>
      </c>
      <c r="K237" s="279">
        <f>IF(K$1=0,"",IF($B237&lt;K$23,K236+PPMT(K$26/12,$B237,K$23,K$235,-K$27,0),IF($B237=K$23,K236+PPMT(K$26/12,$B237,K$23,K$235,-K$27,0)-K$27,0)))</f>
        <v/>
      </c>
      <c r="L237" s="279">
        <f>IF(L$1=0,"",IF($B237&lt;L$23,L236+PPMT(L$26/12,$B237,L$23,L$235,-L$27,0),IF($B237=L$23,L236+PPMT(L$26/12,$B237,L$23,L$235,-L$27,0)-L$27,0)))</f>
        <v/>
      </c>
      <c r="M237" s="279">
        <f>IF(M$1=0,"",IF($B237&lt;M$23,M236+PPMT(M$26/12,$B237,M$23,M$235,-M$27,0),IF($B237=M$23,M236+PPMT(M$26/12,$B237,M$23,M$235,-M$27,0)-M$27,0)))</f>
        <v/>
      </c>
      <c r="N237" s="280" t="n"/>
      <c r="O237" s="281" t="n"/>
    </row>
    <row r="238" hidden="1" outlineLevel="1">
      <c r="B238" s="2">
        <f>B237+1</f>
        <v/>
      </c>
      <c r="D238" s="279">
        <f>IF(B238&lt;$D$24,(+CALCULETTE!G635/CALCULETTE!$B$612),0)</f>
        <v/>
      </c>
      <c r="E238" s="279">
        <f>IF(E$1=0,"",IF($B238&lt;E$23,E237+PPMT(E$26/12,$B238,E$23,E$235,-E$27,0),IF($B238=E$23,E237+PPMT(E$26/12,$B238,E$23,E$235,-E$27,0)-E$27,0)))</f>
        <v/>
      </c>
      <c r="F238" s="279">
        <f>IF(F$1=0,"",IF($B238&lt;F$23,F237+PPMT(F$26/12,$B238,F$23,F$235,-F$27,0),IF($B238=F$23,F237+PPMT(F$26/12,$B238,F$23,F$235,-F$27,0)-F$27,0)))</f>
        <v/>
      </c>
      <c r="G238" s="279">
        <f>IF(G$1=0,"",IF($B238&lt;G$23,G237+PPMT(G$26/12,$B238,G$23,G$235,-G$27,0),IF($B238=G$23,G237+PPMT(G$26/12,$B238,G$23,G$235,-G$27,0)-G$27,0)))</f>
        <v/>
      </c>
      <c r="H238" s="279">
        <f>IF(H$1=0,"",IF($B238&lt;H$23,H237+PPMT(H$26/12,$B238,H$23,H$235,-H$27,0),IF($B238=H$23,H237+PPMT(H$26/12,$B238,H$23,H$235,-H$27,0)-H$27,0)))</f>
        <v/>
      </c>
      <c r="I238" s="279">
        <f>IF(I$1=0,"",IF($B238&lt;I$23,I237+PPMT(I$26/12,$B238,I$23,I$235,-I$27,0),IF($B238=I$23,I237+PPMT(I$26/12,$B238,I$23,I$235,-I$27,0)-I$27,0)))</f>
        <v/>
      </c>
      <c r="J238" s="279">
        <f>IF(J$1=0,"",IF($B238&lt;J$23,J237+PPMT(J$26/12,$B238,J$23,J$235,-J$27,0),IF($B238=J$23,J237+PPMT(J$26/12,$B238,J$23,J$235,-J$27,0)-J$27,0)))</f>
        <v/>
      </c>
      <c r="K238" s="279">
        <f>IF(K$1=0,"",IF($B238&lt;K$23,K237+PPMT(K$26/12,$B238,K$23,K$235,-K$27,0),IF($B238=K$23,K237+PPMT(K$26/12,$B238,K$23,K$235,-K$27,0)-K$27,0)))</f>
        <v/>
      </c>
      <c r="L238" s="279">
        <f>IF(L$1=0,"",IF($B238&lt;L$23,L237+PPMT(L$26/12,$B238,L$23,L$235,-L$27,0),IF($B238=L$23,L237+PPMT(L$26/12,$B238,L$23,L$235,-L$27,0)-L$27,0)))</f>
        <v/>
      </c>
      <c r="M238" s="279">
        <f>IF(M$1=0,"",IF($B238&lt;M$23,M237+PPMT(M$26/12,$B238,M$23,M$235,-M$27,0),IF($B238=M$23,M237+PPMT(M$26/12,$B238,M$23,M$235,-M$27,0)-M$27,0)))</f>
        <v/>
      </c>
      <c r="N238" s="280" t="n"/>
      <c r="O238" s="281" t="n"/>
    </row>
    <row r="239" hidden="1" outlineLevel="1">
      <c r="B239" s="2">
        <f>B238+1</f>
        <v/>
      </c>
      <c r="D239" s="279">
        <f>IF(B239&lt;$D$24,(+CALCULETTE!G636/CALCULETTE!$B$612),0)</f>
        <v/>
      </c>
      <c r="E239" s="279">
        <f>IF(E$1=0,"",IF($B239&lt;E$23,E238+PPMT(E$26/12,$B239,E$23,E$235,-E$27,0),IF($B239=E$23,E238+PPMT(E$26/12,$B239,E$23,E$235,-E$27,0)-E$27,0)))</f>
        <v/>
      </c>
      <c r="F239" s="279">
        <f>IF(F$1=0,"",IF($B239&lt;F$23,F238+PPMT(F$26/12,$B239,F$23,F$235,-F$27,0),IF($B239=F$23,F238+PPMT(F$26/12,$B239,F$23,F$235,-F$27,0)-F$27,0)))</f>
        <v/>
      </c>
      <c r="G239" s="279">
        <f>IF(G$1=0,"",IF($B239&lt;G$23,G238+PPMT(G$26/12,$B239,G$23,G$235,-G$27,0),IF($B239=G$23,G238+PPMT(G$26/12,$B239,G$23,G$235,-G$27,0)-G$27,0)))</f>
        <v/>
      </c>
      <c r="H239" s="279">
        <f>IF(H$1=0,"",IF($B239&lt;H$23,H238+PPMT(H$26/12,$B239,H$23,H$235,-H$27,0),IF($B239=H$23,H238+PPMT(H$26/12,$B239,H$23,H$235,-H$27,0)-H$27,0)))</f>
        <v/>
      </c>
      <c r="I239" s="279">
        <f>IF(I$1=0,"",IF($B239&lt;I$23,I238+PPMT(I$26/12,$B239,I$23,I$235,-I$27,0),IF($B239=I$23,I238+PPMT(I$26/12,$B239,I$23,I$235,-I$27,0)-I$27,0)))</f>
        <v/>
      </c>
      <c r="J239" s="279">
        <f>IF(J$1=0,"",IF($B239&lt;J$23,J238+PPMT(J$26/12,$B239,J$23,J$235,-J$27,0),IF($B239=J$23,J238+PPMT(J$26/12,$B239,J$23,J$235,-J$27,0)-J$27,0)))</f>
        <v/>
      </c>
      <c r="K239" s="279">
        <f>IF(K$1=0,"",IF($B239&lt;K$23,K238+PPMT(K$26/12,$B239,K$23,K$235,-K$27,0),IF($B239=K$23,K238+PPMT(K$26/12,$B239,K$23,K$235,-K$27,0)-K$27,0)))</f>
        <v/>
      </c>
      <c r="L239" s="279">
        <f>IF(L$1=0,"",IF($B239&lt;L$23,L238+PPMT(L$26/12,$B239,L$23,L$235,-L$27,0),IF($B239=L$23,L238+PPMT(L$26/12,$B239,L$23,L$235,-L$27,0)-L$27,0)))</f>
        <v/>
      </c>
      <c r="M239" s="279">
        <f>IF(M$1=0,"",IF($B239&lt;M$23,M238+PPMT(M$26/12,$B239,M$23,M$235,-M$27,0),IF($B239=M$23,M238+PPMT(M$26/12,$B239,M$23,M$235,-M$27,0)-M$27,0)))</f>
        <v/>
      </c>
      <c r="N239" s="280" t="n"/>
      <c r="O239" s="281" t="n"/>
    </row>
    <row r="240" hidden="1" outlineLevel="1">
      <c r="B240" s="2">
        <f>B239+1</f>
        <v/>
      </c>
      <c r="D240" s="279">
        <f>IF(B240&lt;$D$24,(+CALCULETTE!G637/CALCULETTE!$B$612),0)</f>
        <v/>
      </c>
      <c r="E240" s="279">
        <f>IF(E$1=0,"",IF($B240&lt;E$23,E239+PPMT(E$26/12,$B240,E$23,E$235,-E$27,0),IF($B240=E$23,E239+PPMT(E$26/12,$B240,E$23,E$235,-E$27,0)-E$27,0)))</f>
        <v/>
      </c>
      <c r="F240" s="279">
        <f>IF(F$1=0,"",IF($B240&lt;F$23,F239+PPMT(F$26/12,$B240,F$23,F$235,-F$27,0),IF($B240=F$23,F239+PPMT(F$26/12,$B240,F$23,F$235,-F$27,0)-F$27,0)))</f>
        <v/>
      </c>
      <c r="G240" s="279">
        <f>IF(G$1=0,"",IF($B240&lt;G$23,G239+PPMT(G$26/12,$B240,G$23,G$235,-G$27,0),IF($B240=G$23,G239+PPMT(G$26/12,$B240,G$23,G$235,-G$27,0)-G$27,0)))</f>
        <v/>
      </c>
      <c r="H240" s="279">
        <f>IF(H$1=0,"",IF($B240&lt;H$23,H239+PPMT(H$26/12,$B240,H$23,H$235,-H$27,0),IF($B240=H$23,H239+PPMT(H$26/12,$B240,H$23,H$235,-H$27,0)-H$27,0)))</f>
        <v/>
      </c>
      <c r="I240" s="279">
        <f>IF(I$1=0,"",IF($B240&lt;I$23,I239+PPMT(I$26/12,$B240,I$23,I$235,-I$27,0),IF($B240=I$23,I239+PPMT(I$26/12,$B240,I$23,I$235,-I$27,0)-I$27,0)))</f>
        <v/>
      </c>
      <c r="J240" s="279">
        <f>IF(J$1=0,"",IF($B240&lt;J$23,J239+PPMT(J$26/12,$B240,J$23,J$235,-J$27,0),IF($B240=J$23,J239+PPMT(J$26/12,$B240,J$23,J$235,-J$27,0)-J$27,0)))</f>
        <v/>
      </c>
      <c r="K240" s="279">
        <f>IF(K$1=0,"",IF($B240&lt;K$23,K239+PPMT(K$26/12,$B240,K$23,K$235,-K$27,0),IF($B240=K$23,K239+PPMT(K$26/12,$B240,K$23,K$235,-K$27,0)-K$27,0)))</f>
        <v/>
      </c>
      <c r="L240" s="279">
        <f>IF(L$1=0,"",IF($B240&lt;L$23,L239+PPMT(L$26/12,$B240,L$23,L$235,-L$27,0),IF($B240=L$23,L239+PPMT(L$26/12,$B240,L$23,L$235,-L$27,0)-L$27,0)))</f>
        <v/>
      </c>
      <c r="M240" s="279">
        <f>IF(M$1=0,"",IF($B240&lt;M$23,M239+PPMT(M$26/12,$B240,M$23,M$235,-M$27,0),IF($B240=M$23,M239+PPMT(M$26/12,$B240,M$23,M$235,-M$27,0)-M$27,0)))</f>
        <v/>
      </c>
      <c r="N240" s="280" t="n"/>
      <c r="O240" s="281" t="n"/>
    </row>
    <row r="241" hidden="1" outlineLevel="1">
      <c r="B241" s="2">
        <f>B240+1</f>
        <v/>
      </c>
      <c r="D241" s="279">
        <f>IF(B241&lt;$D$24,(+CALCULETTE!G638/CALCULETTE!$B$612),0)</f>
        <v/>
      </c>
      <c r="E241" s="279">
        <f>IF(E$1=0,"",IF($B241&lt;E$23,E240+PPMT(E$26/12,$B241,E$23,E$235,-E$27,0),IF($B241=E$23,E240+PPMT(E$26/12,$B241,E$23,E$235,-E$27,0)-E$27,0)))</f>
        <v/>
      </c>
      <c r="F241" s="279">
        <f>IF(F$1=0,"",IF($B241&lt;F$23,F240+PPMT(F$26/12,$B241,F$23,F$235,-F$27,0),IF($B241=F$23,F240+PPMT(F$26/12,$B241,F$23,F$235,-F$27,0)-F$27,0)))</f>
        <v/>
      </c>
      <c r="G241" s="279">
        <f>IF(G$1=0,"",IF($B241&lt;G$23,G240+PPMT(G$26/12,$B241,G$23,G$235,-G$27,0),IF($B241=G$23,G240+PPMT(G$26/12,$B241,G$23,G$235,-G$27,0)-G$27,0)))</f>
        <v/>
      </c>
      <c r="H241" s="279">
        <f>IF(H$1=0,"",IF($B241&lt;H$23,H240+PPMT(H$26/12,$B241,H$23,H$235,-H$27,0),IF($B241=H$23,H240+PPMT(H$26/12,$B241,H$23,H$235,-H$27,0)-H$27,0)))</f>
        <v/>
      </c>
      <c r="I241" s="279">
        <f>IF(I$1=0,"",IF($B241&lt;I$23,I240+PPMT(I$26/12,$B241,I$23,I$235,-I$27,0),IF($B241=I$23,I240+PPMT(I$26/12,$B241,I$23,I$235,-I$27,0)-I$27,0)))</f>
        <v/>
      </c>
      <c r="J241" s="279">
        <f>IF(J$1=0,"",IF($B241&lt;J$23,J240+PPMT(J$26/12,$B241,J$23,J$235,-J$27,0),IF($B241=J$23,J240+PPMT(J$26/12,$B241,J$23,J$235,-J$27,0)-J$27,0)))</f>
        <v/>
      </c>
      <c r="K241" s="279">
        <f>IF(K$1=0,"",IF($B241&lt;K$23,K240+PPMT(K$26/12,$B241,K$23,K$235,-K$27,0),IF($B241=K$23,K240+PPMT(K$26/12,$B241,K$23,K$235,-K$27,0)-K$27,0)))</f>
        <v/>
      </c>
      <c r="L241" s="279">
        <f>IF(L$1=0,"",IF($B241&lt;L$23,L240+PPMT(L$26/12,$B241,L$23,L$235,-L$27,0),IF($B241=L$23,L240+PPMT(L$26/12,$B241,L$23,L$235,-L$27,0)-L$27,0)))</f>
        <v/>
      </c>
      <c r="M241" s="279">
        <f>IF(M$1=0,"",IF($B241&lt;M$23,M240+PPMT(M$26/12,$B241,M$23,M$235,-M$27,0),IF($B241=M$23,M240+PPMT(M$26/12,$B241,M$23,M$235,-M$27,0)-M$27,0)))</f>
        <v/>
      </c>
      <c r="N241" s="280" t="n"/>
      <c r="O241" s="281" t="n"/>
    </row>
    <row r="242" hidden="1" outlineLevel="1">
      <c r="B242" s="2">
        <f>B241+1</f>
        <v/>
      </c>
      <c r="D242" s="279">
        <f>IF(B242&lt;$D$24,(+CALCULETTE!G639/CALCULETTE!$B$612),0)</f>
        <v/>
      </c>
      <c r="E242" s="279">
        <f>IF(E$1=0,"",IF($B242&lt;E$23,E241+PPMT(E$26/12,$B242,E$23,E$235,-E$27,0),IF($B242=E$23,E241+PPMT(E$26/12,$B242,E$23,E$235,-E$27,0)-E$27,0)))</f>
        <v/>
      </c>
      <c r="F242" s="279">
        <f>IF(F$1=0,"",IF($B242&lt;F$23,F241+PPMT(F$26/12,$B242,F$23,F$235,-F$27,0),IF($B242=F$23,F241+PPMT(F$26/12,$B242,F$23,F$235,-F$27,0)-F$27,0)))</f>
        <v/>
      </c>
      <c r="G242" s="279">
        <f>IF(G$1=0,"",IF($B242&lt;G$23,G241+PPMT(G$26/12,$B242,G$23,G$235,-G$27,0),IF($B242=G$23,G241+PPMT(G$26/12,$B242,G$23,G$235,-G$27,0)-G$27,0)))</f>
        <v/>
      </c>
      <c r="H242" s="279">
        <f>IF(H$1=0,"",IF($B242&lt;H$23,H241+PPMT(H$26/12,$B242,H$23,H$235,-H$27,0),IF($B242=H$23,H241+PPMT(H$26/12,$B242,H$23,H$235,-H$27,0)-H$27,0)))</f>
        <v/>
      </c>
      <c r="I242" s="279">
        <f>IF(I$1=0,"",IF($B242&lt;I$23,I241+PPMT(I$26/12,$B242,I$23,I$235,-I$27,0),IF($B242=I$23,I241+PPMT(I$26/12,$B242,I$23,I$235,-I$27,0)-I$27,0)))</f>
        <v/>
      </c>
      <c r="J242" s="279">
        <f>IF(J$1=0,"",IF($B242&lt;J$23,J241+PPMT(J$26/12,$B242,J$23,J$235,-J$27,0),IF($B242=J$23,J241+PPMT(J$26/12,$B242,J$23,J$235,-J$27,0)-J$27,0)))</f>
        <v/>
      </c>
      <c r="K242" s="279">
        <f>IF(K$1=0,"",IF($B242&lt;K$23,K241+PPMT(K$26/12,$B242,K$23,K$235,-K$27,0),IF($B242=K$23,K241+PPMT(K$26/12,$B242,K$23,K$235,-K$27,0)-K$27,0)))</f>
        <v/>
      </c>
      <c r="L242" s="279">
        <f>IF(L$1=0,"",IF($B242&lt;L$23,L241+PPMT(L$26/12,$B242,L$23,L$235,-L$27,0),IF($B242=L$23,L241+PPMT(L$26/12,$B242,L$23,L$235,-L$27,0)-L$27,0)))</f>
        <v/>
      </c>
      <c r="M242" s="279">
        <f>IF(M$1=0,"",IF($B242&lt;M$23,M241+PPMT(M$26/12,$B242,M$23,M$235,-M$27,0),IF($B242=M$23,M241+PPMT(M$26/12,$B242,M$23,M$235,-M$27,0)-M$27,0)))</f>
        <v/>
      </c>
      <c r="N242" s="280" t="n"/>
      <c r="O242" s="281" t="n"/>
    </row>
    <row r="243" hidden="1" outlineLevel="1">
      <c r="B243" s="2">
        <f>B242+1</f>
        <v/>
      </c>
      <c r="D243" s="279">
        <f>IF(B243&lt;$D$24,(+CALCULETTE!G640/CALCULETTE!$B$612),0)</f>
        <v/>
      </c>
      <c r="E243" s="279">
        <f>IF(E$1=0,"",IF($B243&lt;E$23,E242+PPMT(E$26/12,$B243,E$23,E$235,-E$27,0),IF($B243=E$23,E242+PPMT(E$26/12,$B243,E$23,E$235,-E$27,0)-E$27,0)))</f>
        <v/>
      </c>
      <c r="F243" s="279">
        <f>IF(F$1=0,"",IF($B243&lt;F$23,F242+PPMT(F$26/12,$B243,F$23,F$235,-F$27,0),IF($B243=F$23,F242+PPMT(F$26/12,$B243,F$23,F$235,-F$27,0)-F$27,0)))</f>
        <v/>
      </c>
      <c r="G243" s="279">
        <f>IF(G$1=0,"",IF($B243&lt;G$23,G242+PPMT(G$26/12,$B243,G$23,G$235,-G$27,0),IF($B243=G$23,G242+PPMT(G$26/12,$B243,G$23,G$235,-G$27,0)-G$27,0)))</f>
        <v/>
      </c>
      <c r="H243" s="279">
        <f>IF(H$1=0,"",IF($B243&lt;H$23,H242+PPMT(H$26/12,$B243,H$23,H$235,-H$27,0),IF($B243=H$23,H242+PPMT(H$26/12,$B243,H$23,H$235,-H$27,0)-H$27,0)))</f>
        <v/>
      </c>
      <c r="I243" s="279">
        <f>IF(I$1=0,"",IF($B243&lt;I$23,I242+PPMT(I$26/12,$B243,I$23,I$235,-I$27,0),IF($B243=I$23,I242+PPMT(I$26/12,$B243,I$23,I$235,-I$27,0)-I$27,0)))</f>
        <v/>
      </c>
      <c r="J243" s="279">
        <f>IF(J$1=0,"",IF($B243&lt;J$23,J242+PPMT(J$26/12,$B243,J$23,J$235,-J$27,0),IF($B243=J$23,J242+PPMT(J$26/12,$B243,J$23,J$235,-J$27,0)-J$27,0)))</f>
        <v/>
      </c>
      <c r="K243" s="279">
        <f>IF(K$1=0,"",IF($B243&lt;K$23,K242+PPMT(K$26/12,$B243,K$23,K$235,-K$27,0),IF($B243=K$23,K242+PPMT(K$26/12,$B243,K$23,K$235,-K$27,0)-K$27,0)))</f>
        <v/>
      </c>
      <c r="L243" s="279">
        <f>IF(L$1=0,"",IF($B243&lt;L$23,L242+PPMT(L$26/12,$B243,L$23,L$235,-L$27,0),IF($B243=L$23,L242+PPMT(L$26/12,$B243,L$23,L$235,-L$27,0)-L$27,0)))</f>
        <v/>
      </c>
      <c r="M243" s="279">
        <f>IF(M$1=0,"",IF($B243&lt;M$23,M242+PPMT(M$26/12,$B243,M$23,M$235,-M$27,0),IF($B243=M$23,M242+PPMT(M$26/12,$B243,M$23,M$235,-M$27,0)-M$27,0)))</f>
        <v/>
      </c>
      <c r="N243" s="280" t="n"/>
      <c r="O243" s="281" t="n"/>
    </row>
    <row r="244" hidden="1" outlineLevel="1">
      <c r="B244" s="2">
        <f>B243+1</f>
        <v/>
      </c>
      <c r="D244" s="279">
        <f>IF(B244&lt;$D$24,(+CALCULETTE!G641/CALCULETTE!$B$612),0)</f>
        <v/>
      </c>
      <c r="E244" s="279">
        <f>IF(E$1=0,"",IF($B244&lt;E$23,E243+PPMT(E$26/12,$B244,E$23,E$235,-E$27,0),IF($B244=E$23,E243+PPMT(E$26/12,$B244,E$23,E$235,-E$27,0)-E$27,0)))</f>
        <v/>
      </c>
      <c r="F244" s="279">
        <f>IF(F$1=0,"",IF($B244&lt;F$23,F243+PPMT(F$26/12,$B244,F$23,F$235,-F$27,0),IF($B244=F$23,F243+PPMT(F$26/12,$B244,F$23,F$235,-F$27,0)-F$27,0)))</f>
        <v/>
      </c>
      <c r="G244" s="279">
        <f>IF(G$1=0,"",IF($B244&lt;G$23,G243+PPMT(G$26/12,$B244,G$23,G$235,-G$27,0),IF($B244=G$23,G243+PPMT(G$26/12,$B244,G$23,G$235,-G$27,0)-G$27,0)))</f>
        <v/>
      </c>
      <c r="H244" s="279">
        <f>IF(H$1=0,"",IF($B244&lt;H$23,H243+PPMT(H$26/12,$B244,H$23,H$235,-H$27,0),IF($B244=H$23,H243+PPMT(H$26/12,$B244,H$23,H$235,-H$27,0)-H$27,0)))</f>
        <v/>
      </c>
      <c r="I244" s="279">
        <f>IF(I$1=0,"",IF($B244&lt;I$23,I243+PPMT(I$26/12,$B244,I$23,I$235,-I$27,0),IF($B244=I$23,I243+PPMT(I$26/12,$B244,I$23,I$235,-I$27,0)-I$27,0)))</f>
        <v/>
      </c>
      <c r="J244" s="279">
        <f>IF(J$1=0,"",IF($B244&lt;J$23,J243+PPMT(J$26/12,$B244,J$23,J$235,-J$27,0),IF($B244=J$23,J243+PPMT(J$26/12,$B244,J$23,J$235,-J$27,0)-J$27,0)))</f>
        <v/>
      </c>
      <c r="K244" s="279">
        <f>IF(K$1=0,"",IF($B244&lt;K$23,K243+PPMT(K$26/12,$B244,K$23,K$235,-K$27,0),IF($B244=K$23,K243+PPMT(K$26/12,$B244,K$23,K$235,-K$27,0)-K$27,0)))</f>
        <v/>
      </c>
      <c r="L244" s="279">
        <f>IF(L$1=0,"",IF($B244&lt;L$23,L243+PPMT(L$26/12,$B244,L$23,L$235,-L$27,0),IF($B244=L$23,L243+PPMT(L$26/12,$B244,L$23,L$235,-L$27,0)-L$27,0)))</f>
        <v/>
      </c>
      <c r="M244" s="279">
        <f>IF(M$1=0,"",IF($B244&lt;M$23,M243+PPMT(M$26/12,$B244,M$23,M$235,-M$27,0),IF($B244=M$23,M243+PPMT(M$26/12,$B244,M$23,M$235,-M$27,0)-M$27,0)))</f>
        <v/>
      </c>
      <c r="N244" s="280" t="n"/>
      <c r="O244" s="281" t="n"/>
    </row>
    <row r="245" hidden="1" outlineLevel="1">
      <c r="B245" s="2">
        <f>B244+1</f>
        <v/>
      </c>
      <c r="D245" s="279">
        <f>IF(B245&lt;$D$24,(+CALCULETTE!G642/CALCULETTE!$B$612),0)</f>
        <v/>
      </c>
      <c r="E245" s="279">
        <f>IF(E$1=0,"",IF($B245&lt;E$23,E244+PPMT(E$26/12,$B245,E$23,E$235,-E$27,0),IF($B245=E$23,E244+PPMT(E$26/12,$B245,E$23,E$235,-E$27,0)-E$27,0)))</f>
        <v/>
      </c>
      <c r="F245" s="279">
        <f>IF(F$1=0,"",IF($B245&lt;F$23,F244+PPMT(F$26/12,$B245,F$23,F$235,-F$27,0),IF($B245=F$23,F244+PPMT(F$26/12,$B245,F$23,F$235,-F$27,0)-F$27,0)))</f>
        <v/>
      </c>
      <c r="G245" s="279">
        <f>IF(G$1=0,"",IF($B245&lt;G$23,G244+PPMT(G$26/12,$B245,G$23,G$235,-G$27,0),IF($B245=G$23,G244+PPMT(G$26/12,$B245,G$23,G$235,-G$27,0)-G$27,0)))</f>
        <v/>
      </c>
      <c r="H245" s="279">
        <f>IF(H$1=0,"",IF($B245&lt;H$23,H244+PPMT(H$26/12,$B245,H$23,H$235,-H$27,0),IF($B245=H$23,H244+PPMT(H$26/12,$B245,H$23,H$235,-H$27,0)-H$27,0)))</f>
        <v/>
      </c>
      <c r="I245" s="279">
        <f>IF(I$1=0,"",IF($B245&lt;I$23,I244+PPMT(I$26/12,$B245,I$23,I$235,-I$27,0),IF($B245=I$23,I244+PPMT(I$26/12,$B245,I$23,I$235,-I$27,0)-I$27,0)))</f>
        <v/>
      </c>
      <c r="J245" s="279">
        <f>IF(J$1=0,"",IF($B245&lt;J$23,J244+PPMT(J$26/12,$B245,J$23,J$235,-J$27,0),IF($B245=J$23,J244+PPMT(J$26/12,$B245,J$23,J$235,-J$27,0)-J$27,0)))</f>
        <v/>
      </c>
      <c r="K245" s="279">
        <f>IF(K$1=0,"",IF($B245&lt;K$23,K244+PPMT(K$26/12,$B245,K$23,K$235,-K$27,0),IF($B245=K$23,K244+PPMT(K$26/12,$B245,K$23,K$235,-K$27,0)-K$27,0)))</f>
        <v/>
      </c>
      <c r="L245" s="279">
        <f>IF(L$1=0,"",IF($B245&lt;L$23,L244+PPMT(L$26/12,$B245,L$23,L$235,-L$27,0),IF($B245=L$23,L244+PPMT(L$26/12,$B245,L$23,L$235,-L$27,0)-L$27,0)))</f>
        <v/>
      </c>
      <c r="M245" s="279">
        <f>IF(M$1=0,"",IF($B245&lt;M$23,M244+PPMT(M$26/12,$B245,M$23,M$235,-M$27,0),IF($B245=M$23,M244+PPMT(M$26/12,$B245,M$23,M$235,-M$27,0)-M$27,0)))</f>
        <v/>
      </c>
      <c r="N245" s="280" t="n"/>
      <c r="O245" s="281" t="n"/>
    </row>
    <row r="246" hidden="1" outlineLevel="1">
      <c r="B246" s="2">
        <f>B245+1</f>
        <v/>
      </c>
      <c r="D246" s="279">
        <f>IF(B246&lt;$D$24,(+CALCULETTE!G643/CALCULETTE!$B$612),0)</f>
        <v/>
      </c>
      <c r="E246" s="279">
        <f>IF(E$1=0,"",IF($B246&lt;E$23,E245+PPMT(E$26/12,$B246,E$23,E$235,-E$27,0),IF($B246=E$23,E245+PPMT(E$26/12,$B246,E$23,E$235,-E$27,0)-E$27,0)))</f>
        <v/>
      </c>
      <c r="F246" s="279">
        <f>IF(F$1=0,"",IF($B246&lt;F$23,F245+PPMT(F$26/12,$B246,F$23,F$235,-F$27,0),IF($B246=F$23,F245+PPMT(F$26/12,$B246,F$23,F$235,-F$27,0)-F$27,0)))</f>
        <v/>
      </c>
      <c r="G246" s="279">
        <f>IF(G$1=0,"",IF($B246&lt;G$23,G245+PPMT(G$26/12,$B246,G$23,G$235,-G$27,0),IF($B246=G$23,G245+PPMT(G$26/12,$B246,G$23,G$235,-G$27,0)-G$27,0)))</f>
        <v/>
      </c>
      <c r="H246" s="279">
        <f>IF(H$1=0,"",IF($B246&lt;H$23,H245+PPMT(H$26/12,$B246,H$23,H$235,-H$27,0),IF($B246=H$23,H245+PPMT(H$26/12,$B246,H$23,H$235,-H$27,0)-H$27,0)))</f>
        <v/>
      </c>
      <c r="I246" s="279">
        <f>IF(I$1=0,"",IF($B246&lt;I$23,I245+PPMT(I$26/12,$B246,I$23,I$235,-I$27,0),IF($B246=I$23,I245+PPMT(I$26/12,$B246,I$23,I$235,-I$27,0)-I$27,0)))</f>
        <v/>
      </c>
      <c r="J246" s="279">
        <f>IF(J$1=0,"",IF($B246&lt;J$23,J245+PPMT(J$26/12,$B246,J$23,J$235,-J$27,0),IF($B246=J$23,J245+PPMT(J$26/12,$B246,J$23,J$235,-J$27,0)-J$27,0)))</f>
        <v/>
      </c>
      <c r="K246" s="279">
        <f>IF(K$1=0,"",IF($B246&lt;K$23,K245+PPMT(K$26/12,$B246,K$23,K$235,-K$27,0),IF($B246=K$23,K245+PPMT(K$26/12,$B246,K$23,K$235,-K$27,0)-K$27,0)))</f>
        <v/>
      </c>
      <c r="L246" s="279">
        <f>IF(L$1=0,"",IF($B246&lt;L$23,L245+PPMT(L$26/12,$B246,L$23,L$235,-L$27,0),IF($B246=L$23,L245+PPMT(L$26/12,$B246,L$23,L$235,-L$27,0)-L$27,0)))</f>
        <v/>
      </c>
      <c r="M246" s="279">
        <f>IF(M$1=0,"",IF($B246&lt;M$23,M245+PPMT(M$26/12,$B246,M$23,M$235,-M$27,0),IF($B246=M$23,M245+PPMT(M$26/12,$B246,M$23,M$235,-M$27,0)-M$27,0)))</f>
        <v/>
      </c>
      <c r="N246" s="280" t="n"/>
      <c r="O246" s="281" t="n"/>
    </row>
    <row r="247" hidden="1" outlineLevel="1">
      <c r="B247" s="2">
        <f>B246+1</f>
        <v/>
      </c>
      <c r="D247" s="279">
        <f>IF(B247&lt;$D$24,(+CALCULETTE!G644/CALCULETTE!$B$612),0)</f>
        <v/>
      </c>
      <c r="E247" s="279">
        <f>IF(E$1=0,"",IF($B247&lt;E$23,E246+PPMT(E$26/12,$B247,E$23,E$235,-E$27,0),IF($B247=E$23,E246+PPMT(E$26/12,$B247,E$23,E$235,-E$27,0)-E$27,0)))</f>
        <v/>
      </c>
      <c r="F247" s="279">
        <f>IF(F$1=0,"",IF($B247&lt;F$23,F246+PPMT(F$26/12,$B247,F$23,F$235,-F$27,0),IF($B247=F$23,F246+PPMT(F$26/12,$B247,F$23,F$235,-F$27,0)-F$27,0)))</f>
        <v/>
      </c>
      <c r="G247" s="279">
        <f>IF(G$1=0,"",IF($B247&lt;G$23,G246+PPMT(G$26/12,$B247,G$23,G$235,-G$27,0),IF($B247=G$23,G246+PPMT(G$26/12,$B247,G$23,G$235,-G$27,0)-G$27,0)))</f>
        <v/>
      </c>
      <c r="H247" s="279">
        <f>IF(H$1=0,"",IF($B247&lt;H$23,H246+PPMT(H$26/12,$B247,H$23,H$235,-H$27,0),IF($B247=H$23,H246+PPMT(H$26/12,$B247,H$23,H$235,-H$27,0)-H$27,0)))</f>
        <v/>
      </c>
      <c r="I247" s="279">
        <f>IF(I$1=0,"",IF($B247&lt;I$23,I246+PPMT(I$26/12,$B247,I$23,I$235,-I$27,0),IF($B247=I$23,I246+PPMT(I$26/12,$B247,I$23,I$235,-I$27,0)-I$27,0)))</f>
        <v/>
      </c>
      <c r="J247" s="279">
        <f>IF(J$1=0,"",IF($B247&lt;J$23,J246+PPMT(J$26/12,$B247,J$23,J$235,-J$27,0),IF($B247=J$23,J246+PPMT(J$26/12,$B247,J$23,J$235,-J$27,0)-J$27,0)))</f>
        <v/>
      </c>
      <c r="K247" s="279">
        <f>IF(K$1=0,"",IF($B247&lt;K$23,K246+PPMT(K$26/12,$B247,K$23,K$235,-K$27,0),IF($B247=K$23,K246+PPMT(K$26/12,$B247,K$23,K$235,-K$27,0)-K$27,0)))</f>
        <v/>
      </c>
      <c r="L247" s="279">
        <f>IF(L$1=0,"",IF($B247&lt;L$23,L246+PPMT(L$26/12,$B247,L$23,L$235,-L$27,0),IF($B247=L$23,L246+PPMT(L$26/12,$B247,L$23,L$235,-L$27,0)-L$27,0)))</f>
        <v/>
      </c>
      <c r="M247" s="279">
        <f>IF(M$1=0,"",IF($B247&lt;M$23,M246+PPMT(M$26/12,$B247,M$23,M$235,-M$27,0),IF($B247=M$23,M246+PPMT(M$26/12,$B247,M$23,M$235,-M$27,0)-M$27,0)))</f>
        <v/>
      </c>
      <c r="N247" s="280" t="n"/>
      <c r="O247" s="281" t="n"/>
    </row>
    <row r="248" hidden="1" outlineLevel="1">
      <c r="B248" s="2">
        <f>B247+1</f>
        <v/>
      </c>
      <c r="D248" s="279">
        <f>IF(B248&lt;$D$24,(+CALCULETTE!G645/CALCULETTE!$B$612),0)</f>
        <v/>
      </c>
      <c r="E248" s="279">
        <f>IF(E$1=0,"",IF($B248&lt;E$23,E247+PPMT(E$26/12,$B248,E$23,E$235,-E$27,0),IF($B248=E$23,E247+PPMT(E$26/12,$B248,E$23,E$235,-E$27,0)-E$27,0)))</f>
        <v/>
      </c>
      <c r="F248" s="279">
        <f>IF(F$1=0,"",IF($B248&lt;F$23,F247+PPMT(F$26/12,$B248,F$23,F$235,-F$27,0),IF($B248=F$23,F247+PPMT(F$26/12,$B248,F$23,F$235,-F$27,0)-F$27,0)))</f>
        <v/>
      </c>
      <c r="G248" s="279">
        <f>IF(G$1=0,"",IF($B248&lt;G$23,G247+PPMT(G$26/12,$B248,G$23,G$235,-G$27,0),IF($B248=G$23,G247+PPMT(G$26/12,$B248,G$23,G$235,-G$27,0)-G$27,0)))</f>
        <v/>
      </c>
      <c r="H248" s="279">
        <f>IF(H$1=0,"",IF($B248&lt;H$23,H247+PPMT(H$26/12,$B248,H$23,H$235,-H$27,0),IF($B248=H$23,H247+PPMT(H$26/12,$B248,H$23,H$235,-H$27,0)-H$27,0)))</f>
        <v/>
      </c>
      <c r="I248" s="279">
        <f>IF(I$1=0,"",IF($B248&lt;I$23,I247+PPMT(I$26/12,$B248,I$23,I$235,-I$27,0),IF($B248=I$23,I247+PPMT(I$26/12,$B248,I$23,I$235,-I$27,0)-I$27,0)))</f>
        <v/>
      </c>
      <c r="J248" s="279">
        <f>IF(J$1=0,"",IF($B248&lt;J$23,J247+PPMT(J$26/12,$B248,J$23,J$235,-J$27,0),IF($B248=J$23,J247+PPMT(J$26/12,$B248,J$23,J$235,-J$27,0)-J$27,0)))</f>
        <v/>
      </c>
      <c r="K248" s="279">
        <f>IF(K$1=0,"",IF($B248&lt;K$23,K247+PPMT(K$26/12,$B248,K$23,K$235,-K$27,0),IF($B248=K$23,K247+PPMT(K$26/12,$B248,K$23,K$235,-K$27,0)-K$27,0)))</f>
        <v/>
      </c>
      <c r="L248" s="279">
        <f>IF(L$1=0,"",IF($B248&lt;L$23,L247+PPMT(L$26/12,$B248,L$23,L$235,-L$27,0),IF($B248=L$23,L247+PPMT(L$26/12,$B248,L$23,L$235,-L$27,0)-L$27,0)))</f>
        <v/>
      </c>
      <c r="M248" s="279">
        <f>IF(M$1=0,"",IF($B248&lt;M$23,M247+PPMT(M$26/12,$B248,M$23,M$235,-M$27,0),IF($B248=M$23,M247+PPMT(M$26/12,$B248,M$23,M$235,-M$27,0)-M$27,0)))</f>
        <v/>
      </c>
      <c r="N248" s="280" t="n"/>
      <c r="O248" s="281" t="n"/>
    </row>
    <row r="249" hidden="1" outlineLevel="1">
      <c r="B249" s="2">
        <f>B248+1</f>
        <v/>
      </c>
      <c r="D249" s="279">
        <f>IF(B249&lt;$D$24,(+CALCULETTE!G646/CALCULETTE!$B$612),0)</f>
        <v/>
      </c>
      <c r="E249" s="279">
        <f>IF(E$1=0,"",IF($B249&lt;E$23,E248+PPMT(E$26/12,$B249,E$23,E$235,-E$27,0),IF($B249=E$23,E248+PPMT(E$26/12,$B249,E$23,E$235,-E$27,0)-E$27,0)))</f>
        <v/>
      </c>
      <c r="F249" s="279">
        <f>IF(F$1=0,"",IF($B249&lt;F$23,F248+PPMT(F$26/12,$B249,F$23,F$235,-F$27,0),IF($B249=F$23,F248+PPMT(F$26/12,$B249,F$23,F$235,-F$27,0)-F$27,0)))</f>
        <v/>
      </c>
      <c r="G249" s="279">
        <f>IF(G$1=0,"",IF($B249&lt;G$23,G248+PPMT(G$26/12,$B249,G$23,G$235,-G$27,0),IF($B249=G$23,G248+PPMT(G$26/12,$B249,G$23,G$235,-G$27,0)-G$27,0)))</f>
        <v/>
      </c>
      <c r="H249" s="279">
        <f>IF(H$1=0,"",IF($B249&lt;H$23,H248+PPMT(H$26/12,$B249,H$23,H$235,-H$27,0),IF($B249=H$23,H248+PPMT(H$26/12,$B249,H$23,H$235,-H$27,0)-H$27,0)))</f>
        <v/>
      </c>
      <c r="I249" s="279">
        <f>IF(I$1=0,"",IF($B249&lt;I$23,I248+PPMT(I$26/12,$B249,I$23,I$235,-I$27,0),IF($B249=I$23,I248+PPMT(I$26/12,$B249,I$23,I$235,-I$27,0)-I$27,0)))</f>
        <v/>
      </c>
      <c r="J249" s="279">
        <f>IF(J$1=0,"",IF($B249&lt;J$23,J248+PPMT(J$26/12,$B249,J$23,J$235,-J$27,0),IF($B249=J$23,J248+PPMT(J$26/12,$B249,J$23,J$235,-J$27,0)-J$27,0)))</f>
        <v/>
      </c>
      <c r="K249" s="279">
        <f>IF(K$1=0,"",IF($B249&lt;K$23,K248+PPMT(K$26/12,$B249,K$23,K$235,-K$27,0),IF($B249=K$23,K248+PPMT(K$26/12,$B249,K$23,K$235,-K$27,0)-K$27,0)))</f>
        <v/>
      </c>
      <c r="L249" s="279">
        <f>IF(L$1=0,"",IF($B249&lt;L$23,L248+PPMT(L$26/12,$B249,L$23,L$235,-L$27,0),IF($B249=L$23,L248+PPMT(L$26/12,$B249,L$23,L$235,-L$27,0)-L$27,0)))</f>
        <v/>
      </c>
      <c r="M249" s="279">
        <f>IF(M$1=0,"",IF($B249&lt;M$23,M248+PPMT(M$26/12,$B249,M$23,M$235,-M$27,0),IF($B249=M$23,M248+PPMT(M$26/12,$B249,M$23,M$235,-M$27,0)-M$27,0)))</f>
        <v/>
      </c>
      <c r="N249" s="280" t="n"/>
      <c r="O249" s="281" t="n"/>
    </row>
    <row r="250" hidden="1" outlineLevel="1">
      <c r="B250" s="2">
        <f>B249+1</f>
        <v/>
      </c>
      <c r="D250" s="279">
        <f>IF(B250&lt;$D$24,(+CALCULETTE!G647/CALCULETTE!$B$612),0)</f>
        <v/>
      </c>
      <c r="E250" s="279">
        <f>IF(E$1=0,"",IF($B250&lt;E$23,E249+PPMT(E$26/12,$B250,E$23,E$235,-E$27,0),IF($B250=E$23,E249+PPMT(E$26/12,$B250,E$23,E$235,-E$27,0)-E$27,0)))</f>
        <v/>
      </c>
      <c r="F250" s="279">
        <f>IF(F$1=0,"",IF($B250&lt;F$23,F249+PPMT(F$26/12,$B250,F$23,F$235,-F$27,0),IF($B250=F$23,F249+PPMT(F$26/12,$B250,F$23,F$235,-F$27,0)-F$27,0)))</f>
        <v/>
      </c>
      <c r="G250" s="279">
        <f>IF(G$1=0,"",IF($B250&lt;G$23,G249+PPMT(G$26/12,$B250,G$23,G$235,-G$27,0),IF($B250=G$23,G249+PPMT(G$26/12,$B250,G$23,G$235,-G$27,0)-G$27,0)))</f>
        <v/>
      </c>
      <c r="H250" s="279">
        <f>IF(H$1=0,"",IF($B250&lt;H$23,H249+PPMT(H$26/12,$B250,H$23,H$235,-H$27,0),IF($B250=H$23,H249+PPMT(H$26/12,$B250,H$23,H$235,-H$27,0)-H$27,0)))</f>
        <v/>
      </c>
      <c r="I250" s="279">
        <f>IF(I$1=0,"",IF($B250&lt;I$23,I249+PPMT(I$26/12,$B250,I$23,I$235,-I$27,0),IF($B250=I$23,I249+PPMT(I$26/12,$B250,I$23,I$235,-I$27,0)-I$27,0)))</f>
        <v/>
      </c>
      <c r="J250" s="279">
        <f>IF(J$1=0,"",IF($B250&lt;J$23,J249+PPMT(J$26/12,$B250,J$23,J$235,-J$27,0),IF($B250=J$23,J249+PPMT(J$26/12,$B250,J$23,J$235,-J$27,0)-J$27,0)))</f>
        <v/>
      </c>
      <c r="K250" s="279">
        <f>IF(K$1=0,"",IF($B250&lt;K$23,K249+PPMT(K$26/12,$B250,K$23,K$235,-K$27,0),IF($B250=K$23,K249+PPMT(K$26/12,$B250,K$23,K$235,-K$27,0)-K$27,0)))</f>
        <v/>
      </c>
      <c r="L250" s="279">
        <f>IF(L$1=0,"",IF($B250&lt;L$23,L249+PPMT(L$26/12,$B250,L$23,L$235,-L$27,0),IF($B250=L$23,L249+PPMT(L$26/12,$B250,L$23,L$235,-L$27,0)-L$27,0)))</f>
        <v/>
      </c>
      <c r="M250" s="279">
        <f>IF(M$1=0,"",IF($B250&lt;M$23,M249+PPMT(M$26/12,$B250,M$23,M$235,-M$27,0),IF($B250=M$23,M249+PPMT(M$26/12,$B250,M$23,M$235,-M$27,0)-M$27,0)))</f>
        <v/>
      </c>
      <c r="N250" s="280" t="n"/>
      <c r="O250" s="281" t="n"/>
    </row>
    <row r="251" hidden="1" outlineLevel="1">
      <c r="B251" s="2">
        <f>B250+1</f>
        <v/>
      </c>
      <c r="D251" s="279">
        <f>IF(B251&lt;$D$24,(+CALCULETTE!G648/CALCULETTE!$B$612),0)</f>
        <v/>
      </c>
      <c r="E251" s="279">
        <f>IF(E$1=0,"",IF($B251&lt;E$23,E250+PPMT(E$26/12,$B251,E$23,E$235,-E$27,0),IF($B251=E$23,E250+PPMT(E$26/12,$B251,E$23,E$235,-E$27,0)-E$27,0)))</f>
        <v/>
      </c>
      <c r="F251" s="279">
        <f>IF(F$1=0,"",IF($B251&lt;F$23,F250+PPMT(F$26/12,$B251,F$23,F$235,-F$27,0),IF($B251=F$23,F250+PPMT(F$26/12,$B251,F$23,F$235,-F$27,0)-F$27,0)))</f>
        <v/>
      </c>
      <c r="G251" s="279">
        <f>IF(G$1=0,"",IF($B251&lt;G$23,G250+PPMT(G$26/12,$B251,G$23,G$235,-G$27,0),IF($B251=G$23,G250+PPMT(G$26/12,$B251,G$23,G$235,-G$27,0)-G$27,0)))</f>
        <v/>
      </c>
      <c r="H251" s="279">
        <f>IF(H$1=0,"",IF($B251&lt;H$23,H250+PPMT(H$26/12,$B251,H$23,H$235,-H$27,0),IF($B251=H$23,H250+PPMT(H$26/12,$B251,H$23,H$235,-H$27,0)-H$27,0)))</f>
        <v/>
      </c>
      <c r="I251" s="279">
        <f>IF(I$1=0,"",IF($B251&lt;I$23,I250+PPMT(I$26/12,$B251,I$23,I$235,-I$27,0),IF($B251=I$23,I250+PPMT(I$26/12,$B251,I$23,I$235,-I$27,0)-I$27,0)))</f>
        <v/>
      </c>
      <c r="J251" s="279">
        <f>IF(J$1=0,"",IF($B251&lt;J$23,J250+PPMT(J$26/12,$B251,J$23,J$235,-J$27,0),IF($B251=J$23,J250+PPMT(J$26/12,$B251,J$23,J$235,-J$27,0)-J$27,0)))</f>
        <v/>
      </c>
      <c r="K251" s="279">
        <f>IF(K$1=0,"",IF($B251&lt;K$23,K250+PPMT(K$26/12,$B251,K$23,K$235,-K$27,0),IF($B251=K$23,K250+PPMT(K$26/12,$B251,K$23,K$235,-K$27,0)-K$27,0)))</f>
        <v/>
      </c>
      <c r="L251" s="279">
        <f>IF(L$1=0,"",IF($B251&lt;L$23,L250+PPMT(L$26/12,$B251,L$23,L$235,-L$27,0),IF($B251=L$23,L250+PPMT(L$26/12,$B251,L$23,L$235,-L$27,0)-L$27,0)))</f>
        <v/>
      </c>
      <c r="M251" s="279">
        <f>IF(M$1=0,"",IF($B251&lt;M$23,M250+PPMT(M$26/12,$B251,M$23,M$235,-M$27,0),IF($B251=M$23,M250+PPMT(M$26/12,$B251,M$23,M$235,-M$27,0)-M$27,0)))</f>
        <v/>
      </c>
      <c r="N251" s="280" t="n"/>
      <c r="O251" s="281" t="n"/>
    </row>
    <row r="252" hidden="1" outlineLevel="1">
      <c r="B252" s="2">
        <f>B251+1</f>
        <v/>
      </c>
      <c r="D252" s="279">
        <f>IF(B252&lt;$D$24,(+CALCULETTE!G649/CALCULETTE!$B$612),0)</f>
        <v/>
      </c>
      <c r="E252" s="279">
        <f>IF(E$1=0,"",IF($B252&lt;E$23,E251+PPMT(E$26/12,$B252,E$23,E$235,-E$27,0),IF($B252=E$23,E251+PPMT(E$26/12,$B252,E$23,E$235,-E$27,0)-E$27,0)))</f>
        <v/>
      </c>
      <c r="F252" s="279">
        <f>IF(F$1=0,"",IF($B252&lt;F$23,F251+PPMT(F$26/12,$B252,F$23,F$235,-F$27,0),IF($B252=F$23,F251+PPMT(F$26/12,$B252,F$23,F$235,-F$27,0)-F$27,0)))</f>
        <v/>
      </c>
      <c r="G252" s="279">
        <f>IF(G$1=0,"",IF($B252&lt;G$23,G251+PPMT(G$26/12,$B252,G$23,G$235,-G$27,0),IF($B252=G$23,G251+PPMT(G$26/12,$B252,G$23,G$235,-G$27,0)-G$27,0)))</f>
        <v/>
      </c>
      <c r="H252" s="279">
        <f>IF(H$1=0,"",IF($B252&lt;H$23,H251+PPMT(H$26/12,$B252,H$23,H$235,-H$27,0),IF($B252=H$23,H251+PPMT(H$26/12,$B252,H$23,H$235,-H$27,0)-H$27,0)))</f>
        <v/>
      </c>
      <c r="I252" s="279">
        <f>IF(I$1=0,"",IF($B252&lt;I$23,I251+PPMT(I$26/12,$B252,I$23,I$235,-I$27,0),IF($B252=I$23,I251+PPMT(I$26/12,$B252,I$23,I$235,-I$27,0)-I$27,0)))</f>
        <v/>
      </c>
      <c r="J252" s="279">
        <f>IF(J$1=0,"",IF($B252&lt;J$23,J251+PPMT(J$26/12,$B252,J$23,J$235,-J$27,0),IF($B252=J$23,J251+PPMT(J$26/12,$B252,J$23,J$235,-J$27,0)-J$27,0)))</f>
        <v/>
      </c>
      <c r="K252" s="279">
        <f>IF(K$1=0,"",IF($B252&lt;K$23,K251+PPMT(K$26/12,$B252,K$23,K$235,-K$27,0),IF($B252=K$23,K251+PPMT(K$26/12,$B252,K$23,K$235,-K$27,0)-K$27,0)))</f>
        <v/>
      </c>
      <c r="L252" s="279">
        <f>IF(L$1=0,"",IF($B252&lt;L$23,L251+PPMT(L$26/12,$B252,L$23,L$235,-L$27,0),IF($B252=L$23,L251+PPMT(L$26/12,$B252,L$23,L$235,-L$27,0)-L$27,0)))</f>
        <v/>
      </c>
      <c r="M252" s="279">
        <f>IF(M$1=0,"",IF($B252&lt;M$23,M251+PPMT(M$26/12,$B252,M$23,M$235,-M$27,0),IF($B252=M$23,M251+PPMT(M$26/12,$B252,M$23,M$235,-M$27,0)-M$27,0)))</f>
        <v/>
      </c>
      <c r="N252" s="280" t="n"/>
      <c r="O252" s="281" t="n"/>
    </row>
    <row r="253" hidden="1" outlineLevel="1">
      <c r="B253" s="2">
        <f>B252+1</f>
        <v/>
      </c>
      <c r="D253" s="279">
        <f>IF(B253&lt;$D$24,(+CALCULETTE!G650/CALCULETTE!$B$612),0)</f>
        <v/>
      </c>
      <c r="E253" s="279">
        <f>IF(E$1=0,"",IF($B253&lt;E$23,E252+PPMT(E$26/12,$B253,E$23,E$235,-E$27,0),IF($B253=E$23,E252+PPMT(E$26/12,$B253,E$23,E$235,-E$27,0)-E$27,0)))</f>
        <v/>
      </c>
      <c r="F253" s="279">
        <f>IF(F$1=0,"",IF($B253&lt;F$23,F252+PPMT(F$26/12,$B253,F$23,F$235,-F$27,0),IF($B253=F$23,F252+PPMT(F$26/12,$B253,F$23,F$235,-F$27,0)-F$27,0)))</f>
        <v/>
      </c>
      <c r="G253" s="279">
        <f>IF(G$1=0,"",IF($B253&lt;G$23,G252+PPMT(G$26/12,$B253,G$23,G$235,-G$27,0),IF($B253=G$23,G252+PPMT(G$26/12,$B253,G$23,G$235,-G$27,0)-G$27,0)))</f>
        <v/>
      </c>
      <c r="H253" s="279">
        <f>IF(H$1=0,"",IF($B253&lt;H$23,H252+PPMT(H$26/12,$B253,H$23,H$235,-H$27,0),IF($B253=H$23,H252+PPMT(H$26/12,$B253,H$23,H$235,-H$27,0)-H$27,0)))</f>
        <v/>
      </c>
      <c r="I253" s="279">
        <f>IF(I$1=0,"",IF($B253&lt;I$23,I252+PPMT(I$26/12,$B253,I$23,I$235,-I$27,0),IF($B253=I$23,I252+PPMT(I$26/12,$B253,I$23,I$235,-I$27,0)-I$27,0)))</f>
        <v/>
      </c>
      <c r="J253" s="279">
        <f>IF(J$1=0,"",IF($B253&lt;J$23,J252+PPMT(J$26/12,$B253,J$23,J$235,-J$27,0),IF($B253=J$23,J252+PPMT(J$26/12,$B253,J$23,J$235,-J$27,0)-J$27,0)))</f>
        <v/>
      </c>
      <c r="K253" s="279">
        <f>IF(K$1=0,"",IF($B253&lt;K$23,K252+PPMT(K$26/12,$B253,K$23,K$235,-K$27,0),IF($B253=K$23,K252+PPMT(K$26/12,$B253,K$23,K$235,-K$27,0)-K$27,0)))</f>
        <v/>
      </c>
      <c r="L253" s="279">
        <f>IF(L$1=0,"",IF($B253&lt;L$23,L252+PPMT(L$26/12,$B253,L$23,L$235,-L$27,0),IF($B253=L$23,L252+PPMT(L$26/12,$B253,L$23,L$235,-L$27,0)-L$27,0)))</f>
        <v/>
      </c>
      <c r="M253" s="279">
        <f>IF(M$1=0,"",IF($B253&lt;M$23,M252+PPMT(M$26/12,$B253,M$23,M$235,-M$27,0),IF($B253=M$23,M252+PPMT(M$26/12,$B253,M$23,M$235,-M$27,0)-M$27,0)))</f>
        <v/>
      </c>
      <c r="N253" s="280" t="n"/>
      <c r="O253" s="281" t="n"/>
    </row>
    <row r="254" hidden="1" outlineLevel="1">
      <c r="B254" s="2">
        <f>B253+1</f>
        <v/>
      </c>
      <c r="D254" s="279">
        <f>IF(B254&lt;$D$24,(+CALCULETTE!G651/CALCULETTE!$B$612),0)</f>
        <v/>
      </c>
      <c r="E254" s="279">
        <f>IF(E$1=0,"",IF($B254&lt;E$23,E253+PPMT(E$26/12,$B254,E$23,E$235,-E$27,0),IF($B254=E$23,E253+PPMT(E$26/12,$B254,E$23,E$235,-E$27,0)-E$27,0)))</f>
        <v/>
      </c>
      <c r="F254" s="279">
        <f>IF(F$1=0,"",IF($B254&lt;F$23,F253+PPMT(F$26/12,$B254,F$23,F$235,-F$27,0),IF($B254=F$23,F253+PPMT(F$26/12,$B254,F$23,F$235,-F$27,0)-F$27,0)))</f>
        <v/>
      </c>
      <c r="G254" s="279">
        <f>IF(G$1=0,"",IF($B254&lt;G$23,G253+PPMT(G$26/12,$B254,G$23,G$235,-G$27,0),IF($B254=G$23,G253+PPMT(G$26/12,$B254,G$23,G$235,-G$27,0)-G$27,0)))</f>
        <v/>
      </c>
      <c r="H254" s="279">
        <f>IF(H$1=0,"",IF($B254&lt;H$23,H253+PPMT(H$26/12,$B254,H$23,H$235,-H$27,0),IF($B254=H$23,H253+PPMT(H$26/12,$B254,H$23,H$235,-H$27,0)-H$27,0)))</f>
        <v/>
      </c>
      <c r="I254" s="279">
        <f>IF(I$1=0,"",IF($B254&lt;I$23,I253+PPMT(I$26/12,$B254,I$23,I$235,-I$27,0),IF($B254=I$23,I253+PPMT(I$26/12,$B254,I$23,I$235,-I$27,0)-I$27,0)))</f>
        <v/>
      </c>
      <c r="J254" s="279">
        <f>IF(J$1=0,"",IF($B254&lt;J$23,J253+PPMT(J$26/12,$B254,J$23,J$235,-J$27,0),IF($B254=J$23,J253+PPMT(J$26/12,$B254,J$23,J$235,-J$27,0)-J$27,0)))</f>
        <v/>
      </c>
      <c r="K254" s="279">
        <f>IF(K$1=0,"",IF($B254&lt;K$23,K253+PPMT(K$26/12,$B254,K$23,K$235,-K$27,0),IF($B254=K$23,K253+PPMT(K$26/12,$B254,K$23,K$235,-K$27,0)-K$27,0)))</f>
        <v/>
      </c>
      <c r="L254" s="279">
        <f>IF(L$1=0,"",IF($B254&lt;L$23,L253+PPMT(L$26/12,$B254,L$23,L$235,-L$27,0),IF($B254=L$23,L253+PPMT(L$26/12,$B254,L$23,L$235,-L$27,0)-L$27,0)))</f>
        <v/>
      </c>
      <c r="M254" s="279">
        <f>IF(M$1=0,"",IF($B254&lt;M$23,M253+PPMT(M$26/12,$B254,M$23,M$235,-M$27,0),IF($B254=M$23,M253+PPMT(M$26/12,$B254,M$23,M$235,-M$27,0)-M$27,0)))</f>
        <v/>
      </c>
      <c r="N254" s="280" t="n"/>
      <c r="O254" s="281" t="n"/>
    </row>
    <row r="255" hidden="1" outlineLevel="1">
      <c r="B255" s="2">
        <f>B254+1</f>
        <v/>
      </c>
      <c r="D255" s="279">
        <f>IF(B255&lt;$D$24,(+CALCULETTE!G652/CALCULETTE!$B$612),0)</f>
        <v/>
      </c>
      <c r="E255" s="279">
        <f>IF(E$1=0,"",IF($B255&lt;E$23,E254+PPMT(E$26/12,$B255,E$23,E$235,-E$27,0),IF($B255=E$23,E254+PPMT(E$26/12,$B255,E$23,E$235,-E$27,0)-E$27,0)))</f>
        <v/>
      </c>
      <c r="F255" s="279">
        <f>IF(F$1=0,"",IF($B255&lt;F$23,F254+PPMT(F$26/12,$B255,F$23,F$235,-F$27,0),IF($B255=F$23,F254+PPMT(F$26/12,$B255,F$23,F$235,-F$27,0)-F$27,0)))</f>
        <v/>
      </c>
      <c r="G255" s="279">
        <f>IF(G$1=0,"",IF($B255&lt;G$23,G254+PPMT(G$26/12,$B255,G$23,G$235,-G$27,0),IF($B255=G$23,G254+PPMT(G$26/12,$B255,G$23,G$235,-G$27,0)-G$27,0)))</f>
        <v/>
      </c>
      <c r="H255" s="279">
        <f>IF(H$1=0,"",IF($B255&lt;H$23,H254+PPMT(H$26/12,$B255,H$23,H$235,-H$27,0),IF($B255=H$23,H254+PPMT(H$26/12,$B255,H$23,H$235,-H$27,0)-H$27,0)))</f>
        <v/>
      </c>
      <c r="I255" s="279">
        <f>IF(I$1=0,"",IF($B255&lt;I$23,I254+PPMT(I$26/12,$B255,I$23,I$235,-I$27,0),IF($B255=I$23,I254+PPMT(I$26/12,$B255,I$23,I$235,-I$27,0)-I$27,0)))</f>
        <v/>
      </c>
      <c r="J255" s="279">
        <f>IF(J$1=0,"",IF($B255&lt;J$23,J254+PPMT(J$26/12,$B255,J$23,J$235,-J$27,0),IF($B255=J$23,J254+PPMT(J$26/12,$B255,J$23,J$235,-J$27,0)-J$27,0)))</f>
        <v/>
      </c>
      <c r="K255" s="279">
        <f>IF(K$1=0,"",IF($B255&lt;K$23,K254+PPMT(K$26/12,$B255,K$23,K$235,-K$27,0),IF($B255=K$23,K254+PPMT(K$26/12,$B255,K$23,K$235,-K$27,0)-K$27,0)))</f>
        <v/>
      </c>
      <c r="L255" s="279">
        <f>IF(L$1=0,"",IF($B255&lt;L$23,L254+PPMT(L$26/12,$B255,L$23,L$235,-L$27,0),IF($B255=L$23,L254+PPMT(L$26/12,$B255,L$23,L$235,-L$27,0)-L$27,0)))</f>
        <v/>
      </c>
      <c r="M255" s="279">
        <f>IF(M$1=0,"",IF($B255&lt;M$23,M254+PPMT(M$26/12,$B255,M$23,M$235,-M$27,0),IF($B255=M$23,M254+PPMT(M$26/12,$B255,M$23,M$235,-M$27,0)-M$27,0)))</f>
        <v/>
      </c>
      <c r="N255" s="280" t="n"/>
      <c r="O255" s="281" t="n"/>
    </row>
    <row r="256" hidden="1" outlineLevel="1">
      <c r="B256" s="2">
        <f>B255+1</f>
        <v/>
      </c>
      <c r="D256" s="279">
        <f>IF(B256&lt;$D$24,(+CALCULETTE!G653/CALCULETTE!$B$612),0)</f>
        <v/>
      </c>
      <c r="E256" s="279">
        <f>IF(E$1=0,"",IF($B256&lt;E$23,E255+PPMT(E$26/12,$B256,E$23,E$235,-E$27,0),IF($B256=E$23,E255+PPMT(E$26/12,$B256,E$23,E$235,-E$27,0)-E$27,0)))</f>
        <v/>
      </c>
      <c r="F256" s="279">
        <f>IF(F$1=0,"",IF($B256&lt;F$23,F255+PPMT(F$26/12,$B256,F$23,F$235,-F$27,0),IF($B256=F$23,F255+PPMT(F$26/12,$B256,F$23,F$235,-F$27,0)-F$27,0)))</f>
        <v/>
      </c>
      <c r="G256" s="279">
        <f>IF(G$1=0,"",IF($B256&lt;G$23,G255+PPMT(G$26/12,$B256,G$23,G$235,-G$27,0),IF($B256=G$23,G255+PPMT(G$26/12,$B256,G$23,G$235,-G$27,0)-G$27,0)))</f>
        <v/>
      </c>
      <c r="H256" s="279">
        <f>IF(H$1=0,"",IF($B256&lt;H$23,H255+PPMT(H$26/12,$B256,H$23,H$235,-H$27,0),IF($B256=H$23,H255+PPMT(H$26/12,$B256,H$23,H$235,-H$27,0)-H$27,0)))</f>
        <v/>
      </c>
      <c r="I256" s="279">
        <f>IF(I$1=0,"",IF($B256&lt;I$23,I255+PPMT(I$26/12,$B256,I$23,I$235,-I$27,0),IF($B256=I$23,I255+PPMT(I$26/12,$B256,I$23,I$235,-I$27,0)-I$27,0)))</f>
        <v/>
      </c>
      <c r="J256" s="279">
        <f>IF(J$1=0,"",IF($B256&lt;J$23,J255+PPMT(J$26/12,$B256,J$23,J$235,-J$27,0),IF($B256=J$23,J255+PPMT(J$26/12,$B256,J$23,J$235,-J$27,0)-J$27,0)))</f>
        <v/>
      </c>
      <c r="K256" s="279">
        <f>IF(K$1=0,"",IF($B256&lt;K$23,K255+PPMT(K$26/12,$B256,K$23,K$235,-K$27,0),IF($B256=K$23,K255+PPMT(K$26/12,$B256,K$23,K$235,-K$27,0)-K$27,0)))</f>
        <v/>
      </c>
      <c r="L256" s="279">
        <f>IF(L$1=0,"",IF($B256&lt;L$23,L255+PPMT(L$26/12,$B256,L$23,L$235,-L$27,0),IF($B256=L$23,L255+PPMT(L$26/12,$B256,L$23,L$235,-L$27,0)-L$27,0)))</f>
        <v/>
      </c>
      <c r="M256" s="279">
        <f>IF(M$1=0,"",IF($B256&lt;M$23,M255+PPMT(M$26/12,$B256,M$23,M$235,-M$27,0),IF($B256=M$23,M255+PPMT(M$26/12,$B256,M$23,M$235,-M$27,0)-M$27,0)))</f>
        <v/>
      </c>
      <c r="N256" s="280" t="n"/>
      <c r="O256" s="281" t="n"/>
    </row>
    <row r="257" hidden="1" outlineLevel="1">
      <c r="B257" s="2">
        <f>B256+1</f>
        <v/>
      </c>
      <c r="D257" s="279">
        <f>IF(B257&lt;$D$24,(+CALCULETTE!G654/CALCULETTE!$B$612),0)</f>
        <v/>
      </c>
      <c r="E257" s="279">
        <f>IF(E$1=0,"",IF($B257&lt;E$23,E256+PPMT(E$26/12,$B257,E$23,E$235,-E$27,0),IF($B257=E$23,E256+PPMT(E$26/12,$B257,E$23,E$235,-E$27,0)-E$27,0)))</f>
        <v/>
      </c>
      <c r="F257" s="279">
        <f>IF(F$1=0,"",IF($B257&lt;F$23,F256+PPMT(F$26/12,$B257,F$23,F$235,-F$27,0),IF($B257=F$23,F256+PPMT(F$26/12,$B257,F$23,F$235,-F$27,0)-F$27,0)))</f>
        <v/>
      </c>
      <c r="G257" s="279">
        <f>IF(G$1=0,"",IF($B257&lt;G$23,G256+PPMT(G$26/12,$B257,G$23,G$235,-G$27,0),IF($B257=G$23,G256+PPMT(G$26/12,$B257,G$23,G$235,-G$27,0)-G$27,0)))</f>
        <v/>
      </c>
      <c r="H257" s="279">
        <f>IF(H$1=0,"",IF($B257&lt;H$23,H256+PPMT(H$26/12,$B257,H$23,H$235,-H$27,0),IF($B257=H$23,H256+PPMT(H$26/12,$B257,H$23,H$235,-H$27,0)-H$27,0)))</f>
        <v/>
      </c>
      <c r="I257" s="279">
        <f>IF(I$1=0,"",IF($B257&lt;I$23,I256+PPMT(I$26/12,$B257,I$23,I$235,-I$27,0),IF($B257=I$23,I256+PPMT(I$26/12,$B257,I$23,I$235,-I$27,0)-I$27,0)))</f>
        <v/>
      </c>
      <c r="J257" s="279">
        <f>IF(J$1=0,"",IF($B257&lt;J$23,J256+PPMT(J$26/12,$B257,J$23,J$235,-J$27,0),IF($B257=J$23,J256+PPMT(J$26/12,$B257,J$23,J$235,-J$27,0)-J$27,0)))</f>
        <v/>
      </c>
      <c r="K257" s="279">
        <f>IF(K$1=0,"",IF($B257&lt;K$23,K256+PPMT(K$26/12,$B257,K$23,K$235,-K$27,0),IF($B257=K$23,K256+PPMT(K$26/12,$B257,K$23,K$235,-K$27,0)-K$27,0)))</f>
        <v/>
      </c>
      <c r="L257" s="279">
        <f>IF(L$1=0,"",IF($B257&lt;L$23,L256+PPMT(L$26/12,$B257,L$23,L$235,-L$27,0),IF($B257=L$23,L256+PPMT(L$26/12,$B257,L$23,L$235,-L$27,0)-L$27,0)))</f>
        <v/>
      </c>
      <c r="M257" s="279">
        <f>IF(M$1=0,"",IF($B257&lt;M$23,M256+PPMT(M$26/12,$B257,M$23,M$235,-M$27,0),IF($B257=M$23,M256+PPMT(M$26/12,$B257,M$23,M$235,-M$27,0)-M$27,0)))</f>
        <v/>
      </c>
      <c r="N257" s="280" t="n"/>
      <c r="O257" s="281" t="n"/>
    </row>
    <row r="258" hidden="1" outlineLevel="1">
      <c r="B258" s="2">
        <f>B257+1</f>
        <v/>
      </c>
      <c r="D258" s="279">
        <f>IF(B258&lt;$D$24,(+CALCULETTE!G655/CALCULETTE!$B$612),0)</f>
        <v/>
      </c>
      <c r="E258" s="279">
        <f>IF(E$1=0,"",IF($B258&lt;E$23,E257+PPMT(E$26/12,$B258,E$23,E$235,-E$27,0),IF($B258=E$23,E257+PPMT(E$26/12,$B258,E$23,E$235,-E$27,0)-E$27,0)))</f>
        <v/>
      </c>
      <c r="F258" s="279">
        <f>IF(F$1=0,"",IF($B258&lt;F$23,F257+PPMT(F$26/12,$B258,F$23,F$235,-F$27,0),IF($B258=F$23,F257+PPMT(F$26/12,$B258,F$23,F$235,-F$27,0)-F$27,0)))</f>
        <v/>
      </c>
      <c r="G258" s="279">
        <f>IF(G$1=0,"",IF($B258&lt;G$23,G257+PPMT(G$26/12,$B258,G$23,G$235,-G$27,0),IF($B258=G$23,G257+PPMT(G$26/12,$B258,G$23,G$235,-G$27,0)-G$27,0)))</f>
        <v/>
      </c>
      <c r="H258" s="279">
        <f>IF(H$1=0,"",IF($B258&lt;H$23,H257+PPMT(H$26/12,$B258,H$23,H$235,-H$27,0),IF($B258=H$23,H257+PPMT(H$26/12,$B258,H$23,H$235,-H$27,0)-H$27,0)))</f>
        <v/>
      </c>
      <c r="I258" s="279">
        <f>IF(I$1=0,"",IF($B258&lt;I$23,I257+PPMT(I$26/12,$B258,I$23,I$235,-I$27,0),IF($B258=I$23,I257+PPMT(I$26/12,$B258,I$23,I$235,-I$27,0)-I$27,0)))</f>
        <v/>
      </c>
      <c r="J258" s="279">
        <f>IF(J$1=0,"",IF($B258&lt;J$23,J257+PPMT(J$26/12,$B258,J$23,J$235,-J$27,0),IF($B258=J$23,J257+PPMT(J$26/12,$B258,J$23,J$235,-J$27,0)-J$27,0)))</f>
        <v/>
      </c>
      <c r="K258" s="279">
        <f>IF(K$1=0,"",IF($B258&lt;K$23,K257+PPMT(K$26/12,$B258,K$23,K$235,-K$27,0),IF($B258=K$23,K257+PPMT(K$26/12,$B258,K$23,K$235,-K$27,0)-K$27,0)))</f>
        <v/>
      </c>
      <c r="L258" s="279">
        <f>IF(L$1=0,"",IF($B258&lt;L$23,L257+PPMT(L$26/12,$B258,L$23,L$235,-L$27,0),IF($B258=L$23,L257+PPMT(L$26/12,$B258,L$23,L$235,-L$27,0)-L$27,0)))</f>
        <v/>
      </c>
      <c r="M258" s="279">
        <f>IF(M$1=0,"",IF($B258&lt;M$23,M257+PPMT(M$26/12,$B258,M$23,M$235,-M$27,0),IF($B258=M$23,M257+PPMT(M$26/12,$B258,M$23,M$235,-M$27,0)-M$27,0)))</f>
        <v/>
      </c>
      <c r="N258" s="280" t="n"/>
      <c r="O258" s="281" t="n"/>
    </row>
    <row r="259" hidden="1" outlineLevel="1">
      <c r="B259" s="2">
        <f>B258+1</f>
        <v/>
      </c>
      <c r="D259" s="279">
        <f>IF(B259&lt;$D$24,(+CALCULETTE!G656/CALCULETTE!$B$612),0)</f>
        <v/>
      </c>
      <c r="E259" s="279">
        <f>IF(E$1=0,"",IF($B259&lt;E$23,E258+PPMT(E$26/12,$B259,E$23,E$235,-E$27,0),IF($B259=E$23,E258+PPMT(E$26/12,$B259,E$23,E$235,-E$27,0)-E$27,0)))</f>
        <v/>
      </c>
      <c r="F259" s="279">
        <f>IF(F$1=0,"",IF($B259&lt;F$23,F258+PPMT(F$26/12,$B259,F$23,F$235,-F$27,0),IF($B259=F$23,F258+PPMT(F$26/12,$B259,F$23,F$235,-F$27,0)-F$27,0)))</f>
        <v/>
      </c>
      <c r="G259" s="279">
        <f>IF(G$1=0,"",IF($B259&lt;G$23,G258+PPMT(G$26/12,$B259,G$23,G$235,-G$27,0),IF($B259=G$23,G258+PPMT(G$26/12,$B259,G$23,G$235,-G$27,0)-G$27,0)))</f>
        <v/>
      </c>
      <c r="H259" s="279">
        <f>IF(H$1=0,"",IF($B259&lt;H$23,H258+PPMT(H$26/12,$B259,H$23,H$235,-H$27,0),IF($B259=H$23,H258+PPMT(H$26/12,$B259,H$23,H$235,-H$27,0)-H$27,0)))</f>
        <v/>
      </c>
      <c r="I259" s="279">
        <f>IF(I$1=0,"",IF($B259&lt;I$23,I258+PPMT(I$26/12,$B259,I$23,I$235,-I$27,0),IF($B259=I$23,I258+PPMT(I$26/12,$B259,I$23,I$235,-I$27,0)-I$27,0)))</f>
        <v/>
      </c>
      <c r="J259" s="279">
        <f>IF(J$1=0,"",IF($B259&lt;J$23,J258+PPMT(J$26/12,$B259,J$23,J$235,-J$27,0),IF($B259=J$23,J258+PPMT(J$26/12,$B259,J$23,J$235,-J$27,0)-J$27,0)))</f>
        <v/>
      </c>
      <c r="K259" s="279">
        <f>IF(K$1=0,"",IF($B259&lt;K$23,K258+PPMT(K$26/12,$B259,K$23,K$235,-K$27,0),IF($B259=K$23,K258+PPMT(K$26/12,$B259,K$23,K$235,-K$27,0)-K$27,0)))</f>
        <v/>
      </c>
      <c r="L259" s="279">
        <f>IF(L$1=0,"",IF($B259&lt;L$23,L258+PPMT(L$26/12,$B259,L$23,L$235,-L$27,0),IF($B259=L$23,L258+PPMT(L$26/12,$B259,L$23,L$235,-L$27,0)-L$27,0)))</f>
        <v/>
      </c>
      <c r="M259" s="279">
        <f>IF(M$1=0,"",IF($B259&lt;M$23,M258+PPMT(M$26/12,$B259,M$23,M$235,-M$27,0),IF($B259=M$23,M258+PPMT(M$26/12,$B259,M$23,M$235,-M$27,0)-M$27,0)))</f>
        <v/>
      </c>
      <c r="N259" s="280" t="n"/>
      <c r="O259" s="281" t="n"/>
    </row>
    <row r="260" hidden="1" outlineLevel="1">
      <c r="B260" s="2">
        <f>B259+1</f>
        <v/>
      </c>
      <c r="D260" s="279">
        <f>IF(B260&lt;$D$24,(+CALCULETTE!G657/CALCULETTE!$B$612),0)</f>
        <v/>
      </c>
      <c r="E260" s="279">
        <f>IF(E$1=0,"",IF($B260&lt;E$23,E259+PPMT(E$26/12,$B260,E$23,E$235,-E$27,0),IF($B260=E$23,E259+PPMT(E$26/12,$B260,E$23,E$235,-E$27,0)-E$27,0)))</f>
        <v/>
      </c>
      <c r="F260" s="279">
        <f>IF(F$1=0,"",IF($B260&lt;F$23,F259+PPMT(F$26/12,$B260,F$23,F$235,-F$27,0),IF($B260=F$23,F259+PPMT(F$26/12,$B260,F$23,F$235,-F$27,0)-F$27,0)))</f>
        <v/>
      </c>
      <c r="G260" s="279">
        <f>IF(G$1=0,"",IF($B260&lt;G$23,G259+PPMT(G$26/12,$B260,G$23,G$235,-G$27,0),IF($B260=G$23,G259+PPMT(G$26/12,$B260,G$23,G$235,-G$27,0)-G$27,0)))</f>
        <v/>
      </c>
      <c r="H260" s="279">
        <f>IF(H$1=0,"",IF($B260&lt;H$23,H259+PPMT(H$26/12,$B260,H$23,H$235,-H$27,0),IF($B260=H$23,H259+PPMT(H$26/12,$B260,H$23,H$235,-H$27,0)-H$27,0)))</f>
        <v/>
      </c>
      <c r="I260" s="279">
        <f>IF(I$1=0,"",IF($B260&lt;I$23,I259+PPMT(I$26/12,$B260,I$23,I$235,-I$27,0),IF($B260=I$23,I259+PPMT(I$26/12,$B260,I$23,I$235,-I$27,0)-I$27,0)))</f>
        <v/>
      </c>
      <c r="J260" s="279">
        <f>IF(J$1=0,"",IF($B260&lt;J$23,J259+PPMT(J$26/12,$B260,J$23,J$235,-J$27,0),IF($B260=J$23,J259+PPMT(J$26/12,$B260,J$23,J$235,-J$27,0)-J$27,0)))</f>
        <v/>
      </c>
      <c r="K260" s="279">
        <f>IF(K$1=0,"",IF($B260&lt;K$23,K259+PPMT(K$26/12,$B260,K$23,K$235,-K$27,0),IF($B260=K$23,K259+PPMT(K$26/12,$B260,K$23,K$235,-K$27,0)-K$27,0)))</f>
        <v/>
      </c>
      <c r="L260" s="279">
        <f>IF(L$1=0,"",IF($B260&lt;L$23,L259+PPMT(L$26/12,$B260,L$23,L$235,-L$27,0),IF($B260=L$23,L259+PPMT(L$26/12,$B260,L$23,L$235,-L$27,0)-L$27,0)))</f>
        <v/>
      </c>
      <c r="M260" s="279">
        <f>IF(M$1=0,"",IF($B260&lt;M$23,M259+PPMT(M$26/12,$B260,M$23,M$235,-M$27,0),IF($B260=M$23,M259+PPMT(M$26/12,$B260,M$23,M$235,-M$27,0)-M$27,0)))</f>
        <v/>
      </c>
      <c r="N260" s="280" t="n"/>
      <c r="O260" s="281" t="n"/>
    </row>
    <row r="261" hidden="1" outlineLevel="1">
      <c r="B261" s="2">
        <f>B260+1</f>
        <v/>
      </c>
      <c r="D261" s="279">
        <f>IF(B261&lt;$D$24,(+CALCULETTE!G658/CALCULETTE!$B$612),0)</f>
        <v/>
      </c>
      <c r="E261" s="279">
        <f>IF(E$1=0,"",IF($B261&lt;E$23,E260+PPMT(E$26/12,$B261,E$23,E$235,-E$27,0),IF($B261=E$23,E260+PPMT(E$26/12,$B261,E$23,E$235,-E$27,0)-E$27,0)))</f>
        <v/>
      </c>
      <c r="F261" s="279">
        <f>IF(F$1=0,"",IF($B261&lt;F$23,F260+PPMT(F$26/12,$B261,F$23,F$235,-F$27,0),IF($B261=F$23,F260+PPMT(F$26/12,$B261,F$23,F$235,-F$27,0)-F$27,0)))</f>
        <v/>
      </c>
      <c r="G261" s="279">
        <f>IF(G$1=0,"",IF($B261&lt;G$23,G260+PPMT(G$26/12,$B261,G$23,G$235,-G$27,0),IF($B261=G$23,G260+PPMT(G$26/12,$B261,G$23,G$235,-G$27,0)-G$27,0)))</f>
        <v/>
      </c>
      <c r="H261" s="279">
        <f>IF(H$1=0,"",IF($B261&lt;H$23,H260+PPMT(H$26/12,$B261,H$23,H$235,-H$27,0),IF($B261=H$23,H260+PPMT(H$26/12,$B261,H$23,H$235,-H$27,0)-H$27,0)))</f>
        <v/>
      </c>
      <c r="I261" s="279">
        <f>IF(I$1=0,"",IF($B261&lt;I$23,I260+PPMT(I$26/12,$B261,I$23,I$235,-I$27,0),IF($B261=I$23,I260+PPMT(I$26/12,$B261,I$23,I$235,-I$27,0)-I$27,0)))</f>
        <v/>
      </c>
      <c r="J261" s="279">
        <f>IF(J$1=0,"",IF($B261&lt;J$23,J260+PPMT(J$26/12,$B261,J$23,J$235,-J$27,0),IF($B261=J$23,J260+PPMT(J$26/12,$B261,J$23,J$235,-J$27,0)-J$27,0)))</f>
        <v/>
      </c>
      <c r="K261" s="279">
        <f>IF(K$1=0,"",IF($B261&lt;K$23,K260+PPMT(K$26/12,$B261,K$23,K$235,-K$27,0),IF($B261=K$23,K260+PPMT(K$26/12,$B261,K$23,K$235,-K$27,0)-K$27,0)))</f>
        <v/>
      </c>
      <c r="L261" s="279">
        <f>IF(L$1=0,"",IF($B261&lt;L$23,L260+PPMT(L$26/12,$B261,L$23,L$235,-L$27,0),IF($B261=L$23,L260+PPMT(L$26/12,$B261,L$23,L$235,-L$27,0)-L$27,0)))</f>
        <v/>
      </c>
      <c r="M261" s="279">
        <f>IF(M$1=0,"",IF($B261&lt;M$23,M260+PPMT(M$26/12,$B261,M$23,M$235,-M$27,0),IF($B261=M$23,M260+PPMT(M$26/12,$B261,M$23,M$235,-M$27,0)-M$27,0)))</f>
        <v/>
      </c>
      <c r="N261" s="280" t="n"/>
      <c r="O261" s="281" t="n"/>
    </row>
    <row r="262" hidden="1" outlineLevel="1">
      <c r="B262" s="2">
        <f>B261+1</f>
        <v/>
      </c>
      <c r="D262" s="279">
        <f>IF(B262&lt;$D$24,(+CALCULETTE!G659/CALCULETTE!$B$612),0)</f>
        <v/>
      </c>
      <c r="E262" s="279">
        <f>IF(E$1=0,"",IF($B262&lt;E$23,E261+PPMT(E$26/12,$B262,E$23,E$235,-E$27,0),IF($B262=E$23,E261+PPMT(E$26/12,$B262,E$23,E$235,-E$27,0)-E$27,0)))</f>
        <v/>
      </c>
      <c r="F262" s="279">
        <f>IF(F$1=0,"",IF($B262&lt;F$23,F261+PPMT(F$26/12,$B262,F$23,F$235,-F$27,0),IF($B262=F$23,F261+PPMT(F$26/12,$B262,F$23,F$235,-F$27,0)-F$27,0)))</f>
        <v/>
      </c>
      <c r="G262" s="279">
        <f>IF(G$1=0,"",IF($B262&lt;G$23,G261+PPMT(G$26/12,$B262,G$23,G$235,-G$27,0),IF($B262=G$23,G261+PPMT(G$26/12,$B262,G$23,G$235,-G$27,0)-G$27,0)))</f>
        <v/>
      </c>
      <c r="H262" s="279">
        <f>IF(H$1=0,"",IF($B262&lt;H$23,H261+PPMT(H$26/12,$B262,H$23,H$235,-H$27,0),IF($B262=H$23,H261+PPMT(H$26/12,$B262,H$23,H$235,-H$27,0)-H$27,0)))</f>
        <v/>
      </c>
      <c r="I262" s="279">
        <f>IF(I$1=0,"",IF($B262&lt;I$23,I261+PPMT(I$26/12,$B262,I$23,I$235,-I$27,0),IF($B262=I$23,I261+PPMT(I$26/12,$B262,I$23,I$235,-I$27,0)-I$27,0)))</f>
        <v/>
      </c>
      <c r="J262" s="279">
        <f>IF(J$1=0,"",IF($B262&lt;J$23,J261+PPMT(J$26/12,$B262,J$23,J$235,-J$27,0),IF($B262=J$23,J261+PPMT(J$26/12,$B262,J$23,J$235,-J$27,0)-J$27,0)))</f>
        <v/>
      </c>
      <c r="K262" s="279">
        <f>IF(K$1=0,"",IF($B262&lt;K$23,K261+PPMT(K$26/12,$B262,K$23,K$235,-K$27,0),IF($B262=K$23,K261+PPMT(K$26/12,$B262,K$23,K$235,-K$27,0)-K$27,0)))</f>
        <v/>
      </c>
      <c r="L262" s="279">
        <f>IF(L$1=0,"",IF($B262&lt;L$23,L261+PPMT(L$26/12,$B262,L$23,L$235,-L$27,0),IF($B262=L$23,L261+PPMT(L$26/12,$B262,L$23,L$235,-L$27,0)-L$27,0)))</f>
        <v/>
      </c>
      <c r="M262" s="279">
        <f>IF(M$1=0,"",IF($B262&lt;M$23,M261+PPMT(M$26/12,$B262,M$23,M$235,-M$27,0),IF($B262=M$23,M261+PPMT(M$26/12,$B262,M$23,M$235,-M$27,0)-M$27,0)))</f>
        <v/>
      </c>
      <c r="N262" s="280" t="n"/>
      <c r="O262" s="281" t="n"/>
    </row>
    <row r="263" hidden="1" outlineLevel="1">
      <c r="B263" s="2">
        <f>B262+1</f>
        <v/>
      </c>
      <c r="D263" s="279">
        <f>IF(B263&lt;$D$24,(+CALCULETTE!G660/CALCULETTE!$B$612),0)</f>
        <v/>
      </c>
      <c r="E263" s="279">
        <f>IF(E$1=0,"",IF($B263&lt;E$23,E262+PPMT(E$26/12,$B263,E$23,E$235,-E$27,0),IF($B263=E$23,E262+PPMT(E$26/12,$B263,E$23,E$235,-E$27,0)-E$27,0)))</f>
        <v/>
      </c>
      <c r="F263" s="279">
        <f>IF(F$1=0,"",IF($B263&lt;F$23,F262+PPMT(F$26/12,$B263,F$23,F$235,-F$27,0),IF($B263=F$23,F262+PPMT(F$26/12,$B263,F$23,F$235,-F$27,0)-F$27,0)))</f>
        <v/>
      </c>
      <c r="G263" s="279">
        <f>IF(G$1=0,"",IF($B263&lt;G$23,G262+PPMT(G$26/12,$B263,G$23,G$235,-G$27,0),IF($B263=G$23,G262+PPMT(G$26/12,$B263,G$23,G$235,-G$27,0)-G$27,0)))</f>
        <v/>
      </c>
      <c r="H263" s="279">
        <f>IF(H$1=0,"",IF($B263&lt;H$23,H262+PPMT(H$26/12,$B263,H$23,H$235,-H$27,0),IF($B263=H$23,H262+PPMT(H$26/12,$B263,H$23,H$235,-H$27,0)-H$27,0)))</f>
        <v/>
      </c>
      <c r="I263" s="279">
        <f>IF(I$1=0,"",IF($B263&lt;I$23,I262+PPMT(I$26/12,$B263,I$23,I$235,-I$27,0),IF($B263=I$23,I262+PPMT(I$26/12,$B263,I$23,I$235,-I$27,0)-I$27,0)))</f>
        <v/>
      </c>
      <c r="J263" s="279">
        <f>IF(J$1=0,"",IF($B263&lt;J$23,J262+PPMT(J$26/12,$B263,J$23,J$235,-J$27,0),IF($B263=J$23,J262+PPMT(J$26/12,$B263,J$23,J$235,-J$27,0)-J$27,0)))</f>
        <v/>
      </c>
      <c r="K263" s="279">
        <f>IF(K$1=0,"",IF($B263&lt;K$23,K262+PPMT(K$26/12,$B263,K$23,K$235,-K$27,0),IF($B263=K$23,K262+PPMT(K$26/12,$B263,K$23,K$235,-K$27,0)-K$27,0)))</f>
        <v/>
      </c>
      <c r="L263" s="279">
        <f>IF(L$1=0,"",IF($B263&lt;L$23,L262+PPMT(L$26/12,$B263,L$23,L$235,-L$27,0),IF($B263=L$23,L262+PPMT(L$26/12,$B263,L$23,L$235,-L$27,0)-L$27,0)))</f>
        <v/>
      </c>
      <c r="M263" s="279">
        <f>IF(M$1=0,"",IF($B263&lt;M$23,M262+PPMT(M$26/12,$B263,M$23,M$235,-M$27,0),IF($B263=M$23,M262+PPMT(M$26/12,$B263,M$23,M$235,-M$27,0)-M$27,0)))</f>
        <v/>
      </c>
      <c r="N263" s="280" t="n"/>
      <c r="O263" s="281" t="n"/>
    </row>
    <row r="264" hidden="1" outlineLevel="1">
      <c r="B264" s="2">
        <f>B263+1</f>
        <v/>
      </c>
      <c r="D264" s="279">
        <f>IF(B264&lt;$D$24,(+CALCULETTE!G661/CALCULETTE!$B$612),0)</f>
        <v/>
      </c>
      <c r="E264" s="279">
        <f>IF(E$1=0,"",IF($B264&lt;E$23,E263+PPMT(E$26/12,$B264,E$23,E$235,-E$27,0),IF($B264=E$23,E263+PPMT(E$26/12,$B264,E$23,E$235,-E$27,0)-E$27,0)))</f>
        <v/>
      </c>
      <c r="F264" s="279">
        <f>IF(F$1=0,"",IF($B264&lt;F$23,F263+PPMT(F$26/12,$B264,F$23,F$235,-F$27,0),IF($B264=F$23,F263+PPMT(F$26/12,$B264,F$23,F$235,-F$27,0)-F$27,0)))</f>
        <v/>
      </c>
      <c r="G264" s="279">
        <f>IF(G$1=0,"",IF($B264&lt;G$23,G263+PPMT(G$26/12,$B264,G$23,G$235,-G$27,0),IF($B264=G$23,G263+PPMT(G$26/12,$B264,G$23,G$235,-G$27,0)-G$27,0)))</f>
        <v/>
      </c>
      <c r="H264" s="279">
        <f>IF(H$1=0,"",IF($B264&lt;H$23,H263+PPMT(H$26/12,$B264,H$23,H$235,-H$27,0),IF($B264=H$23,H263+PPMT(H$26/12,$B264,H$23,H$235,-H$27,0)-H$27,0)))</f>
        <v/>
      </c>
      <c r="I264" s="279">
        <f>IF(I$1=0,"",IF($B264&lt;I$23,I263+PPMT(I$26/12,$B264,I$23,I$235,-I$27,0),IF($B264=I$23,I263+PPMT(I$26/12,$B264,I$23,I$235,-I$27,0)-I$27,0)))</f>
        <v/>
      </c>
      <c r="J264" s="279">
        <f>IF(J$1=0,"",IF($B264&lt;J$23,J263+PPMT(J$26/12,$B264,J$23,J$235,-J$27,0),IF($B264=J$23,J263+PPMT(J$26/12,$B264,J$23,J$235,-J$27,0)-J$27,0)))</f>
        <v/>
      </c>
      <c r="K264" s="279">
        <f>IF(K$1=0,"",IF($B264&lt;K$23,K263+PPMT(K$26/12,$B264,K$23,K$235,-K$27,0),IF($B264=K$23,K263+PPMT(K$26/12,$B264,K$23,K$235,-K$27,0)-K$27,0)))</f>
        <v/>
      </c>
      <c r="L264" s="279">
        <f>IF(L$1=0,"",IF($B264&lt;L$23,L263+PPMT(L$26/12,$B264,L$23,L$235,-L$27,0),IF($B264=L$23,L263+PPMT(L$26/12,$B264,L$23,L$235,-L$27,0)-L$27,0)))</f>
        <v/>
      </c>
      <c r="M264" s="279">
        <f>IF(M$1=0,"",IF($B264&lt;M$23,M263+PPMT(M$26/12,$B264,M$23,M$235,-M$27,0),IF($B264=M$23,M263+PPMT(M$26/12,$B264,M$23,M$235,-M$27,0)-M$27,0)))</f>
        <v/>
      </c>
      <c r="N264" s="280" t="n"/>
      <c r="O264" s="281" t="n"/>
    </row>
    <row r="265" hidden="1" outlineLevel="1">
      <c r="B265" s="2">
        <f>B264+1</f>
        <v/>
      </c>
      <c r="D265" s="279">
        <f>IF(B265&lt;$D$24,(+CALCULETTE!G662/CALCULETTE!$B$612),0)</f>
        <v/>
      </c>
      <c r="E265" s="279">
        <f>IF(E$1=0,"",IF($B265&lt;E$23,E264+PPMT(E$26/12,$B265,E$23,E$235,-E$27,0),IF($B265=E$23,E264+PPMT(E$26/12,$B265,E$23,E$235,-E$27,0)-E$27,0)))</f>
        <v/>
      </c>
      <c r="F265" s="279">
        <f>IF(F$1=0,"",IF($B265&lt;F$23,F264+PPMT(F$26/12,$B265,F$23,F$235,-F$27,0),IF($B265=F$23,F264+PPMT(F$26/12,$B265,F$23,F$235,-F$27,0)-F$27,0)))</f>
        <v/>
      </c>
      <c r="G265" s="279">
        <f>IF(G$1=0,"",IF($B265&lt;G$23,G264+PPMT(G$26/12,$B265,G$23,G$235,-G$27,0),IF($B265=G$23,G264+PPMT(G$26/12,$B265,G$23,G$235,-G$27,0)-G$27,0)))</f>
        <v/>
      </c>
      <c r="H265" s="279">
        <f>IF(H$1=0,"",IF($B265&lt;H$23,H264+PPMT(H$26/12,$B265,H$23,H$235,-H$27,0),IF($B265=H$23,H264+PPMT(H$26/12,$B265,H$23,H$235,-H$27,0)-H$27,0)))</f>
        <v/>
      </c>
      <c r="I265" s="279">
        <f>IF(I$1=0,"",IF($B265&lt;I$23,I264+PPMT(I$26/12,$B265,I$23,I$235,-I$27,0),IF($B265=I$23,I264+PPMT(I$26/12,$B265,I$23,I$235,-I$27,0)-I$27,0)))</f>
        <v/>
      </c>
      <c r="J265" s="279">
        <f>IF(J$1=0,"",IF($B265&lt;J$23,J264+PPMT(J$26/12,$B265,J$23,J$235,-J$27,0),IF($B265=J$23,J264+PPMT(J$26/12,$B265,J$23,J$235,-J$27,0)-J$27,0)))</f>
        <v/>
      </c>
      <c r="K265" s="279">
        <f>IF(K$1=0,"",IF($B265&lt;K$23,K264+PPMT(K$26/12,$B265,K$23,K$235,-K$27,0),IF($B265=K$23,K264+PPMT(K$26/12,$B265,K$23,K$235,-K$27,0)-K$27,0)))</f>
        <v/>
      </c>
      <c r="L265" s="279">
        <f>IF(L$1=0,"",IF($B265&lt;L$23,L264+PPMT(L$26/12,$B265,L$23,L$235,-L$27,0),IF($B265=L$23,L264+PPMT(L$26/12,$B265,L$23,L$235,-L$27,0)-L$27,0)))</f>
        <v/>
      </c>
      <c r="M265" s="279">
        <f>IF(M$1=0,"",IF($B265&lt;M$23,M264+PPMT(M$26/12,$B265,M$23,M$235,-M$27,0),IF($B265=M$23,M264+PPMT(M$26/12,$B265,M$23,M$235,-M$27,0)-M$27,0)))</f>
        <v/>
      </c>
      <c r="N265" s="280" t="n"/>
      <c r="O265" s="281" t="n"/>
    </row>
    <row r="266" hidden="1" outlineLevel="1">
      <c r="B266" s="2">
        <f>B265+1</f>
        <v/>
      </c>
      <c r="D266" s="279">
        <f>IF(B266&lt;$D$24,(+CALCULETTE!G663/CALCULETTE!$B$612),0)</f>
        <v/>
      </c>
      <c r="E266" s="279">
        <f>IF(E$1=0,"",IF($B266&lt;E$23,E265+PPMT(E$26/12,$B266,E$23,E$235,-E$27,0),IF($B266=E$23,E265+PPMT(E$26/12,$B266,E$23,E$235,-E$27,0)-E$27,0)))</f>
        <v/>
      </c>
      <c r="F266" s="279">
        <f>IF(F$1=0,"",IF($B266&lt;F$23,F265+PPMT(F$26/12,$B266,F$23,F$235,-F$27,0),IF($B266=F$23,F265+PPMT(F$26/12,$B266,F$23,F$235,-F$27,0)-F$27,0)))</f>
        <v/>
      </c>
      <c r="G266" s="279">
        <f>IF(G$1=0,"",IF($B266&lt;G$23,G265+PPMT(G$26/12,$B266,G$23,G$235,-G$27,0),IF($B266=G$23,G265+PPMT(G$26/12,$B266,G$23,G$235,-G$27,0)-G$27,0)))</f>
        <v/>
      </c>
      <c r="H266" s="279">
        <f>IF(H$1=0,"",IF($B266&lt;H$23,H265+PPMT(H$26/12,$B266,H$23,H$235,-H$27,0),IF($B266=H$23,H265+PPMT(H$26/12,$B266,H$23,H$235,-H$27,0)-H$27,0)))</f>
        <v/>
      </c>
      <c r="I266" s="279">
        <f>IF(I$1=0,"",IF($B266&lt;I$23,I265+PPMT(I$26/12,$B266,I$23,I$235,-I$27,0),IF($B266=I$23,I265+PPMT(I$26/12,$B266,I$23,I$235,-I$27,0)-I$27,0)))</f>
        <v/>
      </c>
      <c r="J266" s="279">
        <f>IF(J$1=0,"",IF($B266&lt;J$23,J265+PPMT(J$26/12,$B266,J$23,J$235,-J$27,0),IF($B266=J$23,J265+PPMT(J$26/12,$B266,J$23,J$235,-J$27,0)-J$27,0)))</f>
        <v/>
      </c>
      <c r="K266" s="279">
        <f>IF(K$1=0,"",IF($B266&lt;K$23,K265+PPMT(K$26/12,$B266,K$23,K$235,-K$27,0),IF($B266=K$23,K265+PPMT(K$26/12,$B266,K$23,K$235,-K$27,0)-K$27,0)))</f>
        <v/>
      </c>
      <c r="L266" s="279">
        <f>IF(L$1=0,"",IF($B266&lt;L$23,L265+PPMT(L$26/12,$B266,L$23,L$235,-L$27,0),IF($B266=L$23,L265+PPMT(L$26/12,$B266,L$23,L$235,-L$27,0)-L$27,0)))</f>
        <v/>
      </c>
      <c r="M266" s="279">
        <f>IF(M$1=0,"",IF($B266&lt;M$23,M265+PPMT(M$26/12,$B266,M$23,M$235,-M$27,0),IF($B266=M$23,M265+PPMT(M$26/12,$B266,M$23,M$235,-M$27,0)-M$27,0)))</f>
        <v/>
      </c>
      <c r="N266" s="280" t="n"/>
      <c r="O266" s="281" t="n"/>
    </row>
    <row r="267" hidden="1" outlineLevel="1">
      <c r="B267" s="2">
        <f>B266+1</f>
        <v/>
      </c>
      <c r="D267" s="279">
        <f>IF(B267&lt;$D$24,(+CALCULETTE!G664/CALCULETTE!$B$612),0)</f>
        <v/>
      </c>
      <c r="E267" s="279">
        <f>IF(E$1=0,"",IF($B267&lt;E$23,E266+PPMT(E$26/12,$B267,E$23,E$235,-E$27,0),IF($B267=E$23,E266+PPMT(E$26/12,$B267,E$23,E$235,-E$27,0)-E$27,0)))</f>
        <v/>
      </c>
      <c r="F267" s="279">
        <f>IF(F$1=0,"",IF($B267&lt;F$23,F266+PPMT(F$26/12,$B267,F$23,F$235,-F$27,0),IF($B267=F$23,F266+PPMT(F$26/12,$B267,F$23,F$235,-F$27,0)-F$27,0)))</f>
        <v/>
      </c>
      <c r="G267" s="279">
        <f>IF(G$1=0,"",IF($B267&lt;G$23,G266+PPMT(G$26/12,$B267,G$23,G$235,-G$27,0),IF($B267=G$23,G266+PPMT(G$26/12,$B267,G$23,G$235,-G$27,0)-G$27,0)))</f>
        <v/>
      </c>
      <c r="H267" s="279">
        <f>IF(H$1=0,"",IF($B267&lt;H$23,H266+PPMT(H$26/12,$B267,H$23,H$235,-H$27,0),IF($B267=H$23,H266+PPMT(H$26/12,$B267,H$23,H$235,-H$27,0)-H$27,0)))</f>
        <v/>
      </c>
      <c r="I267" s="279">
        <f>IF(I$1=0,"",IF($B267&lt;I$23,I266+PPMT(I$26/12,$B267,I$23,I$235,-I$27,0),IF($B267=I$23,I266+PPMT(I$26/12,$B267,I$23,I$235,-I$27,0)-I$27,0)))</f>
        <v/>
      </c>
      <c r="J267" s="279">
        <f>IF(J$1=0,"",IF($B267&lt;J$23,J266+PPMT(J$26/12,$B267,J$23,J$235,-J$27,0),IF($B267=J$23,J266+PPMT(J$26/12,$B267,J$23,J$235,-J$27,0)-J$27,0)))</f>
        <v/>
      </c>
      <c r="K267" s="279">
        <f>IF(K$1=0,"",IF($B267&lt;K$23,K266+PPMT(K$26/12,$B267,K$23,K$235,-K$27,0),IF($B267=K$23,K266+PPMT(K$26/12,$B267,K$23,K$235,-K$27,0)-K$27,0)))</f>
        <v/>
      </c>
      <c r="L267" s="279">
        <f>IF(L$1=0,"",IF($B267&lt;L$23,L266+PPMT(L$26/12,$B267,L$23,L$235,-L$27,0),IF($B267=L$23,L266+PPMT(L$26/12,$B267,L$23,L$235,-L$27,0)-L$27,0)))</f>
        <v/>
      </c>
      <c r="M267" s="279">
        <f>IF(M$1=0,"",IF($B267&lt;M$23,M266+PPMT(M$26/12,$B267,M$23,M$235,-M$27,0),IF($B267=M$23,M266+PPMT(M$26/12,$B267,M$23,M$235,-M$27,0)-M$27,0)))</f>
        <v/>
      </c>
      <c r="N267" s="280" t="n"/>
      <c r="O267" s="281" t="n"/>
    </row>
    <row r="268" hidden="1" outlineLevel="1">
      <c r="B268" s="2">
        <f>B267+1</f>
        <v/>
      </c>
      <c r="D268" s="279">
        <f>IF(B268&lt;$D$24,(+CALCULETTE!G665/CALCULETTE!$B$612),0)</f>
        <v/>
      </c>
      <c r="E268" s="279">
        <f>IF(E$1=0,"",IF($B268&lt;E$23,E267+PPMT(E$26/12,$B268,E$23,E$235,-E$27,0),IF($B268=E$23,E267+PPMT(E$26/12,$B268,E$23,E$235,-E$27,0)-E$27,0)))</f>
        <v/>
      </c>
      <c r="F268" s="279">
        <f>IF(F$1=0,"",IF($B268&lt;F$23,F267+PPMT(F$26/12,$B268,F$23,F$235,-F$27,0),IF($B268=F$23,F267+PPMT(F$26/12,$B268,F$23,F$235,-F$27,0)-F$27,0)))</f>
        <v/>
      </c>
      <c r="G268" s="279">
        <f>IF(G$1=0,"",IF($B268&lt;G$23,G267+PPMT(G$26/12,$B268,G$23,G$235,-G$27,0),IF($B268=G$23,G267+PPMT(G$26/12,$B268,G$23,G$235,-G$27,0)-G$27,0)))</f>
        <v/>
      </c>
      <c r="H268" s="279">
        <f>IF(H$1=0,"",IF($B268&lt;H$23,H267+PPMT(H$26/12,$B268,H$23,H$235,-H$27,0),IF($B268=H$23,H267+PPMT(H$26/12,$B268,H$23,H$235,-H$27,0)-H$27,0)))</f>
        <v/>
      </c>
      <c r="I268" s="279">
        <f>IF(I$1=0,"",IF($B268&lt;I$23,I267+PPMT(I$26/12,$B268,I$23,I$235,-I$27,0),IF($B268=I$23,I267+PPMT(I$26/12,$B268,I$23,I$235,-I$27,0)-I$27,0)))</f>
        <v/>
      </c>
      <c r="J268" s="279">
        <f>IF(J$1=0,"",IF($B268&lt;J$23,J267+PPMT(J$26/12,$B268,J$23,J$235,-J$27,0),IF($B268=J$23,J267+PPMT(J$26/12,$B268,J$23,J$235,-J$27,0)-J$27,0)))</f>
        <v/>
      </c>
      <c r="K268" s="279">
        <f>IF(K$1=0,"",IF($B268&lt;K$23,K267+PPMT(K$26/12,$B268,K$23,K$235,-K$27,0),IF($B268=K$23,K267+PPMT(K$26/12,$B268,K$23,K$235,-K$27,0)-K$27,0)))</f>
        <v/>
      </c>
      <c r="L268" s="279">
        <f>IF(L$1=0,"",IF($B268&lt;L$23,L267+PPMT(L$26/12,$B268,L$23,L$235,-L$27,0),IF($B268=L$23,L267+PPMT(L$26/12,$B268,L$23,L$235,-L$27,0)-L$27,0)))</f>
        <v/>
      </c>
      <c r="M268" s="279">
        <f>IF(M$1=0,"",IF($B268&lt;M$23,M267+PPMT(M$26/12,$B268,M$23,M$235,-M$27,0),IF($B268=M$23,M267+PPMT(M$26/12,$B268,M$23,M$235,-M$27,0)-M$27,0)))</f>
        <v/>
      </c>
      <c r="N268" s="280" t="n"/>
      <c r="O268" s="281" t="n"/>
    </row>
    <row r="269" hidden="1" outlineLevel="1">
      <c r="B269" s="2">
        <f>B268+1</f>
        <v/>
      </c>
      <c r="D269" s="279">
        <f>IF(B269&lt;$D$24,(+CALCULETTE!G666/CALCULETTE!$B$612),0)</f>
        <v/>
      </c>
      <c r="E269" s="279">
        <f>IF(E$1=0,"",IF($B269&lt;E$23,E268+PPMT(E$26/12,$B269,E$23,E$235,-E$27,0),IF($B269=E$23,E268+PPMT(E$26/12,$B269,E$23,E$235,-E$27,0)-E$27,0)))</f>
        <v/>
      </c>
      <c r="F269" s="279">
        <f>IF(F$1=0,"",IF($B269&lt;F$23,F268+PPMT(F$26/12,$B269,F$23,F$235,-F$27,0),IF($B269=F$23,F268+PPMT(F$26/12,$B269,F$23,F$235,-F$27,0)-F$27,0)))</f>
        <v/>
      </c>
      <c r="G269" s="279">
        <f>IF(G$1=0,"",IF($B269&lt;G$23,G268+PPMT(G$26/12,$B269,G$23,G$235,-G$27,0),IF($B269=G$23,G268+PPMT(G$26/12,$B269,G$23,G$235,-G$27,0)-G$27,0)))</f>
        <v/>
      </c>
      <c r="H269" s="279">
        <f>IF(H$1=0,"",IF($B269&lt;H$23,H268+PPMT(H$26/12,$B269,H$23,H$235,-H$27,0),IF($B269=H$23,H268+PPMT(H$26/12,$B269,H$23,H$235,-H$27,0)-H$27,0)))</f>
        <v/>
      </c>
      <c r="I269" s="279">
        <f>IF(I$1=0,"",IF($B269&lt;I$23,I268+PPMT(I$26/12,$B269,I$23,I$235,-I$27,0),IF($B269=I$23,I268+PPMT(I$26/12,$B269,I$23,I$235,-I$27,0)-I$27,0)))</f>
        <v/>
      </c>
      <c r="J269" s="279">
        <f>IF(J$1=0,"",IF($B269&lt;J$23,J268+PPMT(J$26/12,$B269,J$23,J$235,-J$27,0),IF($B269=J$23,J268+PPMT(J$26/12,$B269,J$23,J$235,-J$27,0)-J$27,0)))</f>
        <v/>
      </c>
      <c r="K269" s="279">
        <f>IF(K$1=0,"",IF($B269&lt;K$23,K268+PPMT(K$26/12,$B269,K$23,K$235,-K$27,0),IF($B269=K$23,K268+PPMT(K$26/12,$B269,K$23,K$235,-K$27,0)-K$27,0)))</f>
        <v/>
      </c>
      <c r="L269" s="279">
        <f>IF(L$1=0,"",IF($B269&lt;L$23,L268+PPMT(L$26/12,$B269,L$23,L$235,-L$27,0),IF($B269=L$23,L268+PPMT(L$26/12,$B269,L$23,L$235,-L$27,0)-L$27,0)))</f>
        <v/>
      </c>
      <c r="M269" s="279">
        <f>IF(M$1=0,"",IF($B269&lt;M$23,M268+PPMT(M$26/12,$B269,M$23,M$235,-M$27,0),IF($B269=M$23,M268+PPMT(M$26/12,$B269,M$23,M$235,-M$27,0)-M$27,0)))</f>
        <v/>
      </c>
      <c r="N269" s="280" t="n"/>
      <c r="O269" s="281" t="n"/>
    </row>
    <row r="270" hidden="1" outlineLevel="1">
      <c r="B270" s="2">
        <f>B269+1</f>
        <v/>
      </c>
      <c r="D270" s="279">
        <f>IF(B270&lt;$D$24,(+CALCULETTE!G667/CALCULETTE!$B$612),0)</f>
        <v/>
      </c>
      <c r="E270" s="279">
        <f>IF(E$1=0,"",IF($B270&lt;E$23,E269+PPMT(E$26/12,$B270,E$23,E$235,-E$27,0),IF($B270=E$23,E269+PPMT(E$26/12,$B270,E$23,E$235,-E$27,0)-E$27,0)))</f>
        <v/>
      </c>
      <c r="F270" s="279">
        <f>IF(F$1=0,"",IF($B270&lt;F$23,F269+PPMT(F$26/12,$B270,F$23,F$235,-F$27,0),IF($B270=F$23,F269+PPMT(F$26/12,$B270,F$23,F$235,-F$27,0)-F$27,0)))</f>
        <v/>
      </c>
      <c r="G270" s="279">
        <f>IF(G$1=0,"",IF($B270&lt;G$23,G269+PPMT(G$26/12,$B270,G$23,G$235,-G$27,0),IF($B270=G$23,G269+PPMT(G$26/12,$B270,G$23,G$235,-G$27,0)-G$27,0)))</f>
        <v/>
      </c>
      <c r="H270" s="279">
        <f>IF(H$1=0,"",IF($B270&lt;H$23,H269+PPMT(H$26/12,$B270,H$23,H$235,-H$27,0),IF($B270=H$23,H269+PPMT(H$26/12,$B270,H$23,H$235,-H$27,0)-H$27,0)))</f>
        <v/>
      </c>
      <c r="I270" s="279">
        <f>IF(I$1=0,"",IF($B270&lt;I$23,I269+PPMT(I$26/12,$B270,I$23,I$235,-I$27,0),IF($B270=I$23,I269+PPMT(I$26/12,$B270,I$23,I$235,-I$27,0)-I$27,0)))</f>
        <v/>
      </c>
      <c r="J270" s="279">
        <f>IF(J$1=0,"",IF($B270&lt;J$23,J269+PPMT(J$26/12,$B270,J$23,J$235,-J$27,0),IF($B270=J$23,J269+PPMT(J$26/12,$B270,J$23,J$235,-J$27,0)-J$27,0)))</f>
        <v/>
      </c>
      <c r="K270" s="279">
        <f>IF(K$1=0,"",IF($B270&lt;K$23,K269+PPMT(K$26/12,$B270,K$23,K$235,-K$27,0),IF($B270=K$23,K269+PPMT(K$26/12,$B270,K$23,K$235,-K$27,0)-K$27,0)))</f>
        <v/>
      </c>
      <c r="L270" s="279">
        <f>IF(L$1=0,"",IF($B270&lt;L$23,L269+PPMT(L$26/12,$B270,L$23,L$235,-L$27,0),IF($B270=L$23,L269+PPMT(L$26/12,$B270,L$23,L$235,-L$27,0)-L$27,0)))</f>
        <v/>
      </c>
      <c r="M270" s="279">
        <f>IF(M$1=0,"",IF($B270&lt;M$23,M269+PPMT(M$26/12,$B270,M$23,M$235,-M$27,0),IF($B270=M$23,M269+PPMT(M$26/12,$B270,M$23,M$235,-M$27,0)-M$27,0)))</f>
        <v/>
      </c>
      <c r="N270" s="280" t="n"/>
      <c r="O270" s="281" t="n"/>
    </row>
    <row r="271" hidden="1" outlineLevel="1">
      <c r="B271" s="2">
        <f>B270+1</f>
        <v/>
      </c>
      <c r="D271" s="279">
        <f>IF(B271&lt;$D$24,(+CALCULETTE!G668/CALCULETTE!$B$612),0)</f>
        <v/>
      </c>
      <c r="E271" s="279">
        <f>IF(E$1=0,"",IF($B271&lt;E$23,E270+PPMT(E$26/12,$B271,E$23,E$235,-E$27,0),IF($B271=E$23,E270+PPMT(E$26/12,$B271,E$23,E$235,-E$27,0)-E$27,0)))</f>
        <v/>
      </c>
      <c r="F271" s="279">
        <f>IF(F$1=0,"",IF($B271&lt;F$23,F270+PPMT(F$26/12,$B271,F$23,F$235,-F$27,0),IF($B271=F$23,F270+PPMT(F$26/12,$B271,F$23,F$235,-F$27,0)-F$27,0)))</f>
        <v/>
      </c>
      <c r="G271" s="279">
        <f>IF(G$1=0,"",IF($B271&lt;G$23,G270+PPMT(G$26/12,$B271,G$23,G$235,-G$27,0),IF($B271=G$23,G270+PPMT(G$26/12,$B271,G$23,G$235,-G$27,0)-G$27,0)))</f>
        <v/>
      </c>
      <c r="H271" s="279">
        <f>IF(H$1=0,"",IF($B271&lt;H$23,H270+PPMT(H$26/12,$B271,H$23,H$235,-H$27,0),IF($B271=H$23,H270+PPMT(H$26/12,$B271,H$23,H$235,-H$27,0)-H$27,0)))</f>
        <v/>
      </c>
      <c r="I271" s="279">
        <f>IF(I$1=0,"",IF($B271&lt;I$23,I270+PPMT(I$26/12,$B271,I$23,I$235,-I$27,0),IF($B271=I$23,I270+PPMT(I$26/12,$B271,I$23,I$235,-I$27,0)-I$27,0)))</f>
        <v/>
      </c>
      <c r="J271" s="279">
        <f>IF(J$1=0,"",IF($B271&lt;J$23,J270+PPMT(J$26/12,$B271,J$23,J$235,-J$27,0),IF($B271=J$23,J270+PPMT(J$26/12,$B271,J$23,J$235,-J$27,0)-J$27,0)))</f>
        <v/>
      </c>
      <c r="K271" s="279">
        <f>IF(K$1=0,"",IF($B271&lt;K$23,K270+PPMT(K$26/12,$B271,K$23,K$235,-K$27,0),IF($B271=K$23,K270+PPMT(K$26/12,$B271,K$23,K$235,-K$27,0)-K$27,0)))</f>
        <v/>
      </c>
      <c r="L271" s="279">
        <f>IF(L$1=0,"",IF($B271&lt;L$23,L270+PPMT(L$26/12,$B271,L$23,L$235,-L$27,0),IF($B271=L$23,L270+PPMT(L$26/12,$B271,L$23,L$235,-L$27,0)-L$27,0)))</f>
        <v/>
      </c>
      <c r="M271" s="279">
        <f>IF(M$1=0,"",IF($B271&lt;M$23,M270+PPMT(M$26/12,$B271,M$23,M$235,-M$27,0),IF($B271=M$23,M270+PPMT(M$26/12,$B271,M$23,M$235,-M$27,0)-M$27,0)))</f>
        <v/>
      </c>
      <c r="N271" s="280" t="n"/>
      <c r="O271" s="281" t="n"/>
    </row>
    <row r="272" hidden="1" outlineLevel="1">
      <c r="B272" s="2">
        <f>B271+1</f>
        <v/>
      </c>
      <c r="D272" s="279">
        <f>IF(B272&lt;$D$24,(+CALCULETTE!G669/CALCULETTE!$B$612),0)</f>
        <v/>
      </c>
      <c r="E272" s="279">
        <f>IF(E$1=0,"",IF($B272&lt;E$23,E271+PPMT(E$26/12,$B272,E$23,E$235,-E$27,0),IF($B272=E$23,E271+PPMT(E$26/12,$B272,E$23,E$235,-E$27,0)-E$27,0)))</f>
        <v/>
      </c>
      <c r="F272" s="279">
        <f>IF(F$1=0,"",IF($B272&lt;F$23,F271+PPMT(F$26/12,$B272,F$23,F$235,-F$27,0),IF($B272=F$23,F271+PPMT(F$26/12,$B272,F$23,F$235,-F$27,0)-F$27,0)))</f>
        <v/>
      </c>
      <c r="G272" s="279">
        <f>IF(G$1=0,"",IF($B272&lt;G$23,G271+PPMT(G$26/12,$B272,G$23,G$235,-G$27,0),IF($B272=G$23,G271+PPMT(G$26/12,$B272,G$23,G$235,-G$27,0)-G$27,0)))</f>
        <v/>
      </c>
      <c r="H272" s="279">
        <f>IF(H$1=0,"",IF($B272&lt;H$23,H271+PPMT(H$26/12,$B272,H$23,H$235,-H$27,0),IF($B272=H$23,H271+PPMT(H$26/12,$B272,H$23,H$235,-H$27,0)-H$27,0)))</f>
        <v/>
      </c>
      <c r="I272" s="279">
        <f>IF(I$1=0,"",IF($B272&lt;I$23,I271+PPMT(I$26/12,$B272,I$23,I$235,-I$27,0),IF($B272=I$23,I271+PPMT(I$26/12,$B272,I$23,I$235,-I$27,0)-I$27,0)))</f>
        <v/>
      </c>
      <c r="J272" s="279">
        <f>IF(J$1=0,"",IF($B272&lt;J$23,J271+PPMT(J$26/12,$B272,J$23,J$235,-J$27,0),IF($B272=J$23,J271+PPMT(J$26/12,$B272,J$23,J$235,-J$27,0)-J$27,0)))</f>
        <v/>
      </c>
      <c r="K272" s="279">
        <f>IF(K$1=0,"",IF($B272&lt;K$23,K271+PPMT(K$26/12,$B272,K$23,K$235,-K$27,0),IF($B272=K$23,K271+PPMT(K$26/12,$B272,K$23,K$235,-K$27,0)-K$27,0)))</f>
        <v/>
      </c>
      <c r="L272" s="279">
        <f>IF(L$1=0,"",IF($B272&lt;L$23,L271+PPMT(L$26/12,$B272,L$23,L$235,-L$27,0),IF($B272=L$23,L271+PPMT(L$26/12,$B272,L$23,L$235,-L$27,0)-L$27,0)))</f>
        <v/>
      </c>
      <c r="M272" s="279">
        <f>IF(M$1=0,"",IF($B272&lt;M$23,M271+PPMT(M$26/12,$B272,M$23,M$235,-M$27,0),IF($B272=M$23,M271+PPMT(M$26/12,$B272,M$23,M$235,-M$27,0)-M$27,0)))</f>
        <v/>
      </c>
      <c r="N272" s="280" t="n"/>
      <c r="O272" s="281" t="n"/>
    </row>
    <row r="273" hidden="1" outlineLevel="1">
      <c r="B273" s="2">
        <f>B272+1</f>
        <v/>
      </c>
      <c r="D273" s="279">
        <f>IF(B273&lt;$D$24,(+CALCULETTE!G670/CALCULETTE!$B$612),0)</f>
        <v/>
      </c>
      <c r="E273" s="279">
        <f>IF(E$1=0,"",IF($B273&lt;E$23,E272+PPMT(E$26/12,$B273,E$23,E$235,-E$27,0),IF($B273=E$23,E272+PPMT(E$26/12,$B273,E$23,E$235,-E$27,0)-E$27,0)))</f>
        <v/>
      </c>
      <c r="F273" s="279">
        <f>IF(F$1=0,"",IF($B273&lt;F$23,F272+PPMT(F$26/12,$B273,F$23,F$235,-F$27,0),IF($B273=F$23,F272+PPMT(F$26/12,$B273,F$23,F$235,-F$27,0)-F$27,0)))</f>
        <v/>
      </c>
      <c r="G273" s="279">
        <f>IF(G$1=0,"",IF($B273&lt;G$23,G272+PPMT(G$26/12,$B273,G$23,G$235,-G$27,0),IF($B273=G$23,G272+PPMT(G$26/12,$B273,G$23,G$235,-G$27,0)-G$27,0)))</f>
        <v/>
      </c>
      <c r="H273" s="279">
        <f>IF(H$1=0,"",IF($B273&lt;H$23,H272+PPMT(H$26/12,$B273,H$23,H$235,-H$27,0),IF($B273=H$23,H272+PPMT(H$26/12,$B273,H$23,H$235,-H$27,0)-H$27,0)))</f>
        <v/>
      </c>
      <c r="I273" s="279">
        <f>IF(I$1=0,"",IF($B273&lt;I$23,I272+PPMT(I$26/12,$B273,I$23,I$235,-I$27,0),IF($B273=I$23,I272+PPMT(I$26/12,$B273,I$23,I$235,-I$27,0)-I$27,0)))</f>
        <v/>
      </c>
      <c r="J273" s="279">
        <f>IF(J$1=0,"",IF($B273&lt;J$23,J272+PPMT(J$26/12,$B273,J$23,J$235,-J$27,0),IF($B273=J$23,J272+PPMT(J$26/12,$B273,J$23,J$235,-J$27,0)-J$27,0)))</f>
        <v/>
      </c>
      <c r="K273" s="279">
        <f>IF(K$1=0,"",IF($B273&lt;K$23,K272+PPMT(K$26/12,$B273,K$23,K$235,-K$27,0),IF($B273=K$23,K272+PPMT(K$26/12,$B273,K$23,K$235,-K$27,0)-K$27,0)))</f>
        <v/>
      </c>
      <c r="L273" s="279">
        <f>IF(L$1=0,"",IF($B273&lt;L$23,L272+PPMT(L$26/12,$B273,L$23,L$235,-L$27,0),IF($B273=L$23,L272+PPMT(L$26/12,$B273,L$23,L$235,-L$27,0)-L$27,0)))</f>
        <v/>
      </c>
      <c r="M273" s="279">
        <f>IF(M$1=0,"",IF($B273&lt;M$23,M272+PPMT(M$26/12,$B273,M$23,M$235,-M$27,0),IF($B273=M$23,M272+PPMT(M$26/12,$B273,M$23,M$235,-M$27,0)-M$27,0)))</f>
        <v/>
      </c>
      <c r="N273" s="280" t="n"/>
      <c r="O273" s="281" t="n"/>
    </row>
    <row r="274" hidden="1" outlineLevel="1">
      <c r="B274" s="2">
        <f>B273+1</f>
        <v/>
      </c>
      <c r="D274" s="279">
        <f>IF(B274&lt;$D$24,(+CALCULETTE!G671/CALCULETTE!$B$612),0)</f>
        <v/>
      </c>
      <c r="E274" s="279">
        <f>IF(E$1=0,"",IF($B274&lt;E$23,E273+PPMT(E$26/12,$B274,E$23,E$235,-E$27,0),IF($B274=E$23,E273+PPMT(E$26/12,$B274,E$23,E$235,-E$27,0)-E$27,0)))</f>
        <v/>
      </c>
      <c r="F274" s="279">
        <f>IF(F$1=0,"",IF($B274&lt;F$23,F273+PPMT(F$26/12,$B274,F$23,F$235,-F$27,0),IF($B274=F$23,F273+PPMT(F$26/12,$B274,F$23,F$235,-F$27,0)-F$27,0)))</f>
        <v/>
      </c>
      <c r="G274" s="279">
        <f>IF(G$1=0,"",IF($B274&lt;G$23,G273+PPMT(G$26/12,$B274,G$23,G$235,-G$27,0),IF($B274=G$23,G273+PPMT(G$26/12,$B274,G$23,G$235,-G$27,0)-G$27,0)))</f>
        <v/>
      </c>
      <c r="H274" s="279">
        <f>IF(H$1=0,"",IF($B274&lt;H$23,H273+PPMT(H$26/12,$B274,H$23,H$235,-H$27,0),IF($B274=H$23,H273+PPMT(H$26/12,$B274,H$23,H$235,-H$27,0)-H$27,0)))</f>
        <v/>
      </c>
      <c r="I274" s="279">
        <f>IF(I$1=0,"",IF($B274&lt;I$23,I273+PPMT(I$26/12,$B274,I$23,I$235,-I$27,0),IF($B274=I$23,I273+PPMT(I$26/12,$B274,I$23,I$235,-I$27,0)-I$27,0)))</f>
        <v/>
      </c>
      <c r="J274" s="279">
        <f>IF(J$1=0,"",IF($B274&lt;J$23,J273+PPMT(J$26/12,$B274,J$23,J$235,-J$27,0),IF($B274=J$23,J273+PPMT(J$26/12,$B274,J$23,J$235,-J$27,0)-J$27,0)))</f>
        <v/>
      </c>
      <c r="K274" s="279">
        <f>IF(K$1=0,"",IF($B274&lt;K$23,K273+PPMT(K$26/12,$B274,K$23,K$235,-K$27,0),IF($B274=K$23,K273+PPMT(K$26/12,$B274,K$23,K$235,-K$27,0)-K$27,0)))</f>
        <v/>
      </c>
      <c r="L274" s="279">
        <f>IF(L$1=0,"",IF($B274&lt;L$23,L273+PPMT(L$26/12,$B274,L$23,L$235,-L$27,0),IF($B274=L$23,L273+PPMT(L$26/12,$B274,L$23,L$235,-L$27,0)-L$27,0)))</f>
        <v/>
      </c>
      <c r="M274" s="279">
        <f>IF(M$1=0,"",IF($B274&lt;M$23,M273+PPMT(M$26/12,$B274,M$23,M$235,-M$27,0),IF($B274=M$23,M273+PPMT(M$26/12,$B274,M$23,M$235,-M$27,0)-M$27,0)))</f>
        <v/>
      </c>
      <c r="N274" s="280" t="n"/>
      <c r="O274" s="281" t="n"/>
    </row>
    <row r="275" hidden="1" outlineLevel="1">
      <c r="B275" s="2">
        <f>B274+1</f>
        <v/>
      </c>
      <c r="D275" s="279">
        <f>IF(B275&lt;$D$24,(+CALCULETTE!G672/CALCULETTE!$B$612),0)</f>
        <v/>
      </c>
      <c r="E275" s="279">
        <f>IF(E$1=0,"",IF($B275&lt;E$23,E274+PPMT(E$26/12,$B275,E$23,E$235,-E$27,0),IF($B275=E$23,E274+PPMT(E$26/12,$B275,E$23,E$235,-E$27,0)-E$27,0)))</f>
        <v/>
      </c>
      <c r="F275" s="279">
        <f>IF(F$1=0,"",IF($B275&lt;F$23,F274+PPMT(F$26/12,$B275,F$23,F$235,-F$27,0),IF($B275=F$23,F274+PPMT(F$26/12,$B275,F$23,F$235,-F$27,0)-F$27,0)))</f>
        <v/>
      </c>
      <c r="G275" s="279">
        <f>IF(G$1=0,"",IF($B275&lt;G$23,G274+PPMT(G$26/12,$B275,G$23,G$235,-G$27,0),IF($B275=G$23,G274+PPMT(G$26/12,$B275,G$23,G$235,-G$27,0)-G$27,0)))</f>
        <v/>
      </c>
      <c r="H275" s="279">
        <f>IF(H$1=0,"",IF($B275&lt;H$23,H274+PPMT(H$26/12,$B275,H$23,H$235,-H$27,0),IF($B275=H$23,H274+PPMT(H$26/12,$B275,H$23,H$235,-H$27,0)-H$27,0)))</f>
        <v/>
      </c>
      <c r="I275" s="279">
        <f>IF(I$1=0,"",IF($B275&lt;I$23,I274+PPMT(I$26/12,$B275,I$23,I$235,-I$27,0),IF($B275=I$23,I274+PPMT(I$26/12,$B275,I$23,I$235,-I$27,0)-I$27,0)))</f>
        <v/>
      </c>
      <c r="J275" s="279">
        <f>IF(J$1=0,"",IF($B275&lt;J$23,J274+PPMT(J$26/12,$B275,J$23,J$235,-J$27,0),IF($B275=J$23,J274+PPMT(J$26/12,$B275,J$23,J$235,-J$27,0)-J$27,0)))</f>
        <v/>
      </c>
      <c r="K275" s="279">
        <f>IF(K$1=0,"",IF($B275&lt;K$23,K274+PPMT(K$26/12,$B275,K$23,K$235,-K$27,0),IF($B275=K$23,K274+PPMT(K$26/12,$B275,K$23,K$235,-K$27,0)-K$27,0)))</f>
        <v/>
      </c>
      <c r="L275" s="279">
        <f>IF(L$1=0,"",IF($B275&lt;L$23,L274+PPMT(L$26/12,$B275,L$23,L$235,-L$27,0),IF($B275=L$23,L274+PPMT(L$26/12,$B275,L$23,L$235,-L$27,0)-L$27,0)))</f>
        <v/>
      </c>
      <c r="M275" s="279">
        <f>IF(M$1=0,"",IF($B275&lt;M$23,M274+PPMT(M$26/12,$B275,M$23,M$235,-M$27,0),IF($B275=M$23,M274+PPMT(M$26/12,$B275,M$23,M$235,-M$27,0)-M$27,0)))</f>
        <v/>
      </c>
      <c r="N275" s="280" t="n"/>
      <c r="O275" s="281" t="n"/>
    </row>
    <row r="276" hidden="1" outlineLevel="1">
      <c r="B276" s="2">
        <f>B275+1</f>
        <v/>
      </c>
      <c r="D276" s="279">
        <f>IF(B276&lt;$D$24,(+CALCULETTE!G673/CALCULETTE!$B$612),0)</f>
        <v/>
      </c>
      <c r="E276" s="279">
        <f>IF(E$1=0,"",IF($B276&lt;E$23,E275+PPMT(E$26/12,$B276,E$23,E$235,-E$27,0),IF($B276=E$23,E275+PPMT(E$26/12,$B276,E$23,E$235,-E$27,0)-E$27,0)))</f>
        <v/>
      </c>
      <c r="F276" s="279">
        <f>IF(F$1=0,"",IF($B276&lt;F$23,F275+PPMT(F$26/12,$B276,F$23,F$235,-F$27,0),IF($B276=F$23,F275+PPMT(F$26/12,$B276,F$23,F$235,-F$27,0)-F$27,0)))</f>
        <v/>
      </c>
      <c r="G276" s="279">
        <f>IF(G$1=0,"",IF($B276&lt;G$23,G275+PPMT(G$26/12,$B276,G$23,G$235,-G$27,0),IF($B276=G$23,G275+PPMT(G$26/12,$B276,G$23,G$235,-G$27,0)-G$27,0)))</f>
        <v/>
      </c>
      <c r="H276" s="279">
        <f>IF(H$1=0,"",IF($B276&lt;H$23,H275+PPMT(H$26/12,$B276,H$23,H$235,-H$27,0),IF($B276=H$23,H275+PPMT(H$26/12,$B276,H$23,H$235,-H$27,0)-H$27,0)))</f>
        <v/>
      </c>
      <c r="I276" s="279">
        <f>IF(I$1=0,"",IF($B276&lt;I$23,I275+PPMT(I$26/12,$B276,I$23,I$235,-I$27,0),IF($B276=I$23,I275+PPMT(I$26/12,$B276,I$23,I$235,-I$27,0)-I$27,0)))</f>
        <v/>
      </c>
      <c r="J276" s="279">
        <f>IF(J$1=0,"",IF($B276&lt;J$23,J275+PPMT(J$26/12,$B276,J$23,J$235,-J$27,0),IF($B276=J$23,J275+PPMT(J$26/12,$B276,J$23,J$235,-J$27,0)-J$27,0)))</f>
        <v/>
      </c>
      <c r="K276" s="279">
        <f>IF(K$1=0,"",IF($B276&lt;K$23,K275+PPMT(K$26/12,$B276,K$23,K$235,-K$27,0),IF($B276=K$23,K275+PPMT(K$26/12,$B276,K$23,K$235,-K$27,0)-K$27,0)))</f>
        <v/>
      </c>
      <c r="L276" s="279">
        <f>IF(L$1=0,"",IF($B276&lt;L$23,L275+PPMT(L$26/12,$B276,L$23,L$235,-L$27,0),IF($B276=L$23,L275+PPMT(L$26/12,$B276,L$23,L$235,-L$27,0)-L$27,0)))</f>
        <v/>
      </c>
      <c r="M276" s="279">
        <f>IF(M$1=0,"",IF($B276&lt;M$23,M275+PPMT(M$26/12,$B276,M$23,M$235,-M$27,0),IF($B276=M$23,M275+PPMT(M$26/12,$B276,M$23,M$235,-M$27,0)-M$27,0)))</f>
        <v/>
      </c>
      <c r="N276" s="280" t="n"/>
      <c r="O276" s="281" t="n"/>
    </row>
    <row r="277" hidden="1" outlineLevel="1">
      <c r="B277" s="2">
        <f>B276+1</f>
        <v/>
      </c>
      <c r="D277" s="279">
        <f>IF(B277&lt;$D$24,(+CALCULETTE!G674/CALCULETTE!$B$612),0)</f>
        <v/>
      </c>
      <c r="E277" s="279">
        <f>IF(E$1=0,"",IF($B277&lt;E$23,E276+PPMT(E$26/12,$B277,E$23,E$235,-E$27,0),IF($B277=E$23,E276+PPMT(E$26/12,$B277,E$23,E$235,-E$27,0)-E$27,0)))</f>
        <v/>
      </c>
      <c r="F277" s="279">
        <f>IF(F$1=0,"",IF($B277&lt;F$23,F276+PPMT(F$26/12,$B277,F$23,F$235,-F$27,0),IF($B277=F$23,F276+PPMT(F$26/12,$B277,F$23,F$235,-F$27,0)-F$27,0)))</f>
        <v/>
      </c>
      <c r="G277" s="279">
        <f>IF(G$1=0,"",IF($B277&lt;G$23,G276+PPMT(G$26/12,$B277,G$23,G$235,-G$27,0),IF($B277=G$23,G276+PPMT(G$26/12,$B277,G$23,G$235,-G$27,0)-G$27,0)))</f>
        <v/>
      </c>
      <c r="H277" s="279">
        <f>IF(H$1=0,"",IF($B277&lt;H$23,H276+PPMT(H$26/12,$B277,H$23,H$235,-H$27,0),IF($B277=H$23,H276+PPMT(H$26/12,$B277,H$23,H$235,-H$27,0)-H$27,0)))</f>
        <v/>
      </c>
      <c r="I277" s="279">
        <f>IF(I$1=0,"",IF($B277&lt;I$23,I276+PPMT(I$26/12,$B277,I$23,I$235,-I$27,0),IF($B277=I$23,I276+PPMT(I$26/12,$B277,I$23,I$235,-I$27,0)-I$27,0)))</f>
        <v/>
      </c>
      <c r="J277" s="279">
        <f>IF(J$1=0,"",IF($B277&lt;J$23,J276+PPMT(J$26/12,$B277,J$23,J$235,-J$27,0),IF($B277=J$23,J276+PPMT(J$26/12,$B277,J$23,J$235,-J$27,0)-J$27,0)))</f>
        <v/>
      </c>
      <c r="K277" s="279">
        <f>IF(K$1=0,"",IF($B277&lt;K$23,K276+PPMT(K$26/12,$B277,K$23,K$235,-K$27,0),IF($B277=K$23,K276+PPMT(K$26/12,$B277,K$23,K$235,-K$27,0)-K$27,0)))</f>
        <v/>
      </c>
      <c r="L277" s="279">
        <f>IF(L$1=0,"",IF($B277&lt;L$23,L276+PPMT(L$26/12,$B277,L$23,L$235,-L$27,0),IF($B277=L$23,L276+PPMT(L$26/12,$B277,L$23,L$235,-L$27,0)-L$27,0)))</f>
        <v/>
      </c>
      <c r="M277" s="279">
        <f>IF(M$1=0,"",IF($B277&lt;M$23,M276+PPMT(M$26/12,$B277,M$23,M$235,-M$27,0),IF($B277=M$23,M276+PPMT(M$26/12,$B277,M$23,M$235,-M$27,0)-M$27,0)))</f>
        <v/>
      </c>
      <c r="N277" s="280" t="n"/>
      <c r="O277" s="281" t="n"/>
    </row>
    <row r="278" hidden="1" outlineLevel="1">
      <c r="B278" s="2">
        <f>B277+1</f>
        <v/>
      </c>
      <c r="D278" s="279">
        <f>IF(B278&lt;$D$24,(+CALCULETTE!G675/CALCULETTE!$B$612),0)</f>
        <v/>
      </c>
      <c r="E278" s="279">
        <f>IF(E$1=0,"",IF($B278&lt;E$23,E277+PPMT(E$26/12,$B278,E$23,E$235,-E$27,0),IF($B278=E$23,E277+PPMT(E$26/12,$B278,E$23,E$235,-E$27,0)-E$27,0)))</f>
        <v/>
      </c>
      <c r="F278" s="279">
        <f>IF(F$1=0,"",IF($B278&lt;F$23,F277+PPMT(F$26/12,$B278,F$23,F$235,-F$27,0),IF($B278=F$23,F277+PPMT(F$26/12,$B278,F$23,F$235,-F$27,0)-F$27,0)))</f>
        <v/>
      </c>
      <c r="G278" s="279">
        <f>IF(G$1=0,"",IF($B278&lt;G$23,G277+PPMT(G$26/12,$B278,G$23,G$235,-G$27,0),IF($B278=G$23,G277+PPMT(G$26/12,$B278,G$23,G$235,-G$27,0)-G$27,0)))</f>
        <v/>
      </c>
      <c r="H278" s="279">
        <f>IF(H$1=0,"",IF($B278&lt;H$23,H277+PPMT(H$26/12,$B278,H$23,H$235,-H$27,0),IF($B278=H$23,H277+PPMT(H$26/12,$B278,H$23,H$235,-H$27,0)-H$27,0)))</f>
        <v/>
      </c>
      <c r="I278" s="279">
        <f>IF(I$1=0,"",IF($B278&lt;I$23,I277+PPMT(I$26/12,$B278,I$23,I$235,-I$27,0),IF($B278=I$23,I277+PPMT(I$26/12,$B278,I$23,I$235,-I$27,0)-I$27,0)))</f>
        <v/>
      </c>
      <c r="J278" s="279">
        <f>IF(J$1=0,"",IF($B278&lt;J$23,J277+PPMT(J$26/12,$B278,J$23,J$235,-J$27,0),IF($B278=J$23,J277+PPMT(J$26/12,$B278,J$23,J$235,-J$27,0)-J$27,0)))</f>
        <v/>
      </c>
      <c r="K278" s="279">
        <f>IF(K$1=0,"",IF($B278&lt;K$23,K277+PPMT(K$26/12,$B278,K$23,K$235,-K$27,0),IF($B278=K$23,K277+PPMT(K$26/12,$B278,K$23,K$235,-K$27,0)-K$27,0)))</f>
        <v/>
      </c>
      <c r="L278" s="279">
        <f>IF(L$1=0,"",IF($B278&lt;L$23,L277+PPMT(L$26/12,$B278,L$23,L$235,-L$27,0),IF($B278=L$23,L277+PPMT(L$26/12,$B278,L$23,L$235,-L$27,0)-L$27,0)))</f>
        <v/>
      </c>
      <c r="M278" s="279">
        <f>IF(M$1=0,"",IF($B278&lt;M$23,M277+PPMT(M$26/12,$B278,M$23,M$235,-M$27,0),IF($B278=M$23,M277+PPMT(M$26/12,$B278,M$23,M$235,-M$27,0)-M$27,0)))</f>
        <v/>
      </c>
      <c r="N278" s="280" t="n"/>
      <c r="O278" s="281" t="n"/>
    </row>
    <row r="279" hidden="1" outlineLevel="1">
      <c r="B279" s="2">
        <f>B278+1</f>
        <v/>
      </c>
      <c r="D279" s="279">
        <f>IF(B279&lt;$D$24,(+CALCULETTE!G676/CALCULETTE!$B$612),0)</f>
        <v/>
      </c>
      <c r="E279" s="279">
        <f>IF(E$1=0,"",IF($B279&lt;E$23,E278+PPMT(E$26/12,$B279,E$23,E$235,-E$27,0),IF($B279=E$23,E278+PPMT(E$26/12,$B279,E$23,E$235,-E$27,0)-E$27,0)))</f>
        <v/>
      </c>
      <c r="F279" s="279">
        <f>IF(F$1=0,"",IF($B279&lt;F$23,F278+PPMT(F$26/12,$B279,F$23,F$235,-F$27,0),IF($B279=F$23,F278+PPMT(F$26/12,$B279,F$23,F$235,-F$27,0)-F$27,0)))</f>
        <v/>
      </c>
      <c r="G279" s="279">
        <f>IF(G$1=0,"",IF($B279&lt;G$23,G278+PPMT(G$26/12,$B279,G$23,G$235,-G$27,0),IF($B279=G$23,G278+PPMT(G$26/12,$B279,G$23,G$235,-G$27,0)-G$27,0)))</f>
        <v/>
      </c>
      <c r="H279" s="279">
        <f>IF(H$1=0,"",IF($B279&lt;H$23,H278+PPMT(H$26/12,$B279,H$23,H$235,-H$27,0),IF($B279=H$23,H278+PPMT(H$26/12,$B279,H$23,H$235,-H$27,0)-H$27,0)))</f>
        <v/>
      </c>
      <c r="I279" s="279">
        <f>IF(I$1=0,"",IF($B279&lt;I$23,I278+PPMT(I$26/12,$B279,I$23,I$235,-I$27,0),IF($B279=I$23,I278+PPMT(I$26/12,$B279,I$23,I$235,-I$27,0)-I$27,0)))</f>
        <v/>
      </c>
      <c r="J279" s="279">
        <f>IF(J$1=0,"",IF($B279&lt;J$23,J278+PPMT(J$26/12,$B279,J$23,J$235,-J$27,0),IF($B279=J$23,J278+PPMT(J$26/12,$B279,J$23,J$235,-J$27,0)-J$27,0)))</f>
        <v/>
      </c>
      <c r="K279" s="279">
        <f>IF(K$1=0,"",IF($B279&lt;K$23,K278+PPMT(K$26/12,$B279,K$23,K$235,-K$27,0),IF($B279=K$23,K278+PPMT(K$26/12,$B279,K$23,K$235,-K$27,0)-K$27,0)))</f>
        <v/>
      </c>
      <c r="L279" s="279">
        <f>IF(L$1=0,"",IF($B279&lt;L$23,L278+PPMT(L$26/12,$B279,L$23,L$235,-L$27,0),IF($B279=L$23,L278+PPMT(L$26/12,$B279,L$23,L$235,-L$27,0)-L$27,0)))</f>
        <v/>
      </c>
      <c r="M279" s="279">
        <f>IF(M$1=0,"",IF($B279&lt;M$23,M278+PPMT(M$26/12,$B279,M$23,M$235,-M$27,0),IF($B279=M$23,M278+PPMT(M$26/12,$B279,M$23,M$235,-M$27,0)-M$27,0)))</f>
        <v/>
      </c>
      <c r="N279" s="280" t="n"/>
      <c r="O279" s="281" t="n"/>
    </row>
    <row r="280" hidden="1" outlineLevel="1">
      <c r="B280" s="2">
        <f>B279+1</f>
        <v/>
      </c>
      <c r="D280" s="279">
        <f>IF(B280&lt;$D$24,(+CALCULETTE!G677/CALCULETTE!$B$612),0)</f>
        <v/>
      </c>
      <c r="E280" s="279">
        <f>IF(E$1=0,"",IF($B280&lt;E$23,E279+PPMT(E$26/12,$B280,E$23,E$235,-E$27,0),IF($B280=E$23,E279+PPMT(E$26/12,$B280,E$23,E$235,-E$27,0)-E$27,0)))</f>
        <v/>
      </c>
      <c r="F280" s="279">
        <f>IF(F$1=0,"",IF($B280&lt;F$23,F279+PPMT(F$26/12,$B280,F$23,F$235,-F$27,0),IF($B280=F$23,F279+PPMT(F$26/12,$B280,F$23,F$235,-F$27,0)-F$27,0)))</f>
        <v/>
      </c>
      <c r="G280" s="279">
        <f>IF(G$1=0,"",IF($B280&lt;G$23,G279+PPMT(G$26/12,$B280,G$23,G$235,-G$27,0),IF($B280=G$23,G279+PPMT(G$26/12,$B280,G$23,G$235,-G$27,0)-G$27,0)))</f>
        <v/>
      </c>
      <c r="H280" s="279">
        <f>IF(H$1=0,"",IF($B280&lt;H$23,H279+PPMT(H$26/12,$B280,H$23,H$235,-H$27,0),IF($B280=H$23,H279+PPMT(H$26/12,$B280,H$23,H$235,-H$27,0)-H$27,0)))</f>
        <v/>
      </c>
      <c r="I280" s="279">
        <f>IF(I$1=0,"",IF($B280&lt;I$23,I279+PPMT(I$26/12,$B280,I$23,I$235,-I$27,0),IF($B280=I$23,I279+PPMT(I$26/12,$B280,I$23,I$235,-I$27,0)-I$27,0)))</f>
        <v/>
      </c>
      <c r="J280" s="279">
        <f>IF(J$1=0,"",IF($B280&lt;J$23,J279+PPMT(J$26/12,$B280,J$23,J$235,-J$27,0),IF($B280=J$23,J279+PPMT(J$26/12,$B280,J$23,J$235,-J$27,0)-J$27,0)))</f>
        <v/>
      </c>
      <c r="K280" s="279">
        <f>IF(K$1=0,"",IF($B280&lt;K$23,K279+PPMT(K$26/12,$B280,K$23,K$235,-K$27,0),IF($B280=K$23,K279+PPMT(K$26/12,$B280,K$23,K$235,-K$27,0)-K$27,0)))</f>
        <v/>
      </c>
      <c r="L280" s="279">
        <f>IF(L$1=0,"",IF($B280&lt;L$23,L279+PPMT(L$26/12,$B280,L$23,L$235,-L$27,0),IF($B280=L$23,L279+PPMT(L$26/12,$B280,L$23,L$235,-L$27,0)-L$27,0)))</f>
        <v/>
      </c>
      <c r="M280" s="279">
        <f>IF(M$1=0,"",IF($B280&lt;M$23,M279+PPMT(M$26/12,$B280,M$23,M$235,-M$27,0),IF($B280=M$23,M279+PPMT(M$26/12,$B280,M$23,M$235,-M$27,0)-M$27,0)))</f>
        <v/>
      </c>
      <c r="N280" s="280" t="n"/>
      <c r="O280" s="281" t="n"/>
    </row>
    <row r="281" hidden="1" outlineLevel="1">
      <c r="B281" s="2">
        <f>B280+1</f>
        <v/>
      </c>
      <c r="D281" s="279">
        <f>IF(B281&lt;$D$24,(+CALCULETTE!G678/CALCULETTE!$B$612),0)</f>
        <v/>
      </c>
      <c r="E281" s="279">
        <f>IF(E$1=0,"",IF($B281&lt;E$23,E280+PPMT(E$26/12,$B281,E$23,E$235,-E$27,0),IF($B281=E$23,E280+PPMT(E$26/12,$B281,E$23,E$235,-E$27,0)-E$27,0)))</f>
        <v/>
      </c>
      <c r="F281" s="279">
        <f>IF(F$1=0,"",IF($B281&lt;F$23,F280+PPMT(F$26/12,$B281,F$23,F$235,-F$27,0),IF($B281=F$23,F280+PPMT(F$26/12,$B281,F$23,F$235,-F$27,0)-F$27,0)))</f>
        <v/>
      </c>
      <c r="G281" s="279">
        <f>IF(G$1=0,"",IF($B281&lt;G$23,G280+PPMT(G$26/12,$B281,G$23,G$235,-G$27,0),IF($B281=G$23,G280+PPMT(G$26/12,$B281,G$23,G$235,-G$27,0)-G$27,0)))</f>
        <v/>
      </c>
      <c r="H281" s="279">
        <f>IF(H$1=0,"",IF($B281&lt;H$23,H280+PPMT(H$26/12,$B281,H$23,H$235,-H$27,0),IF($B281=H$23,H280+PPMT(H$26/12,$B281,H$23,H$235,-H$27,0)-H$27,0)))</f>
        <v/>
      </c>
      <c r="I281" s="279">
        <f>IF(I$1=0,"",IF($B281&lt;I$23,I280+PPMT(I$26/12,$B281,I$23,I$235,-I$27,0),IF($B281=I$23,I280+PPMT(I$26/12,$B281,I$23,I$235,-I$27,0)-I$27,0)))</f>
        <v/>
      </c>
      <c r="J281" s="279">
        <f>IF(J$1=0,"",IF($B281&lt;J$23,J280+PPMT(J$26/12,$B281,J$23,J$235,-J$27,0),IF($B281=J$23,J280+PPMT(J$26/12,$B281,J$23,J$235,-J$27,0)-J$27,0)))</f>
        <v/>
      </c>
      <c r="K281" s="279">
        <f>IF(K$1=0,"",IF($B281&lt;K$23,K280+PPMT(K$26/12,$B281,K$23,K$235,-K$27,0),IF($B281=K$23,K280+PPMT(K$26/12,$B281,K$23,K$235,-K$27,0)-K$27,0)))</f>
        <v/>
      </c>
      <c r="L281" s="279">
        <f>IF(L$1=0,"",IF($B281&lt;L$23,L280+PPMT(L$26/12,$B281,L$23,L$235,-L$27,0),IF($B281=L$23,L280+PPMT(L$26/12,$B281,L$23,L$235,-L$27,0)-L$27,0)))</f>
        <v/>
      </c>
      <c r="M281" s="279">
        <f>IF(M$1=0,"",IF($B281&lt;M$23,M280+PPMT(M$26/12,$B281,M$23,M$235,-M$27,0),IF($B281=M$23,M280+PPMT(M$26/12,$B281,M$23,M$235,-M$27,0)-M$27,0)))</f>
        <v/>
      </c>
      <c r="N281" s="280" t="n"/>
      <c r="O281" s="281" t="n"/>
    </row>
    <row r="282" hidden="1" outlineLevel="1">
      <c r="B282" s="2">
        <f>B281+1</f>
        <v/>
      </c>
      <c r="D282" s="279">
        <f>IF(B282&lt;$D$24,(+CALCULETTE!G679/CALCULETTE!$B$612),0)</f>
        <v/>
      </c>
      <c r="E282" s="279">
        <f>IF(E$1=0,"",IF($B282&lt;E$23,E281+PPMT(E$26/12,$B282,E$23,E$235,-E$27,0),IF($B282=E$23,E281+PPMT(E$26/12,$B282,E$23,E$235,-E$27,0)-E$27,0)))</f>
        <v/>
      </c>
      <c r="F282" s="279">
        <f>IF(F$1=0,"",IF($B282&lt;F$23,F281+PPMT(F$26/12,$B282,F$23,F$235,-F$27,0),IF($B282=F$23,F281+PPMT(F$26/12,$B282,F$23,F$235,-F$27,0)-F$27,0)))</f>
        <v/>
      </c>
      <c r="G282" s="279">
        <f>IF(G$1=0,"",IF($B282&lt;G$23,G281+PPMT(G$26/12,$B282,G$23,G$235,-G$27,0),IF($B282=G$23,G281+PPMT(G$26/12,$B282,G$23,G$235,-G$27,0)-G$27,0)))</f>
        <v/>
      </c>
      <c r="H282" s="279">
        <f>IF(H$1=0,"",IF($B282&lt;H$23,H281+PPMT(H$26/12,$B282,H$23,H$235,-H$27,0),IF($B282=H$23,H281+PPMT(H$26/12,$B282,H$23,H$235,-H$27,0)-H$27,0)))</f>
        <v/>
      </c>
      <c r="I282" s="279">
        <f>IF(I$1=0,"",IF($B282&lt;I$23,I281+PPMT(I$26/12,$B282,I$23,I$235,-I$27,0),IF($B282=I$23,I281+PPMT(I$26/12,$B282,I$23,I$235,-I$27,0)-I$27,0)))</f>
        <v/>
      </c>
      <c r="J282" s="279">
        <f>IF(J$1=0,"",IF($B282&lt;J$23,J281+PPMT(J$26/12,$B282,J$23,J$235,-J$27,0),IF($B282=J$23,J281+PPMT(J$26/12,$B282,J$23,J$235,-J$27,0)-J$27,0)))</f>
        <v/>
      </c>
      <c r="K282" s="279">
        <f>IF(K$1=0,"",IF($B282&lt;K$23,K281+PPMT(K$26/12,$B282,K$23,K$235,-K$27,0),IF($B282=K$23,K281+PPMT(K$26/12,$B282,K$23,K$235,-K$27,0)-K$27,0)))</f>
        <v/>
      </c>
      <c r="L282" s="279">
        <f>IF(L$1=0,"",IF($B282&lt;L$23,L281+PPMT(L$26/12,$B282,L$23,L$235,-L$27,0),IF($B282=L$23,L281+PPMT(L$26/12,$B282,L$23,L$235,-L$27,0)-L$27,0)))</f>
        <v/>
      </c>
      <c r="M282" s="279">
        <f>IF(M$1=0,"",IF($B282&lt;M$23,M281+PPMT(M$26/12,$B282,M$23,M$235,-M$27,0),IF($B282=M$23,M281+PPMT(M$26/12,$B282,M$23,M$235,-M$27,0)-M$27,0)))</f>
        <v/>
      </c>
      <c r="N282" s="280" t="n"/>
      <c r="O282" s="281" t="n"/>
    </row>
    <row r="283" hidden="1" outlineLevel="1">
      <c r="B283" s="2">
        <f>B282+1</f>
        <v/>
      </c>
      <c r="D283" s="279">
        <f>IF(B283&lt;$D$24,(+CALCULETTE!G680/CALCULETTE!$B$612),0)</f>
        <v/>
      </c>
      <c r="E283" s="279">
        <f>IF(E$1=0,"",IF($B283&lt;E$23,E282+PPMT(E$26/12,$B283,E$23,E$235,-E$27,0),IF($B283=E$23,E282+PPMT(E$26/12,$B283,E$23,E$235,-E$27,0)-E$27,0)))</f>
        <v/>
      </c>
      <c r="F283" s="279">
        <f>IF(F$1=0,"",IF($B283&lt;F$23,F282+PPMT(F$26/12,$B283,F$23,F$235,-F$27,0),IF($B283=F$23,F282+PPMT(F$26/12,$B283,F$23,F$235,-F$27,0)-F$27,0)))</f>
        <v/>
      </c>
      <c r="G283" s="279">
        <f>IF(G$1=0,"",IF($B283&lt;G$23,G282+PPMT(G$26/12,$B283,G$23,G$235,-G$27,0),IF($B283=G$23,G282+PPMT(G$26/12,$B283,G$23,G$235,-G$27,0)-G$27,0)))</f>
        <v/>
      </c>
      <c r="H283" s="279">
        <f>IF(H$1=0,"",IF($B283&lt;H$23,H282+PPMT(H$26/12,$B283,H$23,H$235,-H$27,0),IF($B283=H$23,H282+PPMT(H$26/12,$B283,H$23,H$235,-H$27,0)-H$27,0)))</f>
        <v/>
      </c>
      <c r="I283" s="279">
        <f>IF(I$1=0,"",IF($B283&lt;I$23,I282+PPMT(I$26/12,$B283,I$23,I$235,-I$27,0),IF($B283=I$23,I282+PPMT(I$26/12,$B283,I$23,I$235,-I$27,0)-I$27,0)))</f>
        <v/>
      </c>
      <c r="J283" s="279">
        <f>IF(J$1=0,"",IF($B283&lt;J$23,J282+PPMT(J$26/12,$B283,J$23,J$235,-J$27,0),IF($B283=J$23,J282+PPMT(J$26/12,$B283,J$23,J$235,-J$27,0)-J$27,0)))</f>
        <v/>
      </c>
      <c r="K283" s="279">
        <f>IF(K$1=0,"",IF($B283&lt;K$23,K282+PPMT(K$26/12,$B283,K$23,K$235,-K$27,0),IF($B283=K$23,K282+PPMT(K$26/12,$B283,K$23,K$235,-K$27,0)-K$27,0)))</f>
        <v/>
      </c>
      <c r="L283" s="279">
        <f>IF(L$1=0,"",IF($B283&lt;L$23,L282+PPMT(L$26/12,$B283,L$23,L$235,-L$27,0),IF($B283=L$23,L282+PPMT(L$26/12,$B283,L$23,L$235,-L$27,0)-L$27,0)))</f>
        <v/>
      </c>
      <c r="M283" s="279">
        <f>IF(M$1=0,"",IF($B283&lt;M$23,M282+PPMT(M$26/12,$B283,M$23,M$235,-M$27,0),IF($B283=M$23,M282+PPMT(M$26/12,$B283,M$23,M$235,-M$27,0)-M$27,0)))</f>
        <v/>
      </c>
      <c r="N283" s="280" t="n"/>
      <c r="O283" s="281" t="n"/>
    </row>
    <row r="284" hidden="1" outlineLevel="1">
      <c r="B284" s="2">
        <f>B283+1</f>
        <v/>
      </c>
      <c r="D284" s="279">
        <f>IF(B284&lt;$D$24,(+CALCULETTE!G681/CALCULETTE!$B$612),0)</f>
        <v/>
      </c>
      <c r="E284" s="279">
        <f>IF(E$1=0,"",IF($B284&lt;E$23,E283+PPMT(E$26/12,$B284,E$23,E$235,-E$27,0),IF($B284=E$23,E283+PPMT(E$26/12,$B284,E$23,E$235,-E$27,0)-E$27,0)))</f>
        <v/>
      </c>
      <c r="F284" s="279">
        <f>IF(F$1=0,"",IF($B284&lt;F$23,F283+PPMT(F$26/12,$B284,F$23,F$235,-F$27,0),IF($B284=F$23,F283+PPMT(F$26/12,$B284,F$23,F$235,-F$27,0)-F$27,0)))</f>
        <v/>
      </c>
      <c r="G284" s="279">
        <f>IF(G$1=0,"",IF($B284&lt;G$23,G283+PPMT(G$26/12,$B284,G$23,G$235,-G$27,0),IF($B284=G$23,G283+PPMT(G$26/12,$B284,G$23,G$235,-G$27,0)-G$27,0)))</f>
        <v/>
      </c>
      <c r="H284" s="279">
        <f>IF(H$1=0,"",IF($B284&lt;H$23,H283+PPMT(H$26/12,$B284,H$23,H$235,-H$27,0),IF($B284=H$23,H283+PPMT(H$26/12,$B284,H$23,H$235,-H$27,0)-H$27,0)))</f>
        <v/>
      </c>
      <c r="I284" s="279">
        <f>IF(I$1=0,"",IF($B284&lt;I$23,I283+PPMT(I$26/12,$B284,I$23,I$235,-I$27,0),IF($B284=I$23,I283+PPMT(I$26/12,$B284,I$23,I$235,-I$27,0)-I$27,0)))</f>
        <v/>
      </c>
      <c r="J284" s="279">
        <f>IF(J$1=0,"",IF($B284&lt;J$23,J283+PPMT(J$26/12,$B284,J$23,J$235,-J$27,0),IF($B284=J$23,J283+PPMT(J$26/12,$B284,J$23,J$235,-J$27,0)-J$27,0)))</f>
        <v/>
      </c>
      <c r="K284" s="279">
        <f>IF(K$1=0,"",IF($B284&lt;K$23,K283+PPMT(K$26/12,$B284,K$23,K$235,-K$27,0),IF($B284=K$23,K283+PPMT(K$26/12,$B284,K$23,K$235,-K$27,0)-K$27,0)))</f>
        <v/>
      </c>
      <c r="L284" s="279">
        <f>IF(L$1=0,"",IF($B284&lt;L$23,L283+PPMT(L$26/12,$B284,L$23,L$235,-L$27,0),IF($B284=L$23,L283+PPMT(L$26/12,$B284,L$23,L$235,-L$27,0)-L$27,0)))</f>
        <v/>
      </c>
      <c r="M284" s="279">
        <f>IF(M$1=0,"",IF($B284&lt;M$23,M283+PPMT(M$26/12,$B284,M$23,M$235,-M$27,0),IF($B284=M$23,M283+PPMT(M$26/12,$B284,M$23,M$235,-M$27,0)-M$27,0)))</f>
        <v/>
      </c>
      <c r="N284" s="280" t="n"/>
      <c r="O284" s="281" t="n"/>
    </row>
    <row r="285" hidden="1" outlineLevel="1">
      <c r="B285" s="2">
        <f>B284+1</f>
        <v/>
      </c>
      <c r="D285" s="279">
        <f>IF(B285&lt;$D$24,(+CALCULETTE!G682/CALCULETTE!$B$612),0)</f>
        <v/>
      </c>
      <c r="E285" s="279">
        <f>IF(E$1=0,"",IF($B285&lt;E$23,E284+PPMT(E$26/12,$B285,E$23,E$235,-E$27,0),IF($B285=E$23,E284+PPMT(E$26/12,$B285,E$23,E$235,-E$27,0)-E$27,0)))</f>
        <v/>
      </c>
      <c r="F285" s="279">
        <f>IF(F$1=0,"",IF($B285&lt;F$23,F284+PPMT(F$26/12,$B285,F$23,F$235,-F$27,0),IF($B285=F$23,F284+PPMT(F$26/12,$B285,F$23,F$235,-F$27,0)-F$27,0)))</f>
        <v/>
      </c>
      <c r="G285" s="279">
        <f>IF(G$1=0,"",IF($B285&lt;G$23,G284+PPMT(G$26/12,$B285,G$23,G$235,-G$27,0),IF($B285=G$23,G284+PPMT(G$26/12,$B285,G$23,G$235,-G$27,0)-G$27,0)))</f>
        <v/>
      </c>
      <c r="H285" s="279">
        <f>IF(H$1=0,"",IF($B285&lt;H$23,H284+PPMT(H$26/12,$B285,H$23,H$235,-H$27,0),IF($B285=H$23,H284+PPMT(H$26/12,$B285,H$23,H$235,-H$27,0)-H$27,0)))</f>
        <v/>
      </c>
      <c r="I285" s="279">
        <f>IF(I$1=0,"",IF($B285&lt;I$23,I284+PPMT(I$26/12,$B285,I$23,I$235,-I$27,0),IF($B285=I$23,I284+PPMT(I$26/12,$B285,I$23,I$235,-I$27,0)-I$27,0)))</f>
        <v/>
      </c>
      <c r="J285" s="279">
        <f>IF(J$1=0,"",IF($B285&lt;J$23,J284+PPMT(J$26/12,$B285,J$23,J$235,-J$27,0),IF($B285=J$23,J284+PPMT(J$26/12,$B285,J$23,J$235,-J$27,0)-J$27,0)))</f>
        <v/>
      </c>
      <c r="K285" s="279">
        <f>IF(K$1=0,"",IF($B285&lt;K$23,K284+PPMT(K$26/12,$B285,K$23,K$235,-K$27,0),IF($B285=K$23,K284+PPMT(K$26/12,$B285,K$23,K$235,-K$27,0)-K$27,0)))</f>
        <v/>
      </c>
      <c r="L285" s="279">
        <f>IF(L$1=0,"",IF($B285&lt;L$23,L284+PPMT(L$26/12,$B285,L$23,L$235,-L$27,0),IF($B285=L$23,L284+PPMT(L$26/12,$B285,L$23,L$235,-L$27,0)-L$27,0)))</f>
        <v/>
      </c>
      <c r="M285" s="279">
        <f>IF(M$1=0,"",IF($B285&lt;M$23,M284+PPMT(M$26/12,$B285,M$23,M$235,-M$27,0),IF($B285=M$23,M284+PPMT(M$26/12,$B285,M$23,M$235,-M$27,0)-M$27,0)))</f>
        <v/>
      </c>
      <c r="N285" s="280" t="n"/>
      <c r="O285" s="281" t="n"/>
    </row>
    <row r="286" hidden="1" outlineLevel="1">
      <c r="B286" s="2">
        <f>B285+1</f>
        <v/>
      </c>
      <c r="D286" s="279">
        <f>IF(B286&lt;$D$24,(+CALCULETTE!G683/CALCULETTE!$B$612),0)</f>
        <v/>
      </c>
      <c r="E286" s="279">
        <f>IF(E$1=0,"",IF($B286&lt;E$23,E285+PPMT(E$26/12,$B286,E$23,E$235,-E$27,0),IF($B286=E$23,E285+PPMT(E$26/12,$B286,E$23,E$235,-E$27,0)-E$27,0)))</f>
        <v/>
      </c>
      <c r="F286" s="279">
        <f>IF(F$1=0,"",IF($B286&lt;F$23,F285+PPMT(F$26/12,$B286,F$23,F$235,-F$27,0),IF($B286=F$23,F285+PPMT(F$26/12,$B286,F$23,F$235,-F$27,0)-F$27,0)))</f>
        <v/>
      </c>
      <c r="G286" s="279">
        <f>IF(G$1=0,"",IF($B286&lt;G$23,G285+PPMT(G$26/12,$B286,G$23,G$235,-G$27,0),IF($B286=G$23,G285+PPMT(G$26/12,$B286,G$23,G$235,-G$27,0)-G$27,0)))</f>
        <v/>
      </c>
      <c r="H286" s="279">
        <f>IF(H$1=0,"",IF($B286&lt;H$23,H285+PPMT(H$26/12,$B286,H$23,H$235,-H$27,0),IF($B286=H$23,H285+PPMT(H$26/12,$B286,H$23,H$235,-H$27,0)-H$27,0)))</f>
        <v/>
      </c>
      <c r="I286" s="279">
        <f>IF(I$1=0,"",IF($B286&lt;I$23,I285+PPMT(I$26/12,$B286,I$23,I$235,-I$27,0),IF($B286=I$23,I285+PPMT(I$26/12,$B286,I$23,I$235,-I$27,0)-I$27,0)))</f>
        <v/>
      </c>
      <c r="J286" s="279">
        <f>IF(J$1=0,"",IF($B286&lt;J$23,J285+PPMT(J$26/12,$B286,J$23,J$235,-J$27,0),IF($B286=J$23,J285+PPMT(J$26/12,$B286,J$23,J$235,-J$27,0)-J$27,0)))</f>
        <v/>
      </c>
      <c r="K286" s="279">
        <f>IF(K$1=0,"",IF($B286&lt;K$23,K285+PPMT(K$26/12,$B286,K$23,K$235,-K$27,0),IF($B286=K$23,K285+PPMT(K$26/12,$B286,K$23,K$235,-K$27,0)-K$27,0)))</f>
        <v/>
      </c>
      <c r="L286" s="279">
        <f>IF(L$1=0,"",IF($B286&lt;L$23,L285+PPMT(L$26/12,$B286,L$23,L$235,-L$27,0),IF($B286=L$23,L285+PPMT(L$26/12,$B286,L$23,L$235,-L$27,0)-L$27,0)))</f>
        <v/>
      </c>
      <c r="M286" s="279">
        <f>IF(M$1=0,"",IF($B286&lt;M$23,M285+PPMT(M$26/12,$B286,M$23,M$235,-M$27,0),IF($B286=M$23,M285+PPMT(M$26/12,$B286,M$23,M$235,-M$27,0)-M$27,0)))</f>
        <v/>
      </c>
      <c r="N286" s="280" t="n"/>
      <c r="O286" s="281" t="n"/>
    </row>
    <row r="287" hidden="1" outlineLevel="1">
      <c r="B287" s="2">
        <f>B286+1</f>
        <v/>
      </c>
      <c r="D287" s="279">
        <f>IF(B287&lt;$D$24,(+CALCULETTE!G684/CALCULETTE!$B$612),0)</f>
        <v/>
      </c>
      <c r="E287" s="279">
        <f>IF(E$1=0,"",IF($B287&lt;E$23,E286+PPMT(E$26/12,$B287,E$23,E$235,-E$27,0),IF($B287=E$23,E286+PPMT(E$26/12,$B287,E$23,E$235,-E$27,0)-E$27,0)))</f>
        <v/>
      </c>
      <c r="F287" s="279">
        <f>IF(F$1=0,"",IF($B287&lt;F$23,F286+PPMT(F$26/12,$B287,F$23,F$235,-F$27,0),IF($B287=F$23,F286+PPMT(F$26/12,$B287,F$23,F$235,-F$27,0)-F$27,0)))</f>
        <v/>
      </c>
      <c r="G287" s="279">
        <f>IF(G$1=0,"",IF($B287&lt;G$23,G286+PPMT(G$26/12,$B287,G$23,G$235,-G$27,0),IF($B287=G$23,G286+PPMT(G$26/12,$B287,G$23,G$235,-G$27,0)-G$27,0)))</f>
        <v/>
      </c>
      <c r="H287" s="279">
        <f>IF(H$1=0,"",IF($B287&lt;H$23,H286+PPMT(H$26/12,$B287,H$23,H$235,-H$27,0),IF($B287=H$23,H286+PPMT(H$26/12,$B287,H$23,H$235,-H$27,0)-H$27,0)))</f>
        <v/>
      </c>
      <c r="I287" s="279">
        <f>IF(I$1=0,"",IF($B287&lt;I$23,I286+PPMT(I$26/12,$B287,I$23,I$235,-I$27,0),IF($B287=I$23,I286+PPMT(I$26/12,$B287,I$23,I$235,-I$27,0)-I$27,0)))</f>
        <v/>
      </c>
      <c r="J287" s="279">
        <f>IF(J$1=0,"",IF($B287&lt;J$23,J286+PPMT(J$26/12,$B287,J$23,J$235,-J$27,0),IF($B287=J$23,J286+PPMT(J$26/12,$B287,J$23,J$235,-J$27,0)-J$27,0)))</f>
        <v/>
      </c>
      <c r="K287" s="279">
        <f>IF(K$1=0,"",IF($B287&lt;K$23,K286+PPMT(K$26/12,$B287,K$23,K$235,-K$27,0),IF($B287=K$23,K286+PPMT(K$26/12,$B287,K$23,K$235,-K$27,0)-K$27,0)))</f>
        <v/>
      </c>
      <c r="L287" s="279">
        <f>IF(L$1=0,"",IF($B287&lt;L$23,L286+PPMT(L$26/12,$B287,L$23,L$235,-L$27,0),IF($B287=L$23,L286+PPMT(L$26/12,$B287,L$23,L$235,-L$27,0)-L$27,0)))</f>
        <v/>
      </c>
      <c r="M287" s="279">
        <f>IF(M$1=0,"",IF($B287&lt;M$23,M286+PPMT(M$26/12,$B287,M$23,M$235,-M$27,0),IF($B287=M$23,M286+PPMT(M$26/12,$B287,M$23,M$235,-M$27,0)-M$27,0)))</f>
        <v/>
      </c>
      <c r="N287" s="280" t="n"/>
      <c r="O287" s="281" t="n"/>
    </row>
    <row r="288" hidden="1" outlineLevel="1">
      <c r="B288" s="2">
        <f>B287+1</f>
        <v/>
      </c>
      <c r="D288" s="279">
        <f>IF(B288&lt;$D$24,(+CALCULETTE!G685/CALCULETTE!$B$612),0)</f>
        <v/>
      </c>
      <c r="E288" s="279">
        <f>IF(E$1=0,"",IF($B288&lt;E$23,E287+PPMT(E$26/12,$B288,E$23,E$235,-E$27,0),IF($B288=E$23,E287+PPMT(E$26/12,$B288,E$23,E$235,-E$27,0)-E$27,0)))</f>
        <v/>
      </c>
      <c r="F288" s="279">
        <f>IF(F$1=0,"",IF($B288&lt;F$23,F287+PPMT(F$26/12,$B288,F$23,F$235,-F$27,0),IF($B288=F$23,F287+PPMT(F$26/12,$B288,F$23,F$235,-F$27,0)-F$27,0)))</f>
        <v/>
      </c>
      <c r="G288" s="279">
        <f>IF(G$1=0,"",IF($B288&lt;G$23,G287+PPMT(G$26/12,$B288,G$23,G$235,-G$27,0),IF($B288=G$23,G287+PPMT(G$26/12,$B288,G$23,G$235,-G$27,0)-G$27,0)))</f>
        <v/>
      </c>
      <c r="H288" s="279">
        <f>IF(H$1=0,"",IF($B288&lt;H$23,H287+PPMT(H$26/12,$B288,H$23,H$235,-H$27,0),IF($B288=H$23,H287+PPMT(H$26/12,$B288,H$23,H$235,-H$27,0)-H$27,0)))</f>
        <v/>
      </c>
      <c r="I288" s="279">
        <f>IF(I$1=0,"",IF($B288&lt;I$23,I287+PPMT(I$26/12,$B288,I$23,I$235,-I$27,0),IF($B288=I$23,I287+PPMT(I$26/12,$B288,I$23,I$235,-I$27,0)-I$27,0)))</f>
        <v/>
      </c>
      <c r="J288" s="279">
        <f>IF(J$1=0,"",IF($B288&lt;J$23,J287+PPMT(J$26/12,$B288,J$23,J$235,-J$27,0),IF($B288=J$23,J287+PPMT(J$26/12,$B288,J$23,J$235,-J$27,0)-J$27,0)))</f>
        <v/>
      </c>
      <c r="K288" s="279">
        <f>IF(K$1=0,"",IF($B288&lt;K$23,K287+PPMT(K$26/12,$B288,K$23,K$235,-K$27,0),IF($B288=K$23,K287+PPMT(K$26/12,$B288,K$23,K$235,-K$27,0)-K$27,0)))</f>
        <v/>
      </c>
      <c r="L288" s="279">
        <f>IF(L$1=0,"",IF($B288&lt;L$23,L287+PPMT(L$26/12,$B288,L$23,L$235,-L$27,0),IF($B288=L$23,L287+PPMT(L$26/12,$B288,L$23,L$235,-L$27,0)-L$27,0)))</f>
        <v/>
      </c>
      <c r="M288" s="279">
        <f>IF(M$1=0,"",IF($B288&lt;M$23,M287+PPMT(M$26/12,$B288,M$23,M$235,-M$27,0),IF($B288=M$23,M287+PPMT(M$26/12,$B288,M$23,M$235,-M$27,0)-M$27,0)))</f>
        <v/>
      </c>
      <c r="N288" s="280" t="n"/>
      <c r="O288" s="281" t="n"/>
    </row>
    <row r="289" hidden="1" outlineLevel="1">
      <c r="B289" s="2">
        <f>B288+1</f>
        <v/>
      </c>
      <c r="D289" s="279">
        <f>IF(B289&lt;$D$24,(+CALCULETTE!G686/CALCULETTE!$B$612),0)</f>
        <v/>
      </c>
      <c r="E289" s="279">
        <f>IF(E$1=0,"",IF($B289&lt;E$23,E288+PPMT(E$26/12,$B289,E$23,E$235,-E$27,0),IF($B289=E$23,E288+PPMT(E$26/12,$B289,E$23,E$235,-E$27,0)-E$27,0)))</f>
        <v/>
      </c>
      <c r="F289" s="279">
        <f>IF(F$1=0,"",IF($B289&lt;F$23,F288+PPMT(F$26/12,$B289,F$23,F$235,-F$27,0),IF($B289=F$23,F288+PPMT(F$26/12,$B289,F$23,F$235,-F$27,0)-F$27,0)))</f>
        <v/>
      </c>
      <c r="G289" s="279">
        <f>IF(G$1=0,"",IF($B289&lt;G$23,G288+PPMT(G$26/12,$B289,G$23,G$235,-G$27,0),IF($B289=G$23,G288+PPMT(G$26/12,$B289,G$23,G$235,-G$27,0)-G$27,0)))</f>
        <v/>
      </c>
      <c r="H289" s="279">
        <f>IF(H$1=0,"",IF($B289&lt;H$23,H288+PPMT(H$26/12,$B289,H$23,H$235,-H$27,0),IF($B289=H$23,H288+PPMT(H$26/12,$B289,H$23,H$235,-H$27,0)-H$27,0)))</f>
        <v/>
      </c>
      <c r="I289" s="279">
        <f>IF(I$1=0,"",IF($B289&lt;I$23,I288+PPMT(I$26/12,$B289,I$23,I$235,-I$27,0),IF($B289=I$23,I288+PPMT(I$26/12,$B289,I$23,I$235,-I$27,0)-I$27,0)))</f>
        <v/>
      </c>
      <c r="J289" s="279">
        <f>IF(J$1=0,"",IF($B289&lt;J$23,J288+PPMT(J$26/12,$B289,J$23,J$235,-J$27,0),IF($B289=J$23,J288+PPMT(J$26/12,$B289,J$23,J$235,-J$27,0)-J$27,0)))</f>
        <v/>
      </c>
      <c r="K289" s="279">
        <f>IF(K$1=0,"",IF($B289&lt;K$23,K288+PPMT(K$26/12,$B289,K$23,K$235,-K$27,0),IF($B289=K$23,K288+PPMT(K$26/12,$B289,K$23,K$235,-K$27,0)-K$27,0)))</f>
        <v/>
      </c>
      <c r="L289" s="279">
        <f>IF(L$1=0,"",IF($B289&lt;L$23,L288+PPMT(L$26/12,$B289,L$23,L$235,-L$27,0),IF($B289=L$23,L288+PPMT(L$26/12,$B289,L$23,L$235,-L$27,0)-L$27,0)))</f>
        <v/>
      </c>
      <c r="M289" s="279">
        <f>IF(M$1=0,"",IF($B289&lt;M$23,M288+PPMT(M$26/12,$B289,M$23,M$235,-M$27,0),IF($B289=M$23,M288+PPMT(M$26/12,$B289,M$23,M$235,-M$27,0)-M$27,0)))</f>
        <v/>
      </c>
      <c r="N289" s="280" t="n"/>
      <c r="O289" s="281" t="n"/>
    </row>
    <row r="290" hidden="1" outlineLevel="1">
      <c r="B290" s="2">
        <f>B289+1</f>
        <v/>
      </c>
      <c r="D290" s="279">
        <f>IF(B290&lt;$D$24,(+CALCULETTE!G687/CALCULETTE!$B$612),0)</f>
        <v/>
      </c>
      <c r="E290" s="279">
        <f>IF(E$1=0,"",IF($B290&lt;E$23,E289+PPMT(E$26/12,$B290,E$23,E$235,-E$27,0),IF($B290=E$23,E289+PPMT(E$26/12,$B290,E$23,E$235,-E$27,0)-E$27,0)))</f>
        <v/>
      </c>
      <c r="F290" s="279">
        <f>IF(F$1=0,"",IF($B290&lt;F$23,F289+PPMT(F$26/12,$B290,F$23,F$235,-F$27,0),IF($B290=F$23,F289+PPMT(F$26/12,$B290,F$23,F$235,-F$27,0)-F$27,0)))</f>
        <v/>
      </c>
      <c r="G290" s="279">
        <f>IF(G$1=0,"",IF($B290&lt;G$23,G289+PPMT(G$26/12,$B290,G$23,G$235,-G$27,0),IF($B290=G$23,G289+PPMT(G$26/12,$B290,G$23,G$235,-G$27,0)-G$27,0)))</f>
        <v/>
      </c>
      <c r="H290" s="279">
        <f>IF(H$1=0,"",IF($B290&lt;H$23,H289+PPMT(H$26/12,$B290,H$23,H$235,-H$27,0),IF($B290=H$23,H289+PPMT(H$26/12,$B290,H$23,H$235,-H$27,0)-H$27,0)))</f>
        <v/>
      </c>
      <c r="I290" s="279">
        <f>IF(I$1=0,"",IF($B290&lt;I$23,I289+PPMT(I$26/12,$B290,I$23,I$235,-I$27,0),IF($B290=I$23,I289+PPMT(I$26/12,$B290,I$23,I$235,-I$27,0)-I$27,0)))</f>
        <v/>
      </c>
      <c r="J290" s="279">
        <f>IF(J$1=0,"",IF($B290&lt;J$23,J289+PPMT(J$26/12,$B290,J$23,J$235,-J$27,0),IF($B290=J$23,J289+PPMT(J$26/12,$B290,J$23,J$235,-J$27,0)-J$27,0)))</f>
        <v/>
      </c>
      <c r="K290" s="279">
        <f>IF(K$1=0,"",IF($B290&lt;K$23,K289+PPMT(K$26/12,$B290,K$23,K$235,-K$27,0),IF($B290=K$23,K289+PPMT(K$26/12,$B290,K$23,K$235,-K$27,0)-K$27,0)))</f>
        <v/>
      </c>
      <c r="L290" s="279">
        <f>IF(L$1=0,"",IF($B290&lt;L$23,L289+PPMT(L$26/12,$B290,L$23,L$235,-L$27,0),IF($B290=L$23,L289+PPMT(L$26/12,$B290,L$23,L$235,-L$27,0)-L$27,0)))</f>
        <v/>
      </c>
      <c r="M290" s="279">
        <f>IF(M$1=0,"",IF($B290&lt;M$23,M289+PPMT(M$26/12,$B290,M$23,M$235,-M$27,0),IF($B290=M$23,M289+PPMT(M$26/12,$B290,M$23,M$235,-M$27,0)-M$27,0)))</f>
        <v/>
      </c>
      <c r="N290" s="280" t="n"/>
      <c r="O290" s="281" t="n"/>
    </row>
    <row r="291" hidden="1" outlineLevel="1">
      <c r="B291" s="2">
        <f>B290+1</f>
        <v/>
      </c>
      <c r="D291" s="279">
        <f>IF(B291&lt;$D$24,(+CALCULETTE!G688/CALCULETTE!$B$612),0)</f>
        <v/>
      </c>
      <c r="E291" s="279">
        <f>IF(E$1=0,"",IF($B291&lt;E$23,E290+PPMT(E$26/12,$B291,E$23,E$235,-E$27,0),IF($B291=E$23,E290+PPMT(E$26/12,$B291,E$23,E$235,-E$27,0)-E$27,0)))</f>
        <v/>
      </c>
      <c r="F291" s="279">
        <f>IF(F$1=0,"",IF($B291&lt;F$23,F290+PPMT(F$26/12,$B291,F$23,F$235,-F$27,0),IF($B291=F$23,F290+PPMT(F$26/12,$B291,F$23,F$235,-F$27,0)-F$27,0)))</f>
        <v/>
      </c>
      <c r="G291" s="279">
        <f>IF(G$1=0,"",IF($B291&lt;G$23,G290+PPMT(G$26/12,$B291,G$23,G$235,-G$27,0),IF($B291=G$23,G290+PPMT(G$26/12,$B291,G$23,G$235,-G$27,0)-G$27,0)))</f>
        <v/>
      </c>
      <c r="H291" s="279">
        <f>IF(H$1=0,"",IF($B291&lt;H$23,H290+PPMT(H$26/12,$B291,H$23,H$235,-H$27,0),IF($B291=H$23,H290+PPMT(H$26/12,$B291,H$23,H$235,-H$27,0)-H$27,0)))</f>
        <v/>
      </c>
      <c r="I291" s="279">
        <f>IF(I$1=0,"",IF($B291&lt;I$23,I290+PPMT(I$26/12,$B291,I$23,I$235,-I$27,0),IF($B291=I$23,I290+PPMT(I$26/12,$B291,I$23,I$235,-I$27,0)-I$27,0)))</f>
        <v/>
      </c>
      <c r="J291" s="279">
        <f>IF(J$1=0,"",IF($B291&lt;J$23,J290+PPMT(J$26/12,$B291,J$23,J$235,-J$27,0),IF($B291=J$23,J290+PPMT(J$26/12,$B291,J$23,J$235,-J$27,0)-J$27,0)))</f>
        <v/>
      </c>
      <c r="K291" s="279">
        <f>IF(K$1=0,"",IF($B291&lt;K$23,K290+PPMT(K$26/12,$B291,K$23,K$235,-K$27,0),IF($B291=K$23,K290+PPMT(K$26/12,$B291,K$23,K$235,-K$27,0)-K$27,0)))</f>
        <v/>
      </c>
      <c r="L291" s="279">
        <f>IF(L$1=0,"",IF($B291&lt;L$23,L290+PPMT(L$26/12,$B291,L$23,L$235,-L$27,0),IF($B291=L$23,L290+PPMT(L$26/12,$B291,L$23,L$235,-L$27,0)-L$27,0)))</f>
        <v/>
      </c>
      <c r="M291" s="279">
        <f>IF(M$1=0,"",IF($B291&lt;M$23,M290+PPMT(M$26/12,$B291,M$23,M$235,-M$27,0),IF($B291=M$23,M290+PPMT(M$26/12,$B291,M$23,M$235,-M$27,0)-M$27,0)))</f>
        <v/>
      </c>
      <c r="N291" s="280" t="n"/>
      <c r="O291" s="281" t="n"/>
    </row>
    <row r="292" hidden="1" outlineLevel="1">
      <c r="B292" s="2">
        <f>B291+1</f>
        <v/>
      </c>
      <c r="D292" s="279">
        <f>IF(B292&lt;$D$24,(+CALCULETTE!G689/CALCULETTE!$B$612),0)</f>
        <v/>
      </c>
      <c r="E292" s="279">
        <f>IF(E$1=0,"",IF($B292&lt;E$23,E291+PPMT(E$26/12,$B292,E$23,E$235,-E$27,0),IF($B292=E$23,E291+PPMT(E$26/12,$B292,E$23,E$235,-E$27,0)-E$27,0)))</f>
        <v/>
      </c>
      <c r="F292" s="279">
        <f>IF(F$1=0,"",IF($B292&lt;F$23,F291+PPMT(F$26/12,$B292,F$23,F$235,-F$27,0),IF($B292=F$23,F291+PPMT(F$26/12,$B292,F$23,F$235,-F$27,0)-F$27,0)))</f>
        <v/>
      </c>
      <c r="G292" s="279">
        <f>IF(G$1=0,"",IF($B292&lt;G$23,G291+PPMT(G$26/12,$B292,G$23,G$235,-G$27,0),IF($B292=G$23,G291+PPMT(G$26/12,$B292,G$23,G$235,-G$27,0)-G$27,0)))</f>
        <v/>
      </c>
      <c r="H292" s="279">
        <f>IF(H$1=0,"",IF($B292&lt;H$23,H291+PPMT(H$26/12,$B292,H$23,H$235,-H$27,0),IF($B292=H$23,H291+PPMT(H$26/12,$B292,H$23,H$235,-H$27,0)-H$27,0)))</f>
        <v/>
      </c>
      <c r="I292" s="279">
        <f>IF(I$1=0,"",IF($B292&lt;I$23,I291+PPMT(I$26/12,$B292,I$23,I$235,-I$27,0),IF($B292=I$23,I291+PPMT(I$26/12,$B292,I$23,I$235,-I$27,0)-I$27,0)))</f>
        <v/>
      </c>
      <c r="J292" s="279">
        <f>IF(J$1=0,"",IF($B292&lt;J$23,J291+PPMT(J$26/12,$B292,J$23,J$235,-J$27,0),IF($B292=J$23,J291+PPMT(J$26/12,$B292,J$23,J$235,-J$27,0)-J$27,0)))</f>
        <v/>
      </c>
      <c r="K292" s="279">
        <f>IF(K$1=0,"",IF($B292&lt;K$23,K291+PPMT(K$26/12,$B292,K$23,K$235,-K$27,0),IF($B292=K$23,K291+PPMT(K$26/12,$B292,K$23,K$235,-K$27,0)-K$27,0)))</f>
        <v/>
      </c>
      <c r="L292" s="279">
        <f>IF(L$1=0,"",IF($B292&lt;L$23,L291+PPMT(L$26/12,$B292,L$23,L$235,-L$27,0),IF($B292=L$23,L291+PPMT(L$26/12,$B292,L$23,L$235,-L$27,0)-L$27,0)))</f>
        <v/>
      </c>
      <c r="M292" s="279">
        <f>IF(M$1=0,"",IF($B292&lt;M$23,M291+PPMT(M$26/12,$B292,M$23,M$235,-M$27,0),IF($B292=M$23,M291+PPMT(M$26/12,$B292,M$23,M$235,-M$27,0)-M$27,0)))</f>
        <v/>
      </c>
      <c r="N292" s="280" t="n"/>
      <c r="O292" s="281" t="n"/>
    </row>
    <row r="293" hidden="1" outlineLevel="1">
      <c r="B293" s="2">
        <f>B292+1</f>
        <v/>
      </c>
      <c r="D293" s="279">
        <f>IF(B293&lt;$D$24,(+CALCULETTE!G690/CALCULETTE!$B$612),0)</f>
        <v/>
      </c>
      <c r="E293" s="279">
        <f>IF(E$1=0,"",IF($B293&lt;E$23,E292+PPMT(E$26/12,$B293,E$23,E$235,-E$27,0),IF($B293=E$23,E292+PPMT(E$26/12,$B293,E$23,E$235,-E$27,0)-E$27,0)))</f>
        <v/>
      </c>
      <c r="F293" s="279">
        <f>IF(F$1=0,"",IF($B293&lt;F$23,F292+PPMT(F$26/12,$B293,F$23,F$235,-F$27,0),IF($B293=F$23,F292+PPMT(F$26/12,$B293,F$23,F$235,-F$27,0)-F$27,0)))</f>
        <v/>
      </c>
      <c r="G293" s="279">
        <f>IF(G$1=0,"",IF($B293&lt;G$23,G292+PPMT(G$26/12,$B293,G$23,G$235,-G$27,0),IF($B293=G$23,G292+PPMT(G$26/12,$B293,G$23,G$235,-G$27,0)-G$27,0)))</f>
        <v/>
      </c>
      <c r="H293" s="279">
        <f>IF(H$1=0,"",IF($B293&lt;H$23,H292+PPMT(H$26/12,$B293,H$23,H$235,-H$27,0),IF($B293=H$23,H292+PPMT(H$26/12,$B293,H$23,H$235,-H$27,0)-H$27,0)))</f>
        <v/>
      </c>
      <c r="I293" s="279">
        <f>IF(I$1=0,"",IF($B293&lt;I$23,I292+PPMT(I$26/12,$B293,I$23,I$235,-I$27,0),IF($B293=I$23,I292+PPMT(I$26/12,$B293,I$23,I$235,-I$27,0)-I$27,0)))</f>
        <v/>
      </c>
      <c r="J293" s="279">
        <f>IF(J$1=0,"",IF($B293&lt;J$23,J292+PPMT(J$26/12,$B293,J$23,J$235,-J$27,0),IF($B293=J$23,J292+PPMT(J$26/12,$B293,J$23,J$235,-J$27,0)-J$27,0)))</f>
        <v/>
      </c>
      <c r="K293" s="279">
        <f>IF(K$1=0,"",IF($B293&lt;K$23,K292+PPMT(K$26/12,$B293,K$23,K$235,-K$27,0),IF($B293=K$23,K292+PPMT(K$26/12,$B293,K$23,K$235,-K$27,0)-K$27,0)))</f>
        <v/>
      </c>
      <c r="L293" s="279">
        <f>IF(L$1=0,"",IF($B293&lt;L$23,L292+PPMT(L$26/12,$B293,L$23,L$235,-L$27,0),IF($B293=L$23,L292+PPMT(L$26/12,$B293,L$23,L$235,-L$27,0)-L$27,0)))</f>
        <v/>
      </c>
      <c r="M293" s="279">
        <f>IF(M$1=0,"",IF($B293&lt;M$23,M292+PPMT(M$26/12,$B293,M$23,M$235,-M$27,0),IF($B293=M$23,M292+PPMT(M$26/12,$B293,M$23,M$235,-M$27,0)-M$27,0)))</f>
        <v/>
      </c>
      <c r="N293" s="280" t="n"/>
      <c r="O293" s="281" t="n"/>
    </row>
    <row r="294" hidden="1" outlineLevel="1">
      <c r="B294" s="2">
        <f>B293+1</f>
        <v/>
      </c>
      <c r="D294" s="279">
        <f>IF(B294&lt;$D$24,(+CALCULETTE!G691/CALCULETTE!$B$612),0)</f>
        <v/>
      </c>
      <c r="E294" s="279">
        <f>IF(E$1=0,"",IF($B294&lt;E$23,E293+PPMT(E$26/12,$B294,E$23,E$235,-E$27,0),IF($B294=E$23,E293+PPMT(E$26/12,$B294,E$23,E$235,-E$27,0)-E$27,0)))</f>
        <v/>
      </c>
      <c r="F294" s="279">
        <f>IF(F$1=0,"",IF($B294&lt;F$23,F293+PPMT(F$26/12,$B294,F$23,F$235,-F$27,0),IF($B294=F$23,F293+PPMT(F$26/12,$B294,F$23,F$235,-F$27,0)-F$27,0)))</f>
        <v/>
      </c>
      <c r="G294" s="279">
        <f>IF(G$1=0,"",IF($B294&lt;G$23,G293+PPMT(G$26/12,$B294,G$23,G$235,-G$27,0),IF($B294=G$23,G293+PPMT(G$26/12,$B294,G$23,G$235,-G$27,0)-G$27,0)))</f>
        <v/>
      </c>
      <c r="H294" s="279">
        <f>IF(H$1=0,"",IF($B294&lt;H$23,H293+PPMT(H$26/12,$B294,H$23,H$235,-H$27,0),IF($B294=H$23,H293+PPMT(H$26/12,$B294,H$23,H$235,-H$27,0)-H$27,0)))</f>
        <v/>
      </c>
      <c r="I294" s="279">
        <f>IF(I$1=0,"",IF($B294&lt;I$23,I293+PPMT(I$26/12,$B294,I$23,I$235,-I$27,0),IF($B294=I$23,I293+PPMT(I$26/12,$B294,I$23,I$235,-I$27,0)-I$27,0)))</f>
        <v/>
      </c>
      <c r="J294" s="279">
        <f>IF(J$1=0,"",IF($B294&lt;J$23,J293+PPMT(J$26/12,$B294,J$23,J$235,-J$27,0),IF($B294=J$23,J293+PPMT(J$26/12,$B294,J$23,J$235,-J$27,0)-J$27,0)))</f>
        <v/>
      </c>
      <c r="K294" s="279">
        <f>IF(K$1=0,"",IF($B294&lt;K$23,K293+PPMT(K$26/12,$B294,K$23,K$235,-K$27,0),IF($B294=K$23,K293+PPMT(K$26/12,$B294,K$23,K$235,-K$27,0)-K$27,0)))</f>
        <v/>
      </c>
      <c r="L294" s="279">
        <f>IF(L$1=0,"",IF($B294&lt;L$23,L293+PPMT(L$26/12,$B294,L$23,L$235,-L$27,0),IF($B294=L$23,L293+PPMT(L$26/12,$B294,L$23,L$235,-L$27,0)-L$27,0)))</f>
        <v/>
      </c>
      <c r="M294" s="279">
        <f>IF(M$1=0,"",IF($B294&lt;M$23,M293+PPMT(M$26/12,$B294,M$23,M$235,-M$27,0),IF($B294=M$23,M293+PPMT(M$26/12,$B294,M$23,M$235,-M$27,0)-M$27,0)))</f>
        <v/>
      </c>
      <c r="N294" s="280" t="n"/>
      <c r="O294" s="281" t="n"/>
    </row>
    <row r="295" hidden="1" outlineLevel="1">
      <c r="B295" s="2">
        <f>B294+1</f>
        <v/>
      </c>
      <c r="D295" s="279">
        <f>IF(B295&lt;$D$24,(+CALCULETTE!G692/CALCULETTE!$B$612),0)</f>
        <v/>
      </c>
      <c r="E295" s="279">
        <f>IF(E$1=0,"",IF($B295&lt;E$23,E294+PPMT(E$26/12,$B295,E$23,E$235,-E$27,0),IF($B295=E$23,E294+PPMT(E$26/12,$B295,E$23,E$235,-E$27,0)-E$27,0)))</f>
        <v/>
      </c>
      <c r="F295" s="279">
        <f>IF(F$1=0,"",IF($B295&lt;F$23,F294+PPMT(F$26/12,$B295,F$23,F$235,-F$27,0),IF($B295=F$23,F294+PPMT(F$26/12,$B295,F$23,F$235,-F$27,0)-F$27,0)))</f>
        <v/>
      </c>
      <c r="G295" s="279">
        <f>IF(G$1=0,"",IF($B295&lt;G$23,G294+PPMT(G$26/12,$B295,G$23,G$235,-G$27,0),IF($B295=G$23,G294+PPMT(G$26/12,$B295,G$23,G$235,-G$27,0)-G$27,0)))</f>
        <v/>
      </c>
      <c r="H295" s="279">
        <f>IF(H$1=0,"",IF($B295&lt;H$23,H294+PPMT(H$26/12,$B295,H$23,H$235,-H$27,0),IF($B295=H$23,H294+PPMT(H$26/12,$B295,H$23,H$235,-H$27,0)-H$27,0)))</f>
        <v/>
      </c>
      <c r="I295" s="279">
        <f>IF(I$1=0,"",IF($B295&lt;I$23,I294+PPMT(I$26/12,$B295,I$23,I$235,-I$27,0),IF($B295=I$23,I294+PPMT(I$26/12,$B295,I$23,I$235,-I$27,0)-I$27,0)))</f>
        <v/>
      </c>
      <c r="J295" s="279">
        <f>IF(J$1=0,"",IF($B295&lt;J$23,J294+PPMT(J$26/12,$B295,J$23,J$235,-J$27,0),IF($B295=J$23,J294+PPMT(J$26/12,$B295,J$23,J$235,-J$27,0)-J$27,0)))</f>
        <v/>
      </c>
      <c r="K295" s="279">
        <f>IF(K$1=0,"",IF($B295&lt;K$23,K294+PPMT(K$26/12,$B295,K$23,K$235,-K$27,0),IF($B295=K$23,K294+PPMT(K$26/12,$B295,K$23,K$235,-K$27,0)-K$27,0)))</f>
        <v/>
      </c>
      <c r="L295" s="279">
        <f>IF(L$1=0,"",IF($B295&lt;L$23,L294+PPMT(L$26/12,$B295,L$23,L$235,-L$27,0),IF($B295=L$23,L294+PPMT(L$26/12,$B295,L$23,L$235,-L$27,0)-L$27,0)))</f>
        <v/>
      </c>
      <c r="M295" s="279">
        <f>IF(M$1=0,"",IF($B295&lt;M$23,M294+PPMT(M$26/12,$B295,M$23,M$235,-M$27,0),IF($B295=M$23,M294+PPMT(M$26/12,$B295,M$23,M$235,-M$27,0)-M$27,0)))</f>
        <v/>
      </c>
      <c r="N295" s="280" t="n"/>
      <c r="O295" s="281" t="n"/>
    </row>
    <row r="296" hidden="1" outlineLevel="1">
      <c r="B296" s="2">
        <f>B295+1</f>
        <v/>
      </c>
      <c r="D296" s="279">
        <f>IF(B296&lt;$D$24,(+CALCULETTE!G693/CALCULETTE!$B$612),0)</f>
        <v/>
      </c>
      <c r="E296" s="279">
        <f>IF(E$1=0,"",IF($B296&lt;E$23,E295+PPMT(E$26/12,$B296,E$23,E$235,-E$27,0),IF($B296=E$23,E295+PPMT(E$26/12,$B296,E$23,E$235,-E$27,0)-E$27,0)))</f>
        <v/>
      </c>
      <c r="F296" s="279">
        <f>IF(F$1=0,"",IF($B296&lt;F$23,F295+PPMT(F$26/12,$B296,F$23,F$235,-F$27,0),IF($B296=F$23,F295+PPMT(F$26/12,$B296,F$23,F$235,-F$27,0)-F$27,0)))</f>
        <v/>
      </c>
      <c r="G296" s="279">
        <f>IF(G$1=0,"",IF($B296&lt;G$23,G295+PPMT(G$26/12,$B296,G$23,G$235,-G$27,0),IF($B296=G$23,G295+PPMT(G$26/12,$B296,G$23,G$235,-G$27,0)-G$27,0)))</f>
        <v/>
      </c>
      <c r="H296" s="279">
        <f>IF(H$1=0,"",IF($B296&lt;H$23,H295+PPMT(H$26/12,$B296,H$23,H$235,-H$27,0),IF($B296=H$23,H295+PPMT(H$26/12,$B296,H$23,H$235,-H$27,0)-H$27,0)))</f>
        <v/>
      </c>
      <c r="I296" s="279">
        <f>IF(I$1=0,"",IF($B296&lt;I$23,I295+PPMT(I$26/12,$B296,I$23,I$235,-I$27,0),IF($B296=I$23,I295+PPMT(I$26/12,$B296,I$23,I$235,-I$27,0)-I$27,0)))</f>
        <v/>
      </c>
      <c r="J296" s="279">
        <f>IF(J$1=0,"",IF($B296&lt;J$23,J295+PPMT(J$26/12,$B296,J$23,J$235,-J$27,0),IF($B296=J$23,J295+PPMT(J$26/12,$B296,J$23,J$235,-J$27,0)-J$27,0)))</f>
        <v/>
      </c>
      <c r="K296" s="279">
        <f>IF(K$1=0,"",IF($B296&lt;K$23,K295+PPMT(K$26/12,$B296,K$23,K$235,-K$27,0),IF($B296=K$23,K295+PPMT(K$26/12,$B296,K$23,K$235,-K$27,0)-K$27,0)))</f>
        <v/>
      </c>
      <c r="L296" s="279">
        <f>IF(L$1=0,"",IF($B296&lt;L$23,L295+PPMT(L$26/12,$B296,L$23,L$235,-L$27,0),IF($B296=L$23,L295+PPMT(L$26/12,$B296,L$23,L$235,-L$27,0)-L$27,0)))</f>
        <v/>
      </c>
      <c r="M296" s="279">
        <f>IF(M$1=0,"",IF($B296&lt;M$23,M295+PPMT(M$26/12,$B296,M$23,M$235,-M$27,0),IF($B296=M$23,M295+PPMT(M$26/12,$B296,M$23,M$235,-M$27,0)-M$27,0)))</f>
        <v/>
      </c>
      <c r="N296" s="280" t="n"/>
      <c r="O296" s="281" t="n"/>
    </row>
    <row r="297" hidden="1" outlineLevel="1">
      <c r="B297" s="2">
        <f>B296+1</f>
        <v/>
      </c>
      <c r="D297" s="279">
        <f>IF(B297&lt;$D$24,(+CALCULETTE!G694/CALCULETTE!$B$612),0)</f>
        <v/>
      </c>
      <c r="E297" s="279">
        <f>IF(E$1=0,"",IF($B297&lt;E$23,E296+PPMT(E$26/12,$B297,E$23,E$235,-E$27,0),IF($B297=E$23,E296+PPMT(E$26/12,$B297,E$23,E$235,-E$27,0)-E$27,0)))</f>
        <v/>
      </c>
      <c r="F297" s="279">
        <f>IF(F$1=0,"",IF($B297&lt;F$23,F296+PPMT(F$26/12,$B297,F$23,F$235,-F$27,0),IF($B297=F$23,F296+PPMT(F$26/12,$B297,F$23,F$235,-F$27,0)-F$27,0)))</f>
        <v/>
      </c>
      <c r="G297" s="279">
        <f>IF(G$1=0,"",IF($B297&lt;G$23,G296+PPMT(G$26/12,$B297,G$23,G$235,-G$27,0),IF($B297=G$23,G296+PPMT(G$26/12,$B297,G$23,G$235,-G$27,0)-G$27,0)))</f>
        <v/>
      </c>
      <c r="H297" s="279">
        <f>IF(H$1=0,"",IF($B297&lt;H$23,H296+PPMT(H$26/12,$B297,H$23,H$235,-H$27,0),IF($B297=H$23,H296+PPMT(H$26/12,$B297,H$23,H$235,-H$27,0)-H$27,0)))</f>
        <v/>
      </c>
      <c r="I297" s="279">
        <f>IF(I$1=0,"",IF($B297&lt;I$23,I296+PPMT(I$26/12,$B297,I$23,I$235,-I$27,0),IF($B297=I$23,I296+PPMT(I$26/12,$B297,I$23,I$235,-I$27,0)-I$27,0)))</f>
        <v/>
      </c>
      <c r="J297" s="279">
        <f>IF(J$1=0,"",IF($B297&lt;J$23,J296+PPMT(J$26/12,$B297,J$23,J$235,-J$27,0),IF($B297=J$23,J296+PPMT(J$26/12,$B297,J$23,J$235,-J$27,0)-J$27,0)))</f>
        <v/>
      </c>
      <c r="K297" s="279">
        <f>IF(K$1=0,"",IF($B297&lt;K$23,K296+PPMT(K$26/12,$B297,K$23,K$235,-K$27,0),IF($B297=K$23,K296+PPMT(K$26/12,$B297,K$23,K$235,-K$27,0)-K$27,0)))</f>
        <v/>
      </c>
      <c r="L297" s="279">
        <f>IF(L$1=0,"",IF($B297&lt;L$23,L296+PPMT(L$26/12,$B297,L$23,L$235,-L$27,0),IF($B297=L$23,L296+PPMT(L$26/12,$B297,L$23,L$235,-L$27,0)-L$27,0)))</f>
        <v/>
      </c>
      <c r="M297" s="279">
        <f>IF(M$1=0,"",IF($B297&lt;M$23,M296+PPMT(M$26/12,$B297,M$23,M$235,-M$27,0),IF($B297=M$23,M296+PPMT(M$26/12,$B297,M$23,M$235,-M$27,0)-M$27,0)))</f>
        <v/>
      </c>
      <c r="N297" s="280" t="n"/>
      <c r="O297" s="281" t="n"/>
    </row>
    <row r="298" hidden="1" outlineLevel="1">
      <c r="B298" s="2">
        <f>B297+1</f>
        <v/>
      </c>
      <c r="D298" s="279">
        <f>IF(B298&lt;$D$24,(+CALCULETTE!G695/CALCULETTE!$B$612),0)</f>
        <v/>
      </c>
      <c r="E298" s="279">
        <f>IF(E$1=0,"",IF($B298&lt;E$23,E297+PPMT(E$26/12,$B298,E$23,E$235,-E$27,0),IF($B298=E$23,E297+PPMT(E$26/12,$B298,E$23,E$235,-E$27,0)-E$27,0)))</f>
        <v/>
      </c>
      <c r="F298" s="279">
        <f>IF(F$1=0,"",IF($B298&lt;F$23,F297+PPMT(F$26/12,$B298,F$23,F$235,-F$27,0),IF($B298=F$23,F297+PPMT(F$26/12,$B298,F$23,F$235,-F$27,0)-F$27,0)))</f>
        <v/>
      </c>
      <c r="G298" s="279">
        <f>IF(G$1=0,"",IF($B298&lt;G$23,G297+PPMT(G$26/12,$B298,G$23,G$235,-G$27,0),IF($B298=G$23,G297+PPMT(G$26/12,$B298,G$23,G$235,-G$27,0)-G$27,0)))</f>
        <v/>
      </c>
      <c r="H298" s="279">
        <f>IF(H$1=0,"",IF($B298&lt;H$23,H297+PPMT(H$26/12,$B298,H$23,H$235,-H$27,0),IF($B298=H$23,H297+PPMT(H$26/12,$B298,H$23,H$235,-H$27,0)-H$27,0)))</f>
        <v/>
      </c>
      <c r="I298" s="279">
        <f>IF(I$1=0,"",IF($B298&lt;I$23,I297+PPMT(I$26/12,$B298,I$23,I$235,-I$27,0),IF($B298=I$23,I297+PPMT(I$26/12,$B298,I$23,I$235,-I$27,0)-I$27,0)))</f>
        <v/>
      </c>
      <c r="J298" s="279">
        <f>IF(J$1=0,"",IF($B298&lt;J$23,J297+PPMT(J$26/12,$B298,J$23,J$235,-J$27,0),IF($B298=J$23,J297+PPMT(J$26/12,$B298,J$23,J$235,-J$27,0)-J$27,0)))</f>
        <v/>
      </c>
      <c r="K298" s="279">
        <f>IF(K$1=0,"",IF($B298&lt;K$23,K297+PPMT(K$26/12,$B298,K$23,K$235,-K$27,0),IF($B298=K$23,K297+PPMT(K$26/12,$B298,K$23,K$235,-K$27,0)-K$27,0)))</f>
        <v/>
      </c>
      <c r="L298" s="279">
        <f>IF(L$1=0,"",IF($B298&lt;L$23,L297+PPMT(L$26/12,$B298,L$23,L$235,-L$27,0),IF($B298=L$23,L297+PPMT(L$26/12,$B298,L$23,L$235,-L$27,0)-L$27,0)))</f>
        <v/>
      </c>
      <c r="M298" s="279">
        <f>IF(M$1=0,"",IF($B298&lt;M$23,M297+PPMT(M$26/12,$B298,M$23,M$235,-M$27,0),IF($B298=M$23,M297+PPMT(M$26/12,$B298,M$23,M$235,-M$27,0)-M$27,0)))</f>
        <v/>
      </c>
      <c r="N298" s="280" t="n"/>
      <c r="O298" s="281" t="n"/>
    </row>
    <row r="299" hidden="1" outlineLevel="1">
      <c r="B299" s="2">
        <f>B298+1</f>
        <v/>
      </c>
      <c r="D299" s="279">
        <f>IF(B299&lt;$D$24,(+CALCULETTE!G696/CALCULETTE!$B$612),0)</f>
        <v/>
      </c>
      <c r="E299" s="279">
        <f>IF(E$1=0,"",IF($B299&lt;E$23,E298+PPMT(E$26/12,$B299,E$23,E$235,-E$27,0),IF($B299=E$23,E298+PPMT(E$26/12,$B299,E$23,E$235,-E$27,0)-E$27,0)))</f>
        <v/>
      </c>
      <c r="F299" s="279">
        <f>IF(F$1=0,"",IF($B299&lt;F$23,F298+PPMT(F$26/12,$B299,F$23,F$235,-F$27,0),IF($B299=F$23,F298+PPMT(F$26/12,$B299,F$23,F$235,-F$27,0)-F$27,0)))</f>
        <v/>
      </c>
      <c r="G299" s="279">
        <f>IF(G$1=0,"",IF($B299&lt;G$23,G298+PPMT(G$26/12,$B299,G$23,G$235,-G$27,0),IF($B299=G$23,G298+PPMT(G$26/12,$B299,G$23,G$235,-G$27,0)-G$27,0)))</f>
        <v/>
      </c>
      <c r="H299" s="279">
        <f>IF(H$1=0,"",IF($B299&lt;H$23,H298+PPMT(H$26/12,$B299,H$23,H$235,-H$27,0),IF($B299=H$23,H298+PPMT(H$26/12,$B299,H$23,H$235,-H$27,0)-H$27,0)))</f>
        <v/>
      </c>
      <c r="I299" s="279">
        <f>IF(I$1=0,"",IF($B299&lt;I$23,I298+PPMT(I$26/12,$B299,I$23,I$235,-I$27,0),IF($B299=I$23,I298+PPMT(I$26/12,$B299,I$23,I$235,-I$27,0)-I$27,0)))</f>
        <v/>
      </c>
      <c r="J299" s="279">
        <f>IF(J$1=0,"",IF($B299&lt;J$23,J298+PPMT(J$26/12,$B299,J$23,J$235,-J$27,0),IF($B299=J$23,J298+PPMT(J$26/12,$B299,J$23,J$235,-J$27,0)-J$27,0)))</f>
        <v/>
      </c>
      <c r="K299" s="279">
        <f>IF(K$1=0,"",IF($B299&lt;K$23,K298+PPMT(K$26/12,$B299,K$23,K$235,-K$27,0),IF($B299=K$23,K298+PPMT(K$26/12,$B299,K$23,K$235,-K$27,0)-K$27,0)))</f>
        <v/>
      </c>
      <c r="L299" s="279">
        <f>IF(L$1=0,"",IF($B299&lt;L$23,L298+PPMT(L$26/12,$B299,L$23,L$235,-L$27,0),IF($B299=L$23,L298+PPMT(L$26/12,$B299,L$23,L$235,-L$27,0)-L$27,0)))</f>
        <v/>
      </c>
      <c r="M299" s="279">
        <f>IF(M$1=0,"",IF($B299&lt;M$23,M298+PPMT(M$26/12,$B299,M$23,M$235,-M$27,0),IF($B299=M$23,M298+PPMT(M$26/12,$B299,M$23,M$235,-M$27,0)-M$27,0)))</f>
        <v/>
      </c>
      <c r="N299" s="280" t="n"/>
      <c r="O299" s="281" t="n"/>
    </row>
    <row r="300" hidden="1" outlineLevel="1">
      <c r="B300" s="2">
        <f>B299+1</f>
        <v/>
      </c>
      <c r="D300" s="279">
        <f>IF(B300&lt;$D$24,(+CALCULETTE!G697/CALCULETTE!$B$612),0)</f>
        <v/>
      </c>
      <c r="E300" s="279">
        <f>IF(E$1=0,"",IF($B300&lt;E$23,E299+PPMT(E$26/12,$B300,E$23,E$235,-E$27,0),IF($B300=E$23,E299+PPMT(E$26/12,$B300,E$23,E$235,-E$27,0)-E$27,0)))</f>
        <v/>
      </c>
      <c r="F300" s="279">
        <f>IF(F$1=0,"",IF($B300&lt;F$23,F299+PPMT(F$26/12,$B300,F$23,F$235,-F$27,0),IF($B300=F$23,F299+PPMT(F$26/12,$B300,F$23,F$235,-F$27,0)-F$27,0)))</f>
        <v/>
      </c>
      <c r="G300" s="279">
        <f>IF(G$1=0,"",IF($B300&lt;G$23,G299+PPMT(G$26/12,$B300,G$23,G$235,-G$27,0),IF($B300=G$23,G299+PPMT(G$26/12,$B300,G$23,G$235,-G$27,0)-G$27,0)))</f>
        <v/>
      </c>
      <c r="H300" s="279">
        <f>IF(H$1=0,"",IF($B300&lt;H$23,H299+PPMT(H$26/12,$B300,H$23,H$235,-H$27,0),IF($B300=H$23,H299+PPMT(H$26/12,$B300,H$23,H$235,-H$27,0)-H$27,0)))</f>
        <v/>
      </c>
      <c r="I300" s="279">
        <f>IF(I$1=0,"",IF($B300&lt;I$23,I299+PPMT(I$26/12,$B300,I$23,I$235,-I$27,0),IF($B300=I$23,I299+PPMT(I$26/12,$B300,I$23,I$235,-I$27,0)-I$27,0)))</f>
        <v/>
      </c>
      <c r="J300" s="279">
        <f>IF(J$1=0,"",IF($B300&lt;J$23,J299+PPMT(J$26/12,$B300,J$23,J$235,-J$27,0),IF($B300=J$23,J299+PPMT(J$26/12,$B300,J$23,J$235,-J$27,0)-J$27,0)))</f>
        <v/>
      </c>
      <c r="K300" s="279">
        <f>IF(K$1=0,"",IF($B300&lt;K$23,K299+PPMT(K$26/12,$B300,K$23,K$235,-K$27,0),IF($B300=K$23,K299+PPMT(K$26/12,$B300,K$23,K$235,-K$27,0)-K$27,0)))</f>
        <v/>
      </c>
      <c r="L300" s="279">
        <f>IF(L$1=0,"",IF($B300&lt;L$23,L299+PPMT(L$26/12,$B300,L$23,L$235,-L$27,0),IF($B300=L$23,L299+PPMT(L$26/12,$B300,L$23,L$235,-L$27,0)-L$27,0)))</f>
        <v/>
      </c>
      <c r="M300" s="279">
        <f>IF(M$1=0,"",IF($B300&lt;M$23,M299+PPMT(M$26/12,$B300,M$23,M$235,-M$27,0),IF($B300=M$23,M299+PPMT(M$26/12,$B300,M$23,M$235,-M$27,0)-M$27,0)))</f>
        <v/>
      </c>
      <c r="N300" s="280" t="n"/>
      <c r="O300" s="281" t="n"/>
    </row>
    <row r="301" hidden="1" outlineLevel="1">
      <c r="B301" s="2">
        <f>B300+1</f>
        <v/>
      </c>
      <c r="D301" s="279">
        <f>IF(B301&lt;$D$24,(+CALCULETTE!G698/CALCULETTE!$B$612),0)</f>
        <v/>
      </c>
      <c r="E301" s="279">
        <f>IF(E$1=0,"",IF($B301&lt;E$23,E300+PPMT(E$26/12,$B301,E$23,E$235,-E$27,0),IF($B301=E$23,E300+PPMT(E$26/12,$B301,E$23,E$235,-E$27,0)-E$27,0)))</f>
        <v/>
      </c>
      <c r="F301" s="279">
        <f>IF(F$1=0,"",IF($B301&lt;F$23,F300+PPMT(F$26/12,$B301,F$23,F$235,-F$27,0),IF($B301=F$23,F300+PPMT(F$26/12,$B301,F$23,F$235,-F$27,0)-F$27,0)))</f>
        <v/>
      </c>
      <c r="G301" s="279">
        <f>IF(G$1=0,"",IF($B301&lt;G$23,G300+PPMT(G$26/12,$B301,G$23,G$235,-G$27,0),IF($B301=G$23,G300+PPMT(G$26/12,$B301,G$23,G$235,-G$27,0)-G$27,0)))</f>
        <v/>
      </c>
      <c r="H301" s="279">
        <f>IF(H$1=0,"",IF($B301&lt;H$23,H300+PPMT(H$26/12,$B301,H$23,H$235,-H$27,0),IF($B301=H$23,H300+PPMT(H$26/12,$B301,H$23,H$235,-H$27,0)-H$27,0)))</f>
        <v/>
      </c>
      <c r="I301" s="279">
        <f>IF(I$1=0,"",IF($B301&lt;I$23,I300+PPMT(I$26/12,$B301,I$23,I$235,-I$27,0),IF($B301=I$23,I300+PPMT(I$26/12,$B301,I$23,I$235,-I$27,0)-I$27,0)))</f>
        <v/>
      </c>
      <c r="J301" s="279">
        <f>IF(J$1=0,"",IF($B301&lt;J$23,J300+PPMT(J$26/12,$B301,J$23,J$235,-J$27,0),IF($B301=J$23,J300+PPMT(J$26/12,$B301,J$23,J$235,-J$27,0)-J$27,0)))</f>
        <v/>
      </c>
      <c r="K301" s="279">
        <f>IF(K$1=0,"",IF($B301&lt;K$23,K300+PPMT(K$26/12,$B301,K$23,K$235,-K$27,0),IF($B301=K$23,K300+PPMT(K$26/12,$B301,K$23,K$235,-K$27,0)-K$27,0)))</f>
        <v/>
      </c>
      <c r="L301" s="279">
        <f>IF(L$1=0,"",IF($B301&lt;L$23,L300+PPMT(L$26/12,$B301,L$23,L$235,-L$27,0),IF($B301=L$23,L300+PPMT(L$26/12,$B301,L$23,L$235,-L$27,0)-L$27,0)))</f>
        <v/>
      </c>
      <c r="M301" s="279">
        <f>IF(M$1=0,"",IF($B301&lt;M$23,M300+PPMT(M$26/12,$B301,M$23,M$235,-M$27,0),IF($B301=M$23,M300+PPMT(M$26/12,$B301,M$23,M$235,-M$27,0)-M$27,0)))</f>
        <v/>
      </c>
      <c r="N301" s="280" t="n"/>
      <c r="O301" s="281" t="n"/>
    </row>
    <row r="302" hidden="1" outlineLevel="1">
      <c r="B302" s="2">
        <f>B301+1</f>
        <v/>
      </c>
      <c r="D302" s="279">
        <f>IF(B302&lt;$D$24,(+CALCULETTE!G699/CALCULETTE!$B$612),0)</f>
        <v/>
      </c>
      <c r="E302" s="279">
        <f>IF(E$1=0,"",IF($B302&lt;E$23,E301+PPMT(E$26/12,$B302,E$23,E$235,-E$27,0),IF($B302=E$23,E301+PPMT(E$26/12,$B302,E$23,E$235,-E$27,0)-E$27,0)))</f>
        <v/>
      </c>
      <c r="F302" s="279">
        <f>IF(F$1=0,"",IF($B302&lt;F$23,F301+PPMT(F$26/12,$B302,F$23,F$235,-F$27,0),IF($B302=F$23,F301+PPMT(F$26/12,$B302,F$23,F$235,-F$27,0)-F$27,0)))</f>
        <v/>
      </c>
      <c r="G302" s="279">
        <f>IF(G$1=0,"",IF($B302&lt;G$23,G301+PPMT(G$26/12,$B302,G$23,G$235,-G$27,0),IF($B302=G$23,G301+PPMT(G$26/12,$B302,G$23,G$235,-G$27,0)-G$27,0)))</f>
        <v/>
      </c>
      <c r="H302" s="279">
        <f>IF(H$1=0,"",IF($B302&lt;H$23,H301+PPMT(H$26/12,$B302,H$23,H$235,-H$27,0),IF($B302=H$23,H301+PPMT(H$26/12,$B302,H$23,H$235,-H$27,0)-H$27,0)))</f>
        <v/>
      </c>
      <c r="I302" s="279">
        <f>IF(I$1=0,"",IF($B302&lt;I$23,I301+PPMT(I$26/12,$B302,I$23,I$235,-I$27,0),IF($B302=I$23,I301+PPMT(I$26/12,$B302,I$23,I$235,-I$27,0)-I$27,0)))</f>
        <v/>
      </c>
      <c r="J302" s="279">
        <f>IF(J$1=0,"",IF($B302&lt;J$23,J301+PPMT(J$26/12,$B302,J$23,J$235,-J$27,0),IF($B302=J$23,J301+PPMT(J$26/12,$B302,J$23,J$235,-J$27,0)-J$27,0)))</f>
        <v/>
      </c>
      <c r="K302" s="279">
        <f>IF(K$1=0,"",IF($B302&lt;K$23,K301+PPMT(K$26/12,$B302,K$23,K$235,-K$27,0),IF($B302=K$23,K301+PPMT(K$26/12,$B302,K$23,K$235,-K$27,0)-K$27,0)))</f>
        <v/>
      </c>
      <c r="L302" s="279">
        <f>IF(L$1=0,"",IF($B302&lt;L$23,L301+PPMT(L$26/12,$B302,L$23,L$235,-L$27,0),IF($B302=L$23,L301+PPMT(L$26/12,$B302,L$23,L$235,-L$27,0)-L$27,0)))</f>
        <v/>
      </c>
      <c r="M302" s="279">
        <f>IF(M$1=0,"",IF($B302&lt;M$23,M301+PPMT(M$26/12,$B302,M$23,M$235,-M$27,0),IF($B302=M$23,M301+PPMT(M$26/12,$B302,M$23,M$235,-M$27,0)-M$27,0)))</f>
        <v/>
      </c>
      <c r="N302" s="280" t="n"/>
      <c r="O302" s="281" t="n"/>
    </row>
    <row r="303" hidden="1" outlineLevel="1">
      <c r="B303" s="2">
        <f>B302+1</f>
        <v/>
      </c>
      <c r="D303" s="279">
        <f>IF(B303&lt;$D$24,(+CALCULETTE!G700/CALCULETTE!$B$612),0)</f>
        <v/>
      </c>
      <c r="E303" s="279">
        <f>IF(E$1=0,"",IF($B303&lt;E$23,E302+PPMT(E$26/12,$B303,E$23,E$235,-E$27,0),IF($B303=E$23,E302+PPMT(E$26/12,$B303,E$23,E$235,-E$27,0)-E$27,0)))</f>
        <v/>
      </c>
      <c r="F303" s="279">
        <f>IF(F$1=0,"",IF($B303&lt;F$23,F302+PPMT(F$26/12,$B303,F$23,F$235,-F$27,0),IF($B303=F$23,F302+PPMT(F$26/12,$B303,F$23,F$235,-F$27,0)-F$27,0)))</f>
        <v/>
      </c>
      <c r="G303" s="279">
        <f>IF(G$1=0,"",IF($B303&lt;G$23,G302+PPMT(G$26/12,$B303,G$23,G$235,-G$27,0),IF($B303=G$23,G302+PPMT(G$26/12,$B303,G$23,G$235,-G$27,0)-G$27,0)))</f>
        <v/>
      </c>
      <c r="H303" s="279">
        <f>IF(H$1=0,"",IF($B303&lt;H$23,H302+PPMT(H$26/12,$B303,H$23,H$235,-H$27,0),IF($B303=H$23,H302+PPMT(H$26/12,$B303,H$23,H$235,-H$27,0)-H$27,0)))</f>
        <v/>
      </c>
      <c r="I303" s="279">
        <f>IF(I$1=0,"",IF($B303&lt;I$23,I302+PPMT(I$26/12,$B303,I$23,I$235,-I$27,0),IF($B303=I$23,I302+PPMT(I$26/12,$B303,I$23,I$235,-I$27,0)-I$27,0)))</f>
        <v/>
      </c>
      <c r="J303" s="279">
        <f>IF(J$1=0,"",IF($B303&lt;J$23,J302+PPMT(J$26/12,$B303,J$23,J$235,-J$27,0),IF($B303=J$23,J302+PPMT(J$26/12,$B303,J$23,J$235,-J$27,0)-J$27,0)))</f>
        <v/>
      </c>
      <c r="K303" s="279">
        <f>IF(K$1=0,"",IF($B303&lt;K$23,K302+PPMT(K$26/12,$B303,K$23,K$235,-K$27,0),IF($B303=K$23,K302+PPMT(K$26/12,$B303,K$23,K$235,-K$27,0)-K$27,0)))</f>
        <v/>
      </c>
      <c r="L303" s="279">
        <f>IF(L$1=0,"",IF($B303&lt;L$23,L302+PPMT(L$26/12,$B303,L$23,L$235,-L$27,0),IF($B303=L$23,L302+PPMT(L$26/12,$B303,L$23,L$235,-L$27,0)-L$27,0)))</f>
        <v/>
      </c>
      <c r="M303" s="279">
        <f>IF(M$1=0,"",IF($B303&lt;M$23,M302+PPMT(M$26/12,$B303,M$23,M$235,-M$27,0),IF($B303=M$23,M302+PPMT(M$26/12,$B303,M$23,M$235,-M$27,0)-M$27,0)))</f>
        <v/>
      </c>
      <c r="N303" s="280" t="n"/>
      <c r="O303" s="281" t="n"/>
    </row>
    <row r="304" hidden="1" outlineLevel="1">
      <c r="B304" s="2">
        <f>B303+1</f>
        <v/>
      </c>
      <c r="D304" s="279">
        <f>IF(B304&lt;$D$24,(+CALCULETTE!G701/CALCULETTE!$B$612),0)</f>
        <v/>
      </c>
      <c r="E304" s="279">
        <f>IF(E$1=0,"",IF($B304&lt;E$23,E303+PPMT(E$26/12,$B304,E$23,E$235,-E$27,0),IF($B304=E$23,E303+PPMT(E$26/12,$B304,E$23,E$235,-E$27,0)-E$27,0)))</f>
        <v/>
      </c>
      <c r="F304" s="279">
        <f>IF(F$1=0,"",IF($B304&lt;F$23,F303+PPMT(F$26/12,$B304,F$23,F$235,-F$27,0),IF($B304=F$23,F303+PPMT(F$26/12,$B304,F$23,F$235,-F$27,0)-F$27,0)))</f>
        <v/>
      </c>
      <c r="G304" s="279">
        <f>IF(G$1=0,"",IF($B304&lt;G$23,G303+PPMT(G$26/12,$B304,G$23,G$235,-G$27,0),IF($B304=G$23,G303+PPMT(G$26/12,$B304,G$23,G$235,-G$27,0)-G$27,0)))</f>
        <v/>
      </c>
      <c r="H304" s="279">
        <f>IF(H$1=0,"",IF($B304&lt;H$23,H303+PPMT(H$26/12,$B304,H$23,H$235,-H$27,0),IF($B304=H$23,H303+PPMT(H$26/12,$B304,H$23,H$235,-H$27,0)-H$27,0)))</f>
        <v/>
      </c>
      <c r="I304" s="279">
        <f>IF(I$1=0,"",IF($B304&lt;I$23,I303+PPMT(I$26/12,$B304,I$23,I$235,-I$27,0),IF($B304=I$23,I303+PPMT(I$26/12,$B304,I$23,I$235,-I$27,0)-I$27,0)))</f>
        <v/>
      </c>
      <c r="J304" s="279">
        <f>IF(J$1=0,"",IF($B304&lt;J$23,J303+PPMT(J$26/12,$B304,J$23,J$235,-J$27,0),IF($B304=J$23,J303+PPMT(J$26/12,$B304,J$23,J$235,-J$27,0)-J$27,0)))</f>
        <v/>
      </c>
      <c r="K304" s="279">
        <f>IF(K$1=0,"",IF($B304&lt;K$23,K303+PPMT(K$26/12,$B304,K$23,K$235,-K$27,0),IF($B304=K$23,K303+PPMT(K$26/12,$B304,K$23,K$235,-K$27,0)-K$27,0)))</f>
        <v/>
      </c>
      <c r="L304" s="279">
        <f>IF(L$1=0,"",IF($B304&lt;L$23,L303+PPMT(L$26/12,$B304,L$23,L$235,-L$27,0),IF($B304=L$23,L303+PPMT(L$26/12,$B304,L$23,L$235,-L$27,0)-L$27,0)))</f>
        <v/>
      </c>
      <c r="M304" s="279">
        <f>IF(M$1=0,"",IF($B304&lt;M$23,M303+PPMT(M$26/12,$B304,M$23,M$235,-M$27,0),IF($B304=M$23,M303+PPMT(M$26/12,$B304,M$23,M$235,-M$27,0)-M$27,0)))</f>
        <v/>
      </c>
      <c r="N304" s="280" t="n"/>
      <c r="O304" s="281" t="n"/>
    </row>
    <row r="305" hidden="1" outlineLevel="1">
      <c r="B305" s="2">
        <f>B304+1</f>
        <v/>
      </c>
      <c r="D305" s="279">
        <f>IF(B305&lt;$D$24,(+CALCULETTE!G702/CALCULETTE!$B$612),0)</f>
        <v/>
      </c>
      <c r="E305" s="279">
        <f>IF(E$1=0,"",IF($B305&lt;E$23,E304+PPMT(E$26/12,$B305,E$23,E$235,-E$27,0),IF($B305=E$23,E304+PPMT(E$26/12,$B305,E$23,E$235,-E$27,0)-E$27,0)))</f>
        <v/>
      </c>
      <c r="F305" s="279">
        <f>IF(F$1=0,"",IF($B305&lt;F$23,F304+PPMT(F$26/12,$B305,F$23,F$235,-F$27,0),IF($B305=F$23,F304+PPMT(F$26/12,$B305,F$23,F$235,-F$27,0)-F$27,0)))</f>
        <v/>
      </c>
      <c r="G305" s="279">
        <f>IF(G$1=0,"",IF($B305&lt;G$23,G304+PPMT(G$26/12,$B305,G$23,G$235,-G$27,0),IF($B305=G$23,G304+PPMT(G$26/12,$B305,G$23,G$235,-G$27,0)-G$27,0)))</f>
        <v/>
      </c>
      <c r="H305" s="279">
        <f>IF(H$1=0,"",IF($B305&lt;H$23,H304+PPMT(H$26/12,$B305,H$23,H$235,-H$27,0),IF($B305=H$23,H304+PPMT(H$26/12,$B305,H$23,H$235,-H$27,0)-H$27,0)))</f>
        <v/>
      </c>
      <c r="I305" s="279">
        <f>IF(I$1=0,"",IF($B305&lt;I$23,I304+PPMT(I$26/12,$B305,I$23,I$235,-I$27,0),IF($B305=I$23,I304+PPMT(I$26/12,$B305,I$23,I$235,-I$27,0)-I$27,0)))</f>
        <v/>
      </c>
      <c r="J305" s="279">
        <f>IF(J$1=0,"",IF($B305&lt;J$23,J304+PPMT(J$26/12,$B305,J$23,J$235,-J$27,0),IF($B305=J$23,J304+PPMT(J$26/12,$B305,J$23,J$235,-J$27,0)-J$27,0)))</f>
        <v/>
      </c>
      <c r="K305" s="279">
        <f>IF(K$1=0,"",IF($B305&lt;K$23,K304+PPMT(K$26/12,$B305,K$23,K$235,-K$27,0),IF($B305=K$23,K304+PPMT(K$26/12,$B305,K$23,K$235,-K$27,0)-K$27,0)))</f>
        <v/>
      </c>
      <c r="L305" s="279">
        <f>IF(L$1=0,"",IF($B305&lt;L$23,L304+PPMT(L$26/12,$B305,L$23,L$235,-L$27,0),IF($B305=L$23,L304+PPMT(L$26/12,$B305,L$23,L$235,-L$27,0)-L$27,0)))</f>
        <v/>
      </c>
      <c r="M305" s="279">
        <f>IF(M$1=0,"",IF($B305&lt;M$23,M304+PPMT(M$26/12,$B305,M$23,M$235,-M$27,0),IF($B305=M$23,M304+PPMT(M$26/12,$B305,M$23,M$235,-M$27,0)-M$27,0)))</f>
        <v/>
      </c>
      <c r="N305" s="280" t="n"/>
      <c r="O305" s="281" t="n"/>
    </row>
    <row r="306" hidden="1" outlineLevel="1">
      <c r="B306" s="2">
        <f>B305+1</f>
        <v/>
      </c>
      <c r="D306" s="279">
        <f>IF(B306&lt;$D$24,(+CALCULETTE!G703/CALCULETTE!$B$612),0)</f>
        <v/>
      </c>
      <c r="E306" s="279">
        <f>IF(E$1=0,"",IF($B306&lt;E$23,E305+PPMT(E$26/12,$B306,E$23,E$235,-E$27,0),IF($B306=E$23,E305+PPMT(E$26/12,$B306,E$23,E$235,-E$27,0)-E$27,0)))</f>
        <v/>
      </c>
      <c r="F306" s="279">
        <f>IF(F$1=0,"",IF($B306&lt;F$23,F305+PPMT(F$26/12,$B306,F$23,F$235,-F$27,0),IF($B306=F$23,F305+PPMT(F$26/12,$B306,F$23,F$235,-F$27,0)-F$27,0)))</f>
        <v/>
      </c>
      <c r="G306" s="279">
        <f>IF(G$1=0,"",IF($B306&lt;G$23,G305+PPMT(G$26/12,$B306,G$23,G$235,-G$27,0),IF($B306=G$23,G305+PPMT(G$26/12,$B306,G$23,G$235,-G$27,0)-G$27,0)))</f>
        <v/>
      </c>
      <c r="H306" s="279">
        <f>IF(H$1=0,"",IF($B306&lt;H$23,H305+PPMT(H$26/12,$B306,H$23,H$235,-H$27,0),IF($B306=H$23,H305+PPMT(H$26/12,$B306,H$23,H$235,-H$27,0)-H$27,0)))</f>
        <v/>
      </c>
      <c r="I306" s="279">
        <f>IF(I$1=0,"",IF($B306&lt;I$23,I305+PPMT(I$26/12,$B306,I$23,I$235,-I$27,0),IF($B306=I$23,I305+PPMT(I$26/12,$B306,I$23,I$235,-I$27,0)-I$27,0)))</f>
        <v/>
      </c>
      <c r="J306" s="279">
        <f>IF(J$1=0,"",IF($B306&lt;J$23,J305+PPMT(J$26/12,$B306,J$23,J$235,-J$27,0),IF($B306=J$23,J305+PPMT(J$26/12,$B306,J$23,J$235,-J$27,0)-J$27,0)))</f>
        <v/>
      </c>
      <c r="K306" s="279">
        <f>IF(K$1=0,"",IF($B306&lt;K$23,K305+PPMT(K$26/12,$B306,K$23,K$235,-K$27,0),IF($B306=K$23,K305+PPMT(K$26/12,$B306,K$23,K$235,-K$27,0)-K$27,0)))</f>
        <v/>
      </c>
      <c r="L306" s="279">
        <f>IF(L$1=0,"",IF($B306&lt;L$23,L305+PPMT(L$26/12,$B306,L$23,L$235,-L$27,0),IF($B306=L$23,L305+PPMT(L$26/12,$B306,L$23,L$235,-L$27,0)-L$27,0)))</f>
        <v/>
      </c>
      <c r="M306" s="279">
        <f>IF(M$1=0,"",IF($B306&lt;M$23,M305+PPMT(M$26/12,$B306,M$23,M$235,-M$27,0),IF($B306=M$23,M305+PPMT(M$26/12,$B306,M$23,M$235,-M$27,0)-M$27,0)))</f>
        <v/>
      </c>
      <c r="N306" s="280" t="n"/>
      <c r="O306" s="281" t="n"/>
    </row>
    <row r="307" hidden="1" outlineLevel="1">
      <c r="B307" s="2">
        <f>B306+1</f>
        <v/>
      </c>
      <c r="D307" s="279">
        <f>IF(B307&lt;$D$24,(+CALCULETTE!G704/CALCULETTE!$B$612),0)</f>
        <v/>
      </c>
      <c r="E307" s="279">
        <f>IF(E$1=0,"",IF($B307&lt;E$23,E306+PPMT(E$26/12,$B307,E$23,E$235,-E$27,0),IF($B307=E$23,E306+PPMT(E$26/12,$B307,E$23,E$235,-E$27,0)-E$27,0)))</f>
        <v/>
      </c>
      <c r="F307" s="279">
        <f>IF(F$1=0,"",IF($B307&lt;F$23,F306+PPMT(F$26/12,$B307,F$23,F$235,-F$27,0),IF($B307=F$23,F306+PPMT(F$26/12,$B307,F$23,F$235,-F$27,0)-F$27,0)))</f>
        <v/>
      </c>
      <c r="G307" s="279">
        <f>IF(G$1=0,"",IF($B307&lt;G$23,G306+PPMT(G$26/12,$B307,G$23,G$235,-G$27,0),IF($B307=G$23,G306+PPMT(G$26/12,$B307,G$23,G$235,-G$27,0)-G$27,0)))</f>
        <v/>
      </c>
      <c r="H307" s="279">
        <f>IF(H$1=0,"",IF($B307&lt;H$23,H306+PPMT(H$26/12,$B307,H$23,H$235,-H$27,0),IF($B307=H$23,H306+PPMT(H$26/12,$B307,H$23,H$235,-H$27,0)-H$27,0)))</f>
        <v/>
      </c>
      <c r="I307" s="279">
        <f>IF(I$1=0,"",IF($B307&lt;I$23,I306+PPMT(I$26/12,$B307,I$23,I$235,-I$27,0),IF($B307=I$23,I306+PPMT(I$26/12,$B307,I$23,I$235,-I$27,0)-I$27,0)))</f>
        <v/>
      </c>
      <c r="J307" s="279">
        <f>IF(J$1=0,"",IF($B307&lt;J$23,J306+PPMT(J$26/12,$B307,J$23,J$235,-J$27,0),IF($B307=J$23,J306+PPMT(J$26/12,$B307,J$23,J$235,-J$27,0)-J$27,0)))</f>
        <v/>
      </c>
      <c r="K307" s="279">
        <f>IF(K$1=0,"",IF($B307&lt;K$23,K306+PPMT(K$26/12,$B307,K$23,K$235,-K$27,0),IF($B307=K$23,K306+PPMT(K$26/12,$B307,K$23,K$235,-K$27,0)-K$27,0)))</f>
        <v/>
      </c>
      <c r="L307" s="279">
        <f>IF(L$1=0,"",IF($B307&lt;L$23,L306+PPMT(L$26/12,$B307,L$23,L$235,-L$27,0),IF($B307=L$23,L306+PPMT(L$26/12,$B307,L$23,L$235,-L$27,0)-L$27,0)))</f>
        <v/>
      </c>
      <c r="M307" s="279">
        <f>IF(M$1=0,"",IF($B307&lt;M$23,M306+PPMT(M$26/12,$B307,M$23,M$235,-M$27,0),IF($B307=M$23,M306+PPMT(M$26/12,$B307,M$23,M$235,-M$27,0)-M$27,0)))</f>
        <v/>
      </c>
      <c r="N307" s="280" t="n"/>
      <c r="O307" s="281" t="n"/>
    </row>
    <row r="308" hidden="1" outlineLevel="1">
      <c r="B308" s="2">
        <f>B307+1</f>
        <v/>
      </c>
      <c r="D308" s="279">
        <f>IF(B308&lt;$D$24,(+CALCULETTE!G705/CALCULETTE!$B$612),0)</f>
        <v/>
      </c>
      <c r="E308" s="279">
        <f>IF(E$1=0,"",IF($B308&lt;E$23,E307+PPMT(E$26/12,$B308,E$23,E$235,-E$27,0),IF($B308=E$23,E307+PPMT(E$26/12,$B308,E$23,E$235,-E$27,0)-E$27,0)))</f>
        <v/>
      </c>
      <c r="F308" s="279">
        <f>IF(F$1=0,"",IF($B308&lt;F$23,F307+PPMT(F$26/12,$B308,F$23,F$235,-F$27,0),IF($B308=F$23,F307+PPMT(F$26/12,$B308,F$23,F$235,-F$27,0)-F$27,0)))</f>
        <v/>
      </c>
      <c r="G308" s="279">
        <f>IF(G$1=0,"",IF($B308&lt;G$23,G307+PPMT(G$26/12,$B308,G$23,G$235,-G$27,0),IF($B308=G$23,G307+PPMT(G$26/12,$B308,G$23,G$235,-G$27,0)-G$27,0)))</f>
        <v/>
      </c>
      <c r="H308" s="279">
        <f>IF(H$1=0,"",IF($B308&lt;H$23,H307+PPMT(H$26/12,$B308,H$23,H$235,-H$27,0),IF($B308=H$23,H307+PPMT(H$26/12,$B308,H$23,H$235,-H$27,0)-H$27,0)))</f>
        <v/>
      </c>
      <c r="I308" s="279">
        <f>IF(I$1=0,"",IF($B308&lt;I$23,I307+PPMT(I$26/12,$B308,I$23,I$235,-I$27,0),IF($B308=I$23,I307+PPMT(I$26/12,$B308,I$23,I$235,-I$27,0)-I$27,0)))</f>
        <v/>
      </c>
      <c r="J308" s="279">
        <f>IF(J$1=0,"",IF($B308&lt;J$23,J307+PPMT(J$26/12,$B308,J$23,J$235,-J$27,0),IF($B308=J$23,J307+PPMT(J$26/12,$B308,J$23,J$235,-J$27,0)-J$27,0)))</f>
        <v/>
      </c>
      <c r="K308" s="279">
        <f>IF(K$1=0,"",IF($B308&lt;K$23,K307+PPMT(K$26/12,$B308,K$23,K$235,-K$27,0),IF($B308=K$23,K307+PPMT(K$26/12,$B308,K$23,K$235,-K$27,0)-K$27,0)))</f>
        <v/>
      </c>
      <c r="L308" s="279">
        <f>IF(L$1=0,"",IF($B308&lt;L$23,L307+PPMT(L$26/12,$B308,L$23,L$235,-L$27,0),IF($B308=L$23,L307+PPMT(L$26/12,$B308,L$23,L$235,-L$27,0)-L$27,0)))</f>
        <v/>
      </c>
      <c r="M308" s="279">
        <f>IF(M$1=0,"",IF($B308&lt;M$23,M307+PPMT(M$26/12,$B308,M$23,M$235,-M$27,0),IF($B308=M$23,M307+PPMT(M$26/12,$B308,M$23,M$235,-M$27,0)-M$27,0)))</f>
        <v/>
      </c>
      <c r="N308" s="280" t="n"/>
      <c r="O308" s="281" t="n"/>
    </row>
    <row r="309" hidden="1" outlineLevel="1">
      <c r="B309" s="2">
        <f>B308+1</f>
        <v/>
      </c>
      <c r="D309" s="279">
        <f>IF(B309&lt;$D$24,(+CALCULETTE!G706/CALCULETTE!$B$612),0)</f>
        <v/>
      </c>
      <c r="E309" s="279">
        <f>IF(E$1=0,"",IF($B309&lt;E$23,E308+PPMT(E$26/12,$B309,E$23,E$235,-E$27,0),IF($B309=E$23,E308+PPMT(E$26/12,$B309,E$23,E$235,-E$27,0)-E$27,0)))</f>
        <v/>
      </c>
      <c r="F309" s="279">
        <f>IF(F$1=0,"",IF($B309&lt;F$23,F308+PPMT(F$26/12,$B309,F$23,F$235,-F$27,0),IF($B309=F$23,F308+PPMT(F$26/12,$B309,F$23,F$235,-F$27,0)-F$27,0)))</f>
        <v/>
      </c>
      <c r="G309" s="279">
        <f>IF(G$1=0,"",IF($B309&lt;G$23,G308+PPMT(G$26/12,$B309,G$23,G$235,-G$27,0),IF($B309=G$23,G308+PPMT(G$26/12,$B309,G$23,G$235,-G$27,0)-G$27,0)))</f>
        <v/>
      </c>
      <c r="H309" s="279">
        <f>IF(H$1=0,"",IF($B309&lt;H$23,H308+PPMT(H$26/12,$B309,H$23,H$235,-H$27,0),IF($B309=H$23,H308+PPMT(H$26/12,$B309,H$23,H$235,-H$27,0)-H$27,0)))</f>
        <v/>
      </c>
      <c r="I309" s="279">
        <f>IF(I$1=0,"",IF($B309&lt;I$23,I308+PPMT(I$26/12,$B309,I$23,I$235,-I$27,0),IF($B309=I$23,I308+PPMT(I$26/12,$B309,I$23,I$235,-I$27,0)-I$27,0)))</f>
        <v/>
      </c>
      <c r="J309" s="279">
        <f>IF(J$1=0,"",IF($B309&lt;J$23,J308+PPMT(J$26/12,$B309,J$23,J$235,-J$27,0),IF($B309=J$23,J308+PPMT(J$26/12,$B309,J$23,J$235,-J$27,0)-J$27,0)))</f>
        <v/>
      </c>
      <c r="K309" s="279">
        <f>IF(K$1=0,"",IF($B309&lt;K$23,K308+PPMT(K$26/12,$B309,K$23,K$235,-K$27,0),IF($B309=K$23,K308+PPMT(K$26/12,$B309,K$23,K$235,-K$27,0)-K$27,0)))</f>
        <v/>
      </c>
      <c r="L309" s="279">
        <f>IF(L$1=0,"",IF($B309&lt;L$23,L308+PPMT(L$26/12,$B309,L$23,L$235,-L$27,0),IF($B309=L$23,L308+PPMT(L$26/12,$B309,L$23,L$235,-L$27,0)-L$27,0)))</f>
        <v/>
      </c>
      <c r="M309" s="279">
        <f>IF(M$1=0,"",IF($B309&lt;M$23,M308+PPMT(M$26/12,$B309,M$23,M$235,-M$27,0),IF($B309=M$23,M308+PPMT(M$26/12,$B309,M$23,M$235,-M$27,0)-M$27,0)))</f>
        <v/>
      </c>
      <c r="N309" s="280" t="n"/>
      <c r="O309" s="281" t="n"/>
    </row>
    <row r="310" hidden="1" outlineLevel="1">
      <c r="B310" s="2">
        <f>B309+1</f>
        <v/>
      </c>
      <c r="D310" s="279">
        <f>IF(B310&lt;$D$24,(+CALCULETTE!G707/CALCULETTE!$B$612),0)</f>
        <v/>
      </c>
      <c r="E310" s="279">
        <f>IF(E$1=0,"",IF($B310&lt;E$23,E309+PPMT(E$26/12,$B310,E$23,E$235,-E$27,0),IF($B310=E$23,E309+PPMT(E$26/12,$B310,E$23,E$235,-E$27,0)-E$27,0)))</f>
        <v/>
      </c>
      <c r="F310" s="279">
        <f>IF(F$1=0,"",IF($B310&lt;F$23,F309+PPMT(F$26/12,$B310,F$23,F$235,-F$27,0),IF($B310=F$23,F309+PPMT(F$26/12,$B310,F$23,F$235,-F$27,0)-F$27,0)))</f>
        <v/>
      </c>
      <c r="G310" s="279">
        <f>IF(G$1=0,"",IF($B310&lt;G$23,G309+PPMT(G$26/12,$B310,G$23,G$235,-G$27,0),IF($B310=G$23,G309+PPMT(G$26/12,$B310,G$23,G$235,-G$27,0)-G$27,0)))</f>
        <v/>
      </c>
      <c r="H310" s="279">
        <f>IF(H$1=0,"",IF($B310&lt;H$23,H309+PPMT(H$26/12,$B310,H$23,H$235,-H$27,0),IF($B310=H$23,H309+PPMT(H$26/12,$B310,H$23,H$235,-H$27,0)-H$27,0)))</f>
        <v/>
      </c>
      <c r="I310" s="279">
        <f>IF(I$1=0,"",IF($B310&lt;I$23,I309+PPMT(I$26/12,$B310,I$23,I$235,-I$27,0),IF($B310=I$23,I309+PPMT(I$26/12,$B310,I$23,I$235,-I$27,0)-I$27,0)))</f>
        <v/>
      </c>
      <c r="J310" s="279">
        <f>IF(J$1=0,"",IF($B310&lt;J$23,J309+PPMT(J$26/12,$B310,J$23,J$235,-J$27,0),IF($B310=J$23,J309+PPMT(J$26/12,$B310,J$23,J$235,-J$27,0)-J$27,0)))</f>
        <v/>
      </c>
      <c r="K310" s="279">
        <f>IF(K$1=0,"",IF($B310&lt;K$23,K309+PPMT(K$26/12,$B310,K$23,K$235,-K$27,0),IF($B310=K$23,K309+PPMT(K$26/12,$B310,K$23,K$235,-K$27,0)-K$27,0)))</f>
        <v/>
      </c>
      <c r="L310" s="279">
        <f>IF(L$1=0,"",IF($B310&lt;L$23,L309+PPMT(L$26/12,$B310,L$23,L$235,-L$27,0),IF($B310=L$23,L309+PPMT(L$26/12,$B310,L$23,L$235,-L$27,0)-L$27,0)))</f>
        <v/>
      </c>
      <c r="M310" s="279">
        <f>IF(M$1=0,"",IF($B310&lt;M$23,M309+PPMT(M$26/12,$B310,M$23,M$235,-M$27,0),IF($B310=M$23,M309+PPMT(M$26/12,$B310,M$23,M$235,-M$27,0)-M$27,0)))</f>
        <v/>
      </c>
      <c r="N310" s="280" t="n"/>
      <c r="O310" s="281" t="n"/>
    </row>
    <row r="311" hidden="1" outlineLevel="1">
      <c r="B311" s="2">
        <f>B310+1</f>
        <v/>
      </c>
      <c r="D311" s="279">
        <f>IF(B311&lt;$D$24,(+CALCULETTE!G708/CALCULETTE!$B$612),0)</f>
        <v/>
      </c>
      <c r="E311" s="279">
        <f>IF(E$1=0,"",IF($B311&lt;E$23,E310+PPMT(E$26/12,$B311,E$23,E$235,-E$27,0),IF($B311=E$23,E310+PPMT(E$26/12,$B311,E$23,E$235,-E$27,0)-E$27,0)))</f>
        <v/>
      </c>
      <c r="F311" s="279">
        <f>IF(F$1=0,"",IF($B311&lt;F$23,F310+PPMT(F$26/12,$B311,F$23,F$235,-F$27,0),IF($B311=F$23,F310+PPMT(F$26/12,$B311,F$23,F$235,-F$27,0)-F$27,0)))</f>
        <v/>
      </c>
      <c r="G311" s="279">
        <f>IF(G$1=0,"",IF($B311&lt;G$23,G310+PPMT(G$26/12,$B311,G$23,G$235,-G$27,0),IF($B311=G$23,G310+PPMT(G$26/12,$B311,G$23,G$235,-G$27,0)-G$27,0)))</f>
        <v/>
      </c>
      <c r="H311" s="279">
        <f>IF(H$1=0,"",IF($B311&lt;H$23,H310+PPMT(H$26/12,$B311,H$23,H$235,-H$27,0),IF($B311=H$23,H310+PPMT(H$26/12,$B311,H$23,H$235,-H$27,0)-H$27,0)))</f>
        <v/>
      </c>
      <c r="I311" s="279">
        <f>IF(I$1=0,"",IF($B311&lt;I$23,I310+PPMT(I$26/12,$B311,I$23,I$235,-I$27,0),IF($B311=I$23,I310+PPMT(I$26/12,$B311,I$23,I$235,-I$27,0)-I$27,0)))</f>
        <v/>
      </c>
      <c r="J311" s="279">
        <f>IF(J$1=0,"",IF($B311&lt;J$23,J310+PPMT(J$26/12,$B311,J$23,J$235,-J$27,0),IF($B311=J$23,J310+PPMT(J$26/12,$B311,J$23,J$235,-J$27,0)-J$27,0)))</f>
        <v/>
      </c>
      <c r="K311" s="279">
        <f>IF(K$1=0,"",IF($B311&lt;K$23,K310+PPMT(K$26/12,$B311,K$23,K$235,-K$27,0),IF($B311=K$23,K310+PPMT(K$26/12,$B311,K$23,K$235,-K$27,0)-K$27,0)))</f>
        <v/>
      </c>
      <c r="L311" s="279">
        <f>IF(L$1=0,"",IF($B311&lt;L$23,L310+PPMT(L$26/12,$B311,L$23,L$235,-L$27,0),IF($B311=L$23,L310+PPMT(L$26/12,$B311,L$23,L$235,-L$27,0)-L$27,0)))</f>
        <v/>
      </c>
      <c r="M311" s="279">
        <f>IF(M$1=0,"",IF($B311&lt;M$23,M310+PPMT(M$26/12,$B311,M$23,M$235,-M$27,0),IF($B311=M$23,M310+PPMT(M$26/12,$B311,M$23,M$235,-M$27,0)-M$27,0)))</f>
        <v/>
      </c>
      <c r="N311" s="280" t="n"/>
      <c r="O311" s="281" t="n"/>
    </row>
    <row r="312" hidden="1" outlineLevel="1">
      <c r="B312" s="2">
        <f>B311+1</f>
        <v/>
      </c>
      <c r="D312" s="279">
        <f>IF(B312&lt;$D$24,(+CALCULETTE!G709/CALCULETTE!$B$612),0)</f>
        <v/>
      </c>
      <c r="E312" s="279">
        <f>IF(E$1=0,"",IF($B312&lt;E$23,E311+PPMT(E$26/12,$B312,E$23,E$235,-E$27,0),IF($B312=E$23,E311+PPMT(E$26/12,$B312,E$23,E$235,-E$27,0)-E$27,0)))</f>
        <v/>
      </c>
      <c r="F312" s="279">
        <f>IF(F$1=0,"",IF($B312&lt;F$23,F311+PPMT(F$26/12,$B312,F$23,F$235,-F$27,0),IF($B312=F$23,F311+PPMT(F$26/12,$B312,F$23,F$235,-F$27,0)-F$27,0)))</f>
        <v/>
      </c>
      <c r="G312" s="279">
        <f>IF(G$1=0,"",IF($B312&lt;G$23,G311+PPMT(G$26/12,$B312,G$23,G$235,-G$27,0),IF($B312=G$23,G311+PPMT(G$26/12,$B312,G$23,G$235,-G$27,0)-G$27,0)))</f>
        <v/>
      </c>
      <c r="H312" s="279">
        <f>IF(H$1=0,"",IF($B312&lt;H$23,H311+PPMT(H$26/12,$B312,H$23,H$235,-H$27,0),IF($B312=H$23,H311+PPMT(H$26/12,$B312,H$23,H$235,-H$27,0)-H$27,0)))</f>
        <v/>
      </c>
      <c r="I312" s="279">
        <f>IF(I$1=0,"",IF($B312&lt;I$23,I311+PPMT(I$26/12,$B312,I$23,I$235,-I$27,0),IF($B312=I$23,I311+PPMT(I$26/12,$B312,I$23,I$235,-I$27,0)-I$27,0)))</f>
        <v/>
      </c>
      <c r="J312" s="279">
        <f>IF(J$1=0,"",IF($B312&lt;J$23,J311+PPMT(J$26/12,$B312,J$23,J$235,-J$27,0),IF($B312=J$23,J311+PPMT(J$26/12,$B312,J$23,J$235,-J$27,0)-J$27,0)))</f>
        <v/>
      </c>
      <c r="K312" s="279">
        <f>IF(K$1=0,"",IF($B312&lt;K$23,K311+PPMT(K$26/12,$B312,K$23,K$235,-K$27,0),IF($B312=K$23,K311+PPMT(K$26/12,$B312,K$23,K$235,-K$27,0)-K$27,0)))</f>
        <v/>
      </c>
      <c r="L312" s="279">
        <f>IF(L$1=0,"",IF($B312&lt;L$23,L311+PPMT(L$26/12,$B312,L$23,L$235,-L$27,0),IF($B312=L$23,L311+PPMT(L$26/12,$B312,L$23,L$235,-L$27,0)-L$27,0)))</f>
        <v/>
      </c>
      <c r="M312" s="279">
        <f>IF(M$1=0,"",IF($B312&lt;M$23,M311+PPMT(M$26/12,$B312,M$23,M$235,-M$27,0),IF($B312=M$23,M311+PPMT(M$26/12,$B312,M$23,M$235,-M$27,0)-M$27,0)))</f>
        <v/>
      </c>
      <c r="N312" s="280" t="n"/>
      <c r="O312" s="281" t="n"/>
    </row>
    <row r="313" hidden="1" outlineLevel="1">
      <c r="B313" s="2">
        <f>B312+1</f>
        <v/>
      </c>
      <c r="D313" s="279">
        <f>IF(B313&lt;$D$24,(+CALCULETTE!G710/CALCULETTE!$B$612),0)</f>
        <v/>
      </c>
      <c r="E313" s="279">
        <f>IF(E$1=0,"",IF($B313&lt;E$23,E312+PPMT(E$26/12,$B313,E$23,E$235,-E$27,0),IF($B313=E$23,E312+PPMT(E$26/12,$B313,E$23,E$235,-E$27,0)-E$27,0)))</f>
        <v/>
      </c>
      <c r="F313" s="279">
        <f>IF(F$1=0,"",IF($B313&lt;F$23,F312+PPMT(F$26/12,$B313,F$23,F$235,-F$27,0),IF($B313=F$23,F312+PPMT(F$26/12,$B313,F$23,F$235,-F$27,0)-F$27,0)))</f>
        <v/>
      </c>
      <c r="G313" s="279">
        <f>IF(G$1=0,"",IF($B313&lt;G$23,G312+PPMT(G$26/12,$B313,G$23,G$235,-G$27,0),IF($B313=G$23,G312+PPMT(G$26/12,$B313,G$23,G$235,-G$27,0)-G$27,0)))</f>
        <v/>
      </c>
      <c r="H313" s="279">
        <f>IF(H$1=0,"",IF($B313&lt;H$23,H312+PPMT(H$26/12,$B313,H$23,H$235,-H$27,0),IF($B313=H$23,H312+PPMT(H$26/12,$B313,H$23,H$235,-H$27,0)-H$27,0)))</f>
        <v/>
      </c>
      <c r="I313" s="279">
        <f>IF(I$1=0,"",IF($B313&lt;I$23,I312+PPMT(I$26/12,$B313,I$23,I$235,-I$27,0),IF($B313=I$23,I312+PPMT(I$26/12,$B313,I$23,I$235,-I$27,0)-I$27,0)))</f>
        <v/>
      </c>
      <c r="J313" s="279">
        <f>IF(J$1=0,"",IF($B313&lt;J$23,J312+PPMT(J$26/12,$B313,J$23,J$235,-J$27,0),IF($B313=J$23,J312+PPMT(J$26/12,$B313,J$23,J$235,-J$27,0)-J$27,0)))</f>
        <v/>
      </c>
      <c r="K313" s="279">
        <f>IF(K$1=0,"",IF($B313&lt;K$23,K312+PPMT(K$26/12,$B313,K$23,K$235,-K$27,0),IF($B313=K$23,K312+PPMT(K$26/12,$B313,K$23,K$235,-K$27,0)-K$27,0)))</f>
        <v/>
      </c>
      <c r="L313" s="279">
        <f>IF(L$1=0,"",IF($B313&lt;L$23,L312+PPMT(L$26/12,$B313,L$23,L$235,-L$27,0),IF($B313=L$23,L312+PPMT(L$26/12,$B313,L$23,L$235,-L$27,0)-L$27,0)))</f>
        <v/>
      </c>
      <c r="M313" s="279">
        <f>IF(M$1=0,"",IF($B313&lt;M$23,M312+PPMT(M$26/12,$B313,M$23,M$235,-M$27,0),IF($B313=M$23,M312+PPMT(M$26/12,$B313,M$23,M$235,-M$27,0)-M$27,0)))</f>
        <v/>
      </c>
      <c r="N313" s="280" t="n"/>
      <c r="O313" s="281" t="n"/>
    </row>
    <row r="314" hidden="1" outlineLevel="1">
      <c r="B314" s="2">
        <f>B313+1</f>
        <v/>
      </c>
      <c r="D314" s="279">
        <f>IF(B314&lt;$D$24,(+CALCULETTE!G711/CALCULETTE!$B$612),0)</f>
        <v/>
      </c>
      <c r="E314" s="279">
        <f>IF(E$1=0,"",IF($B314&lt;E$23,E313+PPMT(E$26/12,$B314,E$23,E$235,-E$27,0),IF($B314=E$23,E313+PPMT(E$26/12,$B314,E$23,E$235,-E$27,0)-E$27,0)))</f>
        <v/>
      </c>
      <c r="F314" s="279">
        <f>IF(F$1=0,"",IF($B314&lt;F$23,F313+PPMT(F$26/12,$B314,F$23,F$235,-F$27,0),IF($B314=F$23,F313+PPMT(F$26/12,$B314,F$23,F$235,-F$27,0)-F$27,0)))</f>
        <v/>
      </c>
      <c r="G314" s="279">
        <f>IF(G$1=0,"",IF($B314&lt;G$23,G313+PPMT(G$26/12,$B314,G$23,G$235,-G$27,0),IF($B314=G$23,G313+PPMT(G$26/12,$B314,G$23,G$235,-G$27,0)-G$27,0)))</f>
        <v/>
      </c>
      <c r="H314" s="279">
        <f>IF(H$1=0,"",IF($B314&lt;H$23,H313+PPMT(H$26/12,$B314,H$23,H$235,-H$27,0),IF($B314=H$23,H313+PPMT(H$26/12,$B314,H$23,H$235,-H$27,0)-H$27,0)))</f>
        <v/>
      </c>
      <c r="I314" s="279">
        <f>IF(I$1=0,"",IF($B314&lt;I$23,I313+PPMT(I$26/12,$B314,I$23,I$235,-I$27,0),IF($B314=I$23,I313+PPMT(I$26/12,$B314,I$23,I$235,-I$27,0)-I$27,0)))</f>
        <v/>
      </c>
      <c r="J314" s="279">
        <f>IF(J$1=0,"",IF($B314&lt;J$23,J313+PPMT(J$26/12,$B314,J$23,J$235,-J$27,0),IF($B314=J$23,J313+PPMT(J$26/12,$B314,J$23,J$235,-J$27,0)-J$27,0)))</f>
        <v/>
      </c>
      <c r="K314" s="279">
        <f>IF(K$1=0,"",IF($B314&lt;K$23,K313+PPMT(K$26/12,$B314,K$23,K$235,-K$27,0),IF($B314=K$23,K313+PPMT(K$26/12,$B314,K$23,K$235,-K$27,0)-K$27,0)))</f>
        <v/>
      </c>
      <c r="L314" s="279">
        <f>IF(L$1=0,"",IF($B314&lt;L$23,L313+PPMT(L$26/12,$B314,L$23,L$235,-L$27,0),IF($B314=L$23,L313+PPMT(L$26/12,$B314,L$23,L$235,-L$27,0)-L$27,0)))</f>
        <v/>
      </c>
      <c r="M314" s="279">
        <f>IF(M$1=0,"",IF($B314&lt;M$23,M313+PPMT(M$26/12,$B314,M$23,M$235,-M$27,0),IF($B314=M$23,M313+PPMT(M$26/12,$B314,M$23,M$235,-M$27,0)-M$27,0)))</f>
        <v/>
      </c>
      <c r="N314" s="280" t="n"/>
      <c r="O314" s="281" t="n"/>
    </row>
    <row r="315" hidden="1" outlineLevel="1">
      <c r="B315" s="2">
        <f>B314+1</f>
        <v/>
      </c>
      <c r="D315" s="279">
        <f>IF(B315&lt;$D$24,(+CALCULETTE!G712/CALCULETTE!$B$612),0)</f>
        <v/>
      </c>
      <c r="E315" s="279">
        <f>IF(E$1=0,"",IF($B315&lt;E$23,E314+PPMT(E$26/12,$B315,E$23,E$235,-E$27,0),IF($B315=E$23,E314+PPMT(E$26/12,$B315,E$23,E$235,-E$27,0)-E$27,0)))</f>
        <v/>
      </c>
      <c r="F315" s="279">
        <f>IF(F$1=0,"",IF($B315&lt;F$23,F314+PPMT(F$26/12,$B315,F$23,F$235,-F$27,0),IF($B315=F$23,F314+PPMT(F$26/12,$B315,F$23,F$235,-F$27,0)-F$27,0)))</f>
        <v/>
      </c>
      <c r="G315" s="279">
        <f>IF(G$1=0,"",IF($B315&lt;G$23,G314+PPMT(G$26/12,$B315,G$23,G$235,-G$27,0),IF($B315=G$23,G314+PPMT(G$26/12,$B315,G$23,G$235,-G$27,0)-G$27,0)))</f>
        <v/>
      </c>
      <c r="H315" s="279">
        <f>IF(H$1=0,"",IF($B315&lt;H$23,H314+PPMT(H$26/12,$B315,H$23,H$235,-H$27,0),IF($B315=H$23,H314+PPMT(H$26/12,$B315,H$23,H$235,-H$27,0)-H$27,0)))</f>
        <v/>
      </c>
      <c r="I315" s="279">
        <f>IF(I$1=0,"",IF($B315&lt;I$23,I314+PPMT(I$26/12,$B315,I$23,I$235,-I$27,0),IF($B315=I$23,I314+PPMT(I$26/12,$B315,I$23,I$235,-I$27,0)-I$27,0)))</f>
        <v/>
      </c>
      <c r="J315" s="279">
        <f>IF(J$1=0,"",IF($B315&lt;J$23,J314+PPMT(J$26/12,$B315,J$23,J$235,-J$27,0),IF($B315=J$23,J314+PPMT(J$26/12,$B315,J$23,J$235,-J$27,0)-J$27,0)))</f>
        <v/>
      </c>
      <c r="K315" s="279">
        <f>IF(K$1=0,"",IF($B315&lt;K$23,K314+PPMT(K$26/12,$B315,K$23,K$235,-K$27,0),IF($B315=K$23,K314+PPMT(K$26/12,$B315,K$23,K$235,-K$27,0)-K$27,0)))</f>
        <v/>
      </c>
      <c r="L315" s="279">
        <f>IF(L$1=0,"",IF($B315&lt;L$23,L314+PPMT(L$26/12,$B315,L$23,L$235,-L$27,0),IF($B315=L$23,L314+PPMT(L$26/12,$B315,L$23,L$235,-L$27,0)-L$27,0)))</f>
        <v/>
      </c>
      <c r="M315" s="279">
        <f>IF(M$1=0,"",IF($B315&lt;M$23,M314+PPMT(M$26/12,$B315,M$23,M$235,-M$27,0),IF($B315=M$23,M314+PPMT(M$26/12,$B315,M$23,M$235,-M$27,0)-M$27,0)))</f>
        <v/>
      </c>
      <c r="N315" s="280" t="n"/>
      <c r="O315" s="281" t="n"/>
    </row>
    <row r="316" hidden="1" outlineLevel="1">
      <c r="B316" s="2">
        <f>B315+1</f>
        <v/>
      </c>
      <c r="D316" s="279">
        <f>IF(B316&lt;$D$24,(+CALCULETTE!G713/CALCULETTE!$B$612),0)</f>
        <v/>
      </c>
      <c r="E316" s="279">
        <f>IF(E$1=0,"",IF($B316&lt;E$23,E315+PPMT(E$26/12,$B316,E$23,E$235,-E$27,0),IF($B316=E$23,E315+PPMT(E$26/12,$B316,E$23,E$235,-E$27,0)-E$27,0)))</f>
        <v/>
      </c>
      <c r="F316" s="279">
        <f>IF(F$1=0,"",IF($B316&lt;F$23,F315+PPMT(F$26/12,$B316,F$23,F$235,-F$27,0),IF($B316=F$23,F315+PPMT(F$26/12,$B316,F$23,F$235,-F$27,0)-F$27,0)))</f>
        <v/>
      </c>
      <c r="G316" s="279">
        <f>IF(G$1=0,"",IF($B316&lt;G$23,G315+PPMT(G$26/12,$B316,G$23,G$235,-G$27,0),IF($B316=G$23,G315+PPMT(G$26/12,$B316,G$23,G$235,-G$27,0)-G$27,0)))</f>
        <v/>
      </c>
      <c r="H316" s="279">
        <f>IF(H$1=0,"",IF($B316&lt;H$23,H315+PPMT(H$26/12,$B316,H$23,H$235,-H$27,0),IF($B316=H$23,H315+PPMT(H$26/12,$B316,H$23,H$235,-H$27,0)-H$27,0)))</f>
        <v/>
      </c>
      <c r="I316" s="279">
        <f>IF(I$1=0,"",IF($B316&lt;I$23,I315+PPMT(I$26/12,$B316,I$23,I$235,-I$27,0),IF($B316=I$23,I315+PPMT(I$26/12,$B316,I$23,I$235,-I$27,0)-I$27,0)))</f>
        <v/>
      </c>
      <c r="J316" s="279">
        <f>IF(J$1=0,"",IF($B316&lt;J$23,J315+PPMT(J$26/12,$B316,J$23,J$235,-J$27,0),IF($B316=J$23,J315+PPMT(J$26/12,$B316,J$23,J$235,-J$27,0)-J$27,0)))</f>
        <v/>
      </c>
      <c r="K316" s="279">
        <f>IF(K$1=0,"",IF($B316&lt;K$23,K315+PPMT(K$26/12,$B316,K$23,K$235,-K$27,0),IF($B316=K$23,K315+PPMT(K$26/12,$B316,K$23,K$235,-K$27,0)-K$27,0)))</f>
        <v/>
      </c>
      <c r="L316" s="279">
        <f>IF(L$1=0,"",IF($B316&lt;L$23,L315+PPMT(L$26/12,$B316,L$23,L$235,-L$27,0),IF($B316=L$23,L315+PPMT(L$26/12,$B316,L$23,L$235,-L$27,0)-L$27,0)))</f>
        <v/>
      </c>
      <c r="M316" s="279">
        <f>IF(M$1=0,"",IF($B316&lt;M$23,M315+PPMT(M$26/12,$B316,M$23,M$235,-M$27,0),IF($B316=M$23,M315+PPMT(M$26/12,$B316,M$23,M$235,-M$27,0)-M$27,0)))</f>
        <v/>
      </c>
      <c r="N316" s="280" t="n"/>
      <c r="O316" s="281" t="n"/>
    </row>
    <row r="317" hidden="1" outlineLevel="1">
      <c r="B317" s="2">
        <f>B316+1</f>
        <v/>
      </c>
      <c r="D317" s="279">
        <f>IF(B317&lt;$D$24,(+CALCULETTE!G714/CALCULETTE!$B$612),0)</f>
        <v/>
      </c>
      <c r="E317" s="279">
        <f>IF(E$1=0,"",IF($B317&lt;E$23,E316+PPMT(E$26/12,$B317,E$23,E$235,-E$27,0),IF($B317=E$23,E316+PPMT(E$26/12,$B317,E$23,E$235,-E$27,0)-E$27,0)))</f>
        <v/>
      </c>
      <c r="F317" s="279">
        <f>IF(F$1=0,"",IF($B317&lt;F$23,F316+PPMT(F$26/12,$B317,F$23,F$235,-F$27,0),IF($B317=F$23,F316+PPMT(F$26/12,$B317,F$23,F$235,-F$27,0)-F$27,0)))</f>
        <v/>
      </c>
      <c r="G317" s="279">
        <f>IF(G$1=0,"",IF($B317&lt;G$23,G316+PPMT(G$26/12,$B317,G$23,G$235,-G$27,0),IF($B317=G$23,G316+PPMT(G$26/12,$B317,G$23,G$235,-G$27,0)-G$27,0)))</f>
        <v/>
      </c>
      <c r="H317" s="279">
        <f>IF(H$1=0,"",IF($B317&lt;H$23,H316+PPMT(H$26/12,$B317,H$23,H$235,-H$27,0),IF($B317=H$23,H316+PPMT(H$26/12,$B317,H$23,H$235,-H$27,0)-H$27,0)))</f>
        <v/>
      </c>
      <c r="I317" s="279">
        <f>IF(I$1=0,"",IF($B317&lt;I$23,I316+PPMT(I$26/12,$B317,I$23,I$235,-I$27,0),IF($B317=I$23,I316+PPMT(I$26/12,$B317,I$23,I$235,-I$27,0)-I$27,0)))</f>
        <v/>
      </c>
      <c r="J317" s="279">
        <f>IF(J$1=0,"",IF($B317&lt;J$23,J316+PPMT(J$26/12,$B317,J$23,J$235,-J$27,0),IF($B317=J$23,J316+PPMT(J$26/12,$B317,J$23,J$235,-J$27,0)-J$27,0)))</f>
        <v/>
      </c>
      <c r="K317" s="279">
        <f>IF(K$1=0,"",IF($B317&lt;K$23,K316+PPMT(K$26/12,$B317,K$23,K$235,-K$27,0),IF($B317=K$23,K316+PPMT(K$26/12,$B317,K$23,K$235,-K$27,0)-K$27,0)))</f>
        <v/>
      </c>
      <c r="L317" s="279">
        <f>IF(L$1=0,"",IF($B317&lt;L$23,L316+PPMT(L$26/12,$B317,L$23,L$235,-L$27,0),IF($B317=L$23,L316+PPMT(L$26/12,$B317,L$23,L$235,-L$27,0)-L$27,0)))</f>
        <v/>
      </c>
      <c r="M317" s="279">
        <f>IF(M$1=0,"",IF($B317&lt;M$23,M316+PPMT(M$26/12,$B317,M$23,M$235,-M$27,0),IF($B317=M$23,M316+PPMT(M$26/12,$B317,M$23,M$235,-M$27,0)-M$27,0)))</f>
        <v/>
      </c>
      <c r="N317" s="280" t="n"/>
      <c r="O317" s="281" t="n"/>
    </row>
    <row r="318" hidden="1" outlineLevel="1">
      <c r="B318" s="2">
        <f>B317+1</f>
        <v/>
      </c>
      <c r="D318" s="279">
        <f>IF(B318&lt;$D$24,(+CALCULETTE!G715/CALCULETTE!$B$612),0)</f>
        <v/>
      </c>
      <c r="E318" s="279">
        <f>IF(E$1=0,"",IF($B318&lt;E$23,E317+PPMT(E$26/12,$B318,E$23,E$235,-E$27,0),IF($B318=E$23,E317+PPMT(E$26/12,$B318,E$23,E$235,-E$27,0)-E$27,0)))</f>
        <v/>
      </c>
      <c r="F318" s="279">
        <f>IF(F$1=0,"",IF($B318&lt;F$23,F317+PPMT(F$26/12,$B318,F$23,F$235,-F$27,0),IF($B318=F$23,F317+PPMT(F$26/12,$B318,F$23,F$235,-F$27,0)-F$27,0)))</f>
        <v/>
      </c>
      <c r="G318" s="279">
        <f>IF(G$1=0,"",IF($B318&lt;G$23,G317+PPMT(G$26/12,$B318,G$23,G$235,-G$27,0),IF($B318=G$23,G317+PPMT(G$26/12,$B318,G$23,G$235,-G$27,0)-G$27,0)))</f>
        <v/>
      </c>
      <c r="H318" s="279">
        <f>IF(H$1=0,"",IF($B318&lt;H$23,H317+PPMT(H$26/12,$B318,H$23,H$235,-H$27,0),IF($B318=H$23,H317+PPMT(H$26/12,$B318,H$23,H$235,-H$27,0)-H$27,0)))</f>
        <v/>
      </c>
      <c r="I318" s="279">
        <f>IF(I$1=0,"",IF($B318&lt;I$23,I317+PPMT(I$26/12,$B318,I$23,I$235,-I$27,0),IF($B318=I$23,I317+PPMT(I$26/12,$B318,I$23,I$235,-I$27,0)-I$27,0)))</f>
        <v/>
      </c>
      <c r="J318" s="279">
        <f>IF(J$1=0,"",IF($B318&lt;J$23,J317+PPMT(J$26/12,$B318,J$23,J$235,-J$27,0),IF($B318=J$23,J317+PPMT(J$26/12,$B318,J$23,J$235,-J$27,0)-J$27,0)))</f>
        <v/>
      </c>
      <c r="K318" s="279">
        <f>IF(K$1=0,"",IF($B318&lt;K$23,K317+PPMT(K$26/12,$B318,K$23,K$235,-K$27,0),IF($B318=K$23,K317+PPMT(K$26/12,$B318,K$23,K$235,-K$27,0)-K$27,0)))</f>
        <v/>
      </c>
      <c r="L318" s="279">
        <f>IF(L$1=0,"",IF($B318&lt;L$23,L317+PPMT(L$26/12,$B318,L$23,L$235,-L$27,0),IF($B318=L$23,L317+PPMT(L$26/12,$B318,L$23,L$235,-L$27,0)-L$27,0)))</f>
        <v/>
      </c>
      <c r="M318" s="279">
        <f>IF(M$1=0,"",IF($B318&lt;M$23,M317+PPMT(M$26/12,$B318,M$23,M$235,-M$27,0),IF($B318=M$23,M317+PPMT(M$26/12,$B318,M$23,M$235,-M$27,0)-M$27,0)))</f>
        <v/>
      </c>
      <c r="N318" s="280" t="n"/>
      <c r="O318" s="281" t="n"/>
    </row>
    <row r="319" hidden="1" outlineLevel="1">
      <c r="B319" s="2">
        <f>B318+1</f>
        <v/>
      </c>
      <c r="D319" s="279">
        <f>IF(B319&lt;$D$24,(+CALCULETTE!G716/CALCULETTE!$B$612),0)</f>
        <v/>
      </c>
      <c r="E319" s="279">
        <f>IF(E$1=0,"",IF($B319&lt;E$23,E318+PPMT(E$26/12,$B319,E$23,E$235,-E$27,0),IF($B319=E$23,E318+PPMT(E$26/12,$B319,E$23,E$235,-E$27,0)-E$27,0)))</f>
        <v/>
      </c>
      <c r="F319" s="279">
        <f>IF(F$1=0,"",IF($B319&lt;F$23,F318+PPMT(F$26/12,$B319,F$23,F$235,-F$27,0),IF($B319=F$23,F318+PPMT(F$26/12,$B319,F$23,F$235,-F$27,0)-F$27,0)))</f>
        <v/>
      </c>
      <c r="G319" s="279">
        <f>IF(G$1=0,"",IF($B319&lt;G$23,G318+PPMT(G$26/12,$B319,G$23,G$235,-G$27,0),IF($B319=G$23,G318+PPMT(G$26/12,$B319,G$23,G$235,-G$27,0)-G$27,0)))</f>
        <v/>
      </c>
      <c r="H319" s="279">
        <f>IF(H$1=0,"",IF($B319&lt;H$23,H318+PPMT(H$26/12,$B319,H$23,H$235,-H$27,0),IF($B319=H$23,H318+PPMT(H$26/12,$B319,H$23,H$235,-H$27,0)-H$27,0)))</f>
        <v/>
      </c>
      <c r="I319" s="279">
        <f>IF(I$1=0,"",IF($B319&lt;I$23,I318+PPMT(I$26/12,$B319,I$23,I$235,-I$27,0),IF($B319=I$23,I318+PPMT(I$26/12,$B319,I$23,I$235,-I$27,0)-I$27,0)))</f>
        <v/>
      </c>
      <c r="J319" s="279">
        <f>IF(J$1=0,"",IF($B319&lt;J$23,J318+PPMT(J$26/12,$B319,J$23,J$235,-J$27,0),IF($B319=J$23,J318+PPMT(J$26/12,$B319,J$23,J$235,-J$27,0)-J$27,0)))</f>
        <v/>
      </c>
      <c r="K319" s="279">
        <f>IF(K$1=0,"",IF($B319&lt;K$23,K318+PPMT(K$26/12,$B319,K$23,K$235,-K$27,0),IF($B319=K$23,K318+PPMT(K$26/12,$B319,K$23,K$235,-K$27,0)-K$27,0)))</f>
        <v/>
      </c>
      <c r="L319" s="279">
        <f>IF(L$1=0,"",IF($B319&lt;L$23,L318+PPMT(L$26/12,$B319,L$23,L$235,-L$27,0),IF($B319=L$23,L318+PPMT(L$26/12,$B319,L$23,L$235,-L$27,0)-L$27,0)))</f>
        <v/>
      </c>
      <c r="M319" s="279">
        <f>IF(M$1=0,"",IF($B319&lt;M$23,M318+PPMT(M$26/12,$B319,M$23,M$235,-M$27,0),IF($B319=M$23,M318+PPMT(M$26/12,$B319,M$23,M$235,-M$27,0)-M$27,0)))</f>
        <v/>
      </c>
      <c r="N319" s="280" t="n"/>
      <c r="O319" s="281" t="n"/>
    </row>
    <row r="320" hidden="1" outlineLevel="1">
      <c r="B320" s="2">
        <f>B319+1</f>
        <v/>
      </c>
      <c r="D320" s="279">
        <f>IF(B320&lt;$D$24,(+CALCULETTE!G717/CALCULETTE!$B$612),0)</f>
        <v/>
      </c>
      <c r="E320" s="279">
        <f>IF(E$1=0,"",IF($B320&lt;E$23,E319+PPMT(E$26/12,$B320,E$23,E$235,-E$27,0),IF($B320=E$23,E319+PPMT(E$26/12,$B320,E$23,E$235,-E$27,0)-E$27,0)))</f>
        <v/>
      </c>
      <c r="F320" s="279">
        <f>IF(F$1=0,"",IF($B320&lt;F$23,F319+PPMT(F$26/12,$B320,F$23,F$235,-F$27,0),IF($B320=F$23,F319+PPMT(F$26/12,$B320,F$23,F$235,-F$27,0)-F$27,0)))</f>
        <v/>
      </c>
      <c r="G320" s="279">
        <f>IF(G$1=0,"",IF($B320&lt;G$23,G319+PPMT(G$26/12,$B320,G$23,G$235,-G$27,0),IF($B320=G$23,G319+PPMT(G$26/12,$B320,G$23,G$235,-G$27,0)-G$27,0)))</f>
        <v/>
      </c>
      <c r="H320" s="279">
        <f>IF(H$1=0,"",IF($B320&lt;H$23,H319+PPMT(H$26/12,$B320,H$23,H$235,-H$27,0),IF($B320=H$23,H319+PPMT(H$26/12,$B320,H$23,H$235,-H$27,0)-H$27,0)))</f>
        <v/>
      </c>
      <c r="I320" s="279">
        <f>IF(I$1=0,"",IF($B320&lt;I$23,I319+PPMT(I$26/12,$B320,I$23,I$235,-I$27,0),IF($B320=I$23,I319+PPMT(I$26/12,$B320,I$23,I$235,-I$27,0)-I$27,0)))</f>
        <v/>
      </c>
      <c r="J320" s="279">
        <f>IF(J$1=0,"",IF($B320&lt;J$23,J319+PPMT(J$26/12,$B320,J$23,J$235,-J$27,0),IF($B320=J$23,J319+PPMT(J$26/12,$B320,J$23,J$235,-J$27,0)-J$27,0)))</f>
        <v/>
      </c>
      <c r="K320" s="279">
        <f>IF(K$1=0,"",IF($B320&lt;K$23,K319+PPMT(K$26/12,$B320,K$23,K$235,-K$27,0),IF($B320=K$23,K319+PPMT(K$26/12,$B320,K$23,K$235,-K$27,0)-K$27,0)))</f>
        <v/>
      </c>
      <c r="L320" s="279">
        <f>IF(L$1=0,"",IF($B320&lt;L$23,L319+PPMT(L$26/12,$B320,L$23,L$235,-L$27,0),IF($B320=L$23,L319+PPMT(L$26/12,$B320,L$23,L$235,-L$27,0)-L$27,0)))</f>
        <v/>
      </c>
      <c r="M320" s="279">
        <f>IF(M$1=0,"",IF($B320&lt;M$23,M319+PPMT(M$26/12,$B320,M$23,M$235,-M$27,0),IF($B320=M$23,M319+PPMT(M$26/12,$B320,M$23,M$235,-M$27,0)-M$27,0)))</f>
        <v/>
      </c>
      <c r="N320" s="280" t="n"/>
      <c r="O320" s="281" t="n"/>
    </row>
    <row r="321" hidden="1" outlineLevel="1">
      <c r="B321" s="2">
        <f>B320+1</f>
        <v/>
      </c>
      <c r="D321" s="279">
        <f>IF(B321&lt;$D$24,(+CALCULETTE!G718/CALCULETTE!$B$612),0)</f>
        <v/>
      </c>
      <c r="E321" s="279">
        <f>IF(E$1=0,"",IF($B321&lt;E$23,E320+PPMT(E$26/12,$B321,E$23,E$235,-E$27,0),IF($B321=E$23,E320+PPMT(E$26/12,$B321,E$23,E$235,-E$27,0)-E$27,0)))</f>
        <v/>
      </c>
      <c r="F321" s="279">
        <f>IF(F$1=0,"",IF($B321&lt;F$23,F320+PPMT(F$26/12,$B321,F$23,F$235,-F$27,0),IF($B321=F$23,F320+PPMT(F$26/12,$B321,F$23,F$235,-F$27,0)-F$27,0)))</f>
        <v/>
      </c>
      <c r="G321" s="279">
        <f>IF(G$1=0,"",IF($B321&lt;G$23,G320+PPMT(G$26/12,$B321,G$23,G$235,-G$27,0),IF($B321=G$23,G320+PPMT(G$26/12,$B321,G$23,G$235,-G$27,0)-G$27,0)))</f>
        <v/>
      </c>
      <c r="H321" s="279">
        <f>IF(H$1=0,"",IF($B321&lt;H$23,H320+PPMT(H$26/12,$B321,H$23,H$235,-H$27,0),IF($B321=H$23,H320+PPMT(H$26/12,$B321,H$23,H$235,-H$27,0)-H$27,0)))</f>
        <v/>
      </c>
      <c r="I321" s="279">
        <f>IF(I$1=0,"",IF($B321&lt;I$23,I320+PPMT(I$26/12,$B321,I$23,I$235,-I$27,0),IF($B321=I$23,I320+PPMT(I$26/12,$B321,I$23,I$235,-I$27,0)-I$27,0)))</f>
        <v/>
      </c>
      <c r="J321" s="279">
        <f>IF(J$1=0,"",IF($B321&lt;J$23,J320+PPMT(J$26/12,$B321,J$23,J$235,-J$27,0),IF($B321=J$23,J320+PPMT(J$26/12,$B321,J$23,J$235,-J$27,0)-J$27,0)))</f>
        <v/>
      </c>
      <c r="K321" s="279">
        <f>IF(K$1=0,"",IF($B321&lt;K$23,K320+PPMT(K$26/12,$B321,K$23,K$235,-K$27,0),IF($B321=K$23,K320+PPMT(K$26/12,$B321,K$23,K$235,-K$27,0)-K$27,0)))</f>
        <v/>
      </c>
      <c r="L321" s="279">
        <f>IF(L$1=0,"",IF($B321&lt;L$23,L320+PPMT(L$26/12,$B321,L$23,L$235,-L$27,0),IF($B321=L$23,L320+PPMT(L$26/12,$B321,L$23,L$235,-L$27,0)-L$27,0)))</f>
        <v/>
      </c>
      <c r="M321" s="279">
        <f>IF(M$1=0,"",IF($B321&lt;M$23,M320+PPMT(M$26/12,$B321,M$23,M$235,-M$27,0),IF($B321=M$23,M320+PPMT(M$26/12,$B321,M$23,M$235,-M$27,0)-M$27,0)))</f>
        <v/>
      </c>
      <c r="N321" s="280" t="n"/>
      <c r="O321" s="281" t="n"/>
    </row>
    <row r="322" hidden="1" outlineLevel="1">
      <c r="B322" s="2">
        <f>B321+1</f>
        <v/>
      </c>
      <c r="D322" s="279">
        <f>IF(B322&lt;$D$24,(+CALCULETTE!G719/CALCULETTE!$B$612),0)</f>
        <v/>
      </c>
      <c r="E322" s="279">
        <f>IF(E$1=0,"",IF($B322&lt;E$23,E321+PPMT(E$26/12,$B322,E$23,E$235,-E$27,0),IF($B322=E$23,E321+PPMT(E$26/12,$B322,E$23,E$235,-E$27,0)-E$27,0)))</f>
        <v/>
      </c>
      <c r="F322" s="279">
        <f>IF(F$1=0,"",IF($B322&lt;F$23,F321+PPMT(F$26/12,$B322,F$23,F$235,-F$27,0),IF($B322=F$23,F321+PPMT(F$26/12,$B322,F$23,F$235,-F$27,0)-F$27,0)))</f>
        <v/>
      </c>
      <c r="G322" s="279">
        <f>IF(G$1=0,"",IF($B322&lt;G$23,G321+PPMT(G$26/12,$B322,G$23,G$235,-G$27,0),IF($B322=G$23,G321+PPMT(G$26/12,$B322,G$23,G$235,-G$27,0)-G$27,0)))</f>
        <v/>
      </c>
      <c r="H322" s="279">
        <f>IF(H$1=0,"",IF($B322&lt;H$23,H321+PPMT(H$26/12,$B322,H$23,H$235,-H$27,0),IF($B322=H$23,H321+PPMT(H$26/12,$B322,H$23,H$235,-H$27,0)-H$27,0)))</f>
        <v/>
      </c>
      <c r="I322" s="279">
        <f>IF(I$1=0,"",IF($B322&lt;I$23,I321+PPMT(I$26/12,$B322,I$23,I$235,-I$27,0),IF($B322=I$23,I321+PPMT(I$26/12,$B322,I$23,I$235,-I$27,0)-I$27,0)))</f>
        <v/>
      </c>
      <c r="J322" s="279">
        <f>IF(J$1=0,"",IF($B322&lt;J$23,J321+PPMT(J$26/12,$B322,J$23,J$235,-J$27,0),IF($B322=J$23,J321+PPMT(J$26/12,$B322,J$23,J$235,-J$27,0)-J$27,0)))</f>
        <v/>
      </c>
      <c r="K322" s="279">
        <f>IF(K$1=0,"",IF($B322&lt;K$23,K321+PPMT(K$26/12,$B322,K$23,K$235,-K$27,0),IF($B322=K$23,K321+PPMT(K$26/12,$B322,K$23,K$235,-K$27,0)-K$27,0)))</f>
        <v/>
      </c>
      <c r="L322" s="279">
        <f>IF(L$1=0,"",IF($B322&lt;L$23,L321+PPMT(L$26/12,$B322,L$23,L$235,-L$27,0),IF($B322=L$23,L321+PPMT(L$26/12,$B322,L$23,L$235,-L$27,0)-L$27,0)))</f>
        <v/>
      </c>
      <c r="M322" s="279">
        <f>IF(M$1=0,"",IF($B322&lt;M$23,M321+PPMT(M$26/12,$B322,M$23,M$235,-M$27,0),IF($B322=M$23,M321+PPMT(M$26/12,$B322,M$23,M$235,-M$27,0)-M$27,0)))</f>
        <v/>
      </c>
      <c r="N322" s="280" t="n"/>
      <c r="O322" s="281" t="n"/>
    </row>
    <row r="323" hidden="1" outlineLevel="1">
      <c r="B323" s="2">
        <f>B322+1</f>
        <v/>
      </c>
      <c r="D323" s="279">
        <f>IF(B323&lt;$D$24,(+CALCULETTE!G720/CALCULETTE!$B$612),0)</f>
        <v/>
      </c>
      <c r="E323" s="279">
        <f>IF(E$1=0,"",IF($B323&lt;E$23,E322+PPMT(E$26/12,$B323,E$23,E$235,-E$27,0),IF($B323=E$23,E322+PPMT(E$26/12,$B323,E$23,E$235,-E$27,0)-E$27,0)))</f>
        <v/>
      </c>
      <c r="F323" s="279">
        <f>IF(F$1=0,"",IF($B323&lt;F$23,F322+PPMT(F$26/12,$B323,F$23,F$235,-F$27,0),IF($B323=F$23,F322+PPMT(F$26/12,$B323,F$23,F$235,-F$27,0)-F$27,0)))</f>
        <v/>
      </c>
      <c r="G323" s="279">
        <f>IF(G$1=0,"",IF($B323&lt;G$23,G322+PPMT(G$26/12,$B323,G$23,G$235,-G$27,0),IF($B323=G$23,G322+PPMT(G$26/12,$B323,G$23,G$235,-G$27,0)-G$27,0)))</f>
        <v/>
      </c>
      <c r="H323" s="279">
        <f>IF(H$1=0,"",IF($B323&lt;H$23,H322+PPMT(H$26/12,$B323,H$23,H$235,-H$27,0),IF($B323=H$23,H322+PPMT(H$26/12,$B323,H$23,H$235,-H$27,0)-H$27,0)))</f>
        <v/>
      </c>
      <c r="I323" s="279">
        <f>IF(I$1=0,"",IF($B323&lt;I$23,I322+PPMT(I$26/12,$B323,I$23,I$235,-I$27,0),IF($B323=I$23,I322+PPMT(I$26/12,$B323,I$23,I$235,-I$27,0)-I$27,0)))</f>
        <v/>
      </c>
      <c r="J323" s="279">
        <f>IF(J$1=0,"",IF($B323&lt;J$23,J322+PPMT(J$26/12,$B323,J$23,J$235,-J$27,0),IF($B323=J$23,J322+PPMT(J$26/12,$B323,J$23,J$235,-J$27,0)-J$27,0)))</f>
        <v/>
      </c>
      <c r="K323" s="279">
        <f>IF(K$1=0,"",IF($B323&lt;K$23,K322+PPMT(K$26/12,$B323,K$23,K$235,-K$27,0),IF($B323=K$23,K322+PPMT(K$26/12,$B323,K$23,K$235,-K$27,0)-K$27,0)))</f>
        <v/>
      </c>
      <c r="L323" s="279">
        <f>IF(L$1=0,"",IF($B323&lt;L$23,L322+PPMT(L$26/12,$B323,L$23,L$235,-L$27,0),IF($B323=L$23,L322+PPMT(L$26/12,$B323,L$23,L$235,-L$27,0)-L$27,0)))</f>
        <v/>
      </c>
      <c r="M323" s="279">
        <f>IF(M$1=0,"",IF($B323&lt;M$23,M322+PPMT(M$26/12,$B323,M$23,M$235,-M$27,0),IF($B323=M$23,M322+PPMT(M$26/12,$B323,M$23,M$235,-M$27,0)-M$27,0)))</f>
        <v/>
      </c>
      <c r="N323" s="280" t="n"/>
      <c r="O323" s="281" t="n"/>
    </row>
    <row r="324" hidden="1" outlineLevel="1">
      <c r="B324" s="2">
        <f>B323+1</f>
        <v/>
      </c>
      <c r="D324" s="279">
        <f>IF(B324&lt;$D$24,(+CALCULETTE!G721/CALCULETTE!$B$612),0)</f>
        <v/>
      </c>
      <c r="E324" s="279">
        <f>IF(E$1=0,"",IF($B324&lt;E$23,E323+PPMT(E$26/12,$B324,E$23,E$235,-E$27,0),IF($B324=E$23,E323+PPMT(E$26/12,$B324,E$23,E$235,-E$27,0)-E$27,0)))</f>
        <v/>
      </c>
      <c r="F324" s="279">
        <f>IF(F$1=0,"",IF($B324&lt;F$23,F323+PPMT(F$26/12,$B324,F$23,F$235,-F$27,0),IF($B324=F$23,F323+PPMT(F$26/12,$B324,F$23,F$235,-F$27,0)-F$27,0)))</f>
        <v/>
      </c>
      <c r="G324" s="279">
        <f>IF(G$1=0,"",IF($B324&lt;G$23,G323+PPMT(G$26/12,$B324,G$23,G$235,-G$27,0),IF($B324=G$23,G323+PPMT(G$26/12,$B324,G$23,G$235,-G$27,0)-G$27,0)))</f>
        <v/>
      </c>
      <c r="H324" s="279">
        <f>IF(H$1=0,"",IF($B324&lt;H$23,H323+PPMT(H$26/12,$B324,H$23,H$235,-H$27,0),IF($B324=H$23,H323+PPMT(H$26/12,$B324,H$23,H$235,-H$27,0)-H$27,0)))</f>
        <v/>
      </c>
      <c r="I324" s="279">
        <f>IF(I$1=0,"",IF($B324&lt;I$23,I323+PPMT(I$26/12,$B324,I$23,I$235,-I$27,0),IF($B324=I$23,I323+PPMT(I$26/12,$B324,I$23,I$235,-I$27,0)-I$27,0)))</f>
        <v/>
      </c>
      <c r="J324" s="279">
        <f>IF(J$1=0,"",IF($B324&lt;J$23,J323+PPMT(J$26/12,$B324,J$23,J$235,-J$27,0),IF($B324=J$23,J323+PPMT(J$26/12,$B324,J$23,J$235,-J$27,0)-J$27,0)))</f>
        <v/>
      </c>
      <c r="K324" s="279">
        <f>IF(K$1=0,"",IF($B324&lt;K$23,K323+PPMT(K$26/12,$B324,K$23,K$235,-K$27,0),IF($B324=K$23,K323+PPMT(K$26/12,$B324,K$23,K$235,-K$27,0)-K$27,0)))</f>
        <v/>
      </c>
      <c r="L324" s="279">
        <f>IF(L$1=0,"",IF($B324&lt;L$23,L323+PPMT(L$26/12,$B324,L$23,L$235,-L$27,0),IF($B324=L$23,L323+PPMT(L$26/12,$B324,L$23,L$235,-L$27,0)-L$27,0)))</f>
        <v/>
      </c>
      <c r="M324" s="279">
        <f>IF(M$1=0,"",IF($B324&lt;M$23,M323+PPMT(M$26/12,$B324,M$23,M$235,-M$27,0),IF($B324=M$23,M323+PPMT(M$26/12,$B324,M$23,M$235,-M$27,0)-M$27,0)))</f>
        <v/>
      </c>
      <c r="N324" s="280" t="n"/>
      <c r="O324" s="281" t="n"/>
    </row>
    <row r="325" hidden="1" outlineLevel="1">
      <c r="B325" s="2">
        <f>B324+1</f>
        <v/>
      </c>
      <c r="D325" s="279">
        <f>IF(B325&lt;$D$24,(+CALCULETTE!G722/CALCULETTE!$B$612),0)</f>
        <v/>
      </c>
      <c r="E325" s="279">
        <f>IF(E$1=0,"",IF($B325&lt;E$23,E324+PPMT(E$26/12,$B325,E$23,E$235,-E$27,0),IF($B325=E$23,E324+PPMT(E$26/12,$B325,E$23,E$235,-E$27,0)-E$27,0)))</f>
        <v/>
      </c>
      <c r="F325" s="279">
        <f>IF(F$1=0,"",IF($B325&lt;F$23,F324+PPMT(F$26/12,$B325,F$23,F$235,-F$27,0),IF($B325=F$23,F324+PPMT(F$26/12,$B325,F$23,F$235,-F$27,0)-F$27,0)))</f>
        <v/>
      </c>
      <c r="G325" s="279">
        <f>IF(G$1=0,"",IF($B325&lt;G$23,G324+PPMT(G$26/12,$B325,G$23,G$235,-G$27,0),IF($B325=G$23,G324+PPMT(G$26/12,$B325,G$23,G$235,-G$27,0)-G$27,0)))</f>
        <v/>
      </c>
      <c r="H325" s="279">
        <f>IF(H$1=0,"",IF($B325&lt;H$23,H324+PPMT(H$26/12,$B325,H$23,H$235,-H$27,0),IF($B325=H$23,H324+PPMT(H$26/12,$B325,H$23,H$235,-H$27,0)-H$27,0)))</f>
        <v/>
      </c>
      <c r="I325" s="279">
        <f>IF(I$1=0,"",IF($B325&lt;I$23,I324+PPMT(I$26/12,$B325,I$23,I$235,-I$27,0),IF($B325=I$23,I324+PPMT(I$26/12,$B325,I$23,I$235,-I$27,0)-I$27,0)))</f>
        <v/>
      </c>
      <c r="J325" s="279">
        <f>IF(J$1=0,"",IF($B325&lt;J$23,J324+PPMT(J$26/12,$B325,J$23,J$235,-J$27,0),IF($B325=J$23,J324+PPMT(J$26/12,$B325,J$23,J$235,-J$27,0)-J$27,0)))</f>
        <v/>
      </c>
      <c r="K325" s="279">
        <f>IF(K$1=0,"",IF($B325&lt;K$23,K324+PPMT(K$26/12,$B325,K$23,K$235,-K$27,0),IF($B325=K$23,K324+PPMT(K$26/12,$B325,K$23,K$235,-K$27,0)-K$27,0)))</f>
        <v/>
      </c>
      <c r="L325" s="279">
        <f>IF(L$1=0,"",IF($B325&lt;L$23,L324+PPMT(L$26/12,$B325,L$23,L$235,-L$27,0),IF($B325=L$23,L324+PPMT(L$26/12,$B325,L$23,L$235,-L$27,0)-L$27,0)))</f>
        <v/>
      </c>
      <c r="M325" s="279">
        <f>IF(M$1=0,"",IF($B325&lt;M$23,M324+PPMT(M$26/12,$B325,M$23,M$235,-M$27,0),IF($B325=M$23,M324+PPMT(M$26/12,$B325,M$23,M$235,-M$27,0)-M$27,0)))</f>
        <v/>
      </c>
      <c r="N325" s="280" t="n"/>
      <c r="O325" s="281" t="n"/>
    </row>
    <row r="326" hidden="1" outlineLevel="1">
      <c r="B326" s="2">
        <f>B325+1</f>
        <v/>
      </c>
      <c r="D326" s="279">
        <f>IF(B326&lt;$D$24,(+CALCULETTE!G723/CALCULETTE!$B$612),0)</f>
        <v/>
      </c>
      <c r="E326" s="279">
        <f>IF(E$1=0,"",IF($B326&lt;E$23,E325+PPMT(E$26/12,$B326,E$23,E$235,-E$27,0),IF($B326=E$23,E325+PPMT(E$26/12,$B326,E$23,E$235,-E$27,0)-E$27,0)))</f>
        <v/>
      </c>
      <c r="F326" s="279">
        <f>IF(F$1=0,"",IF($B326&lt;F$23,F325+PPMT(F$26/12,$B326,F$23,F$235,-F$27,0),IF($B326=F$23,F325+PPMT(F$26/12,$B326,F$23,F$235,-F$27,0)-F$27,0)))</f>
        <v/>
      </c>
      <c r="G326" s="279">
        <f>IF(G$1=0,"",IF($B326&lt;G$23,G325+PPMT(G$26/12,$B326,G$23,G$235,-G$27,0),IF($B326=G$23,G325+PPMT(G$26/12,$B326,G$23,G$235,-G$27,0)-G$27,0)))</f>
        <v/>
      </c>
      <c r="H326" s="279">
        <f>IF(H$1=0,"",IF($B326&lt;H$23,H325+PPMT(H$26/12,$B326,H$23,H$235,-H$27,0),IF($B326=H$23,H325+PPMT(H$26/12,$B326,H$23,H$235,-H$27,0)-H$27,0)))</f>
        <v/>
      </c>
      <c r="I326" s="279">
        <f>IF(I$1=0,"",IF($B326&lt;I$23,I325+PPMT(I$26/12,$B326,I$23,I$235,-I$27,0),IF($B326=I$23,I325+PPMT(I$26/12,$B326,I$23,I$235,-I$27,0)-I$27,0)))</f>
        <v/>
      </c>
      <c r="J326" s="279">
        <f>IF(J$1=0,"",IF($B326&lt;J$23,J325+PPMT(J$26/12,$B326,J$23,J$235,-J$27,0),IF($B326=J$23,J325+PPMT(J$26/12,$B326,J$23,J$235,-J$27,0)-J$27,0)))</f>
        <v/>
      </c>
      <c r="K326" s="279">
        <f>IF(K$1=0,"",IF($B326&lt;K$23,K325+PPMT(K$26/12,$B326,K$23,K$235,-K$27,0),IF($B326=K$23,K325+PPMT(K$26/12,$B326,K$23,K$235,-K$27,0)-K$27,0)))</f>
        <v/>
      </c>
      <c r="L326" s="279">
        <f>IF(L$1=0,"",IF($B326&lt;L$23,L325+PPMT(L$26/12,$B326,L$23,L$235,-L$27,0),IF($B326=L$23,L325+PPMT(L$26/12,$B326,L$23,L$235,-L$27,0)-L$27,0)))</f>
        <v/>
      </c>
      <c r="M326" s="279">
        <f>IF(M$1=0,"",IF($B326&lt;M$23,M325+PPMT(M$26/12,$B326,M$23,M$235,-M$27,0),IF($B326=M$23,M325+PPMT(M$26/12,$B326,M$23,M$235,-M$27,0)-M$27,0)))</f>
        <v/>
      </c>
      <c r="N326" s="280" t="n"/>
      <c r="O326" s="281" t="n"/>
    </row>
    <row r="327" hidden="1" outlineLevel="1">
      <c r="B327" s="2">
        <f>B326+1</f>
        <v/>
      </c>
      <c r="D327" s="279">
        <f>IF(B327&lt;$D$24,(+CALCULETTE!G724/CALCULETTE!$B$612),0)</f>
        <v/>
      </c>
      <c r="E327" s="279">
        <f>IF(E$1=0,"",IF($B327&lt;E$23,E326+PPMT(E$26/12,$B327,E$23,E$235,-E$27,0),IF($B327=E$23,E326+PPMT(E$26/12,$B327,E$23,E$235,-E$27,0)-E$27,0)))</f>
        <v/>
      </c>
      <c r="F327" s="279">
        <f>IF(F$1=0,"",IF($B327&lt;F$23,F326+PPMT(F$26/12,$B327,F$23,F$235,-F$27,0),IF($B327=F$23,F326+PPMT(F$26/12,$B327,F$23,F$235,-F$27,0)-F$27,0)))</f>
        <v/>
      </c>
      <c r="G327" s="279">
        <f>IF(G$1=0,"",IF($B327&lt;G$23,G326+PPMT(G$26/12,$B327,G$23,G$235,-G$27,0),IF($B327=G$23,G326+PPMT(G$26/12,$B327,G$23,G$235,-G$27,0)-G$27,0)))</f>
        <v/>
      </c>
      <c r="H327" s="279">
        <f>IF(H$1=0,"",IF($B327&lt;H$23,H326+PPMT(H$26/12,$B327,H$23,H$235,-H$27,0),IF($B327=H$23,H326+PPMT(H$26/12,$B327,H$23,H$235,-H$27,0)-H$27,0)))</f>
        <v/>
      </c>
      <c r="I327" s="279">
        <f>IF(I$1=0,"",IF($B327&lt;I$23,I326+PPMT(I$26/12,$B327,I$23,I$235,-I$27,0),IF($B327=I$23,I326+PPMT(I$26/12,$B327,I$23,I$235,-I$27,0)-I$27,0)))</f>
        <v/>
      </c>
      <c r="J327" s="279">
        <f>IF(J$1=0,"",IF($B327&lt;J$23,J326+PPMT(J$26/12,$B327,J$23,J$235,-J$27,0),IF($B327=J$23,J326+PPMT(J$26/12,$B327,J$23,J$235,-J$27,0)-J$27,0)))</f>
        <v/>
      </c>
      <c r="K327" s="279">
        <f>IF(K$1=0,"",IF($B327&lt;K$23,K326+PPMT(K$26/12,$B327,K$23,K$235,-K$27,0),IF($B327=K$23,K326+PPMT(K$26/12,$B327,K$23,K$235,-K$27,0)-K$27,0)))</f>
        <v/>
      </c>
      <c r="L327" s="279">
        <f>IF(L$1=0,"",IF($B327&lt;L$23,L326+PPMT(L$26/12,$B327,L$23,L$235,-L$27,0),IF($B327=L$23,L326+PPMT(L$26/12,$B327,L$23,L$235,-L$27,0)-L$27,0)))</f>
        <v/>
      </c>
      <c r="M327" s="279">
        <f>IF(M$1=0,"",IF($B327&lt;M$23,M326+PPMT(M$26/12,$B327,M$23,M$235,-M$27,0),IF($B327=M$23,M326+PPMT(M$26/12,$B327,M$23,M$235,-M$27,0)-M$27,0)))</f>
        <v/>
      </c>
      <c r="N327" s="280" t="n"/>
      <c r="O327" s="281" t="n"/>
    </row>
    <row r="328" hidden="1" outlineLevel="1">
      <c r="B328" s="2">
        <f>B327+1</f>
        <v/>
      </c>
      <c r="D328" s="279">
        <f>IF(B328&lt;$D$24,(+CALCULETTE!G725/CALCULETTE!$B$612),0)</f>
        <v/>
      </c>
      <c r="E328" s="279">
        <f>IF(E$1=0,"",IF($B328&lt;E$23,E327+PPMT(E$26/12,$B328,E$23,E$235,-E$27,0),IF($B328=E$23,E327+PPMT(E$26/12,$B328,E$23,E$235,-E$27,0)-E$27,0)))</f>
        <v/>
      </c>
      <c r="F328" s="279">
        <f>IF(F$1=0,"",IF($B328&lt;F$23,F327+PPMT(F$26/12,$B328,F$23,F$235,-F$27,0),IF($B328=F$23,F327+PPMT(F$26/12,$B328,F$23,F$235,-F$27,0)-F$27,0)))</f>
        <v/>
      </c>
      <c r="G328" s="279">
        <f>IF(G$1=0,"",IF($B328&lt;G$23,G327+PPMT(G$26/12,$B328,G$23,G$235,-G$27,0),IF($B328=G$23,G327+PPMT(G$26/12,$B328,G$23,G$235,-G$27,0)-G$27,0)))</f>
        <v/>
      </c>
      <c r="H328" s="279">
        <f>IF(H$1=0,"",IF($B328&lt;H$23,H327+PPMT(H$26/12,$B328,H$23,H$235,-H$27,0),IF($B328=H$23,H327+PPMT(H$26/12,$B328,H$23,H$235,-H$27,0)-H$27,0)))</f>
        <v/>
      </c>
      <c r="I328" s="279">
        <f>IF(I$1=0,"",IF($B328&lt;I$23,I327+PPMT(I$26/12,$B328,I$23,I$235,-I$27,0),IF($B328=I$23,I327+PPMT(I$26/12,$B328,I$23,I$235,-I$27,0)-I$27,0)))</f>
        <v/>
      </c>
      <c r="J328" s="279">
        <f>IF(J$1=0,"",IF($B328&lt;J$23,J327+PPMT(J$26/12,$B328,J$23,J$235,-J$27,0),IF($B328=J$23,J327+PPMT(J$26/12,$B328,J$23,J$235,-J$27,0)-J$27,0)))</f>
        <v/>
      </c>
      <c r="K328" s="279">
        <f>IF(K$1=0,"",IF($B328&lt;K$23,K327+PPMT(K$26/12,$B328,K$23,K$235,-K$27,0),IF($B328=K$23,K327+PPMT(K$26/12,$B328,K$23,K$235,-K$27,0)-K$27,0)))</f>
        <v/>
      </c>
      <c r="L328" s="279">
        <f>IF(L$1=0,"",IF($B328&lt;L$23,L327+PPMT(L$26/12,$B328,L$23,L$235,-L$27,0),IF($B328=L$23,L327+PPMT(L$26/12,$B328,L$23,L$235,-L$27,0)-L$27,0)))</f>
        <v/>
      </c>
      <c r="M328" s="279">
        <f>IF(M$1=0,"",IF($B328&lt;M$23,M327+PPMT(M$26/12,$B328,M$23,M$235,-M$27,0),IF($B328=M$23,M327+PPMT(M$26/12,$B328,M$23,M$235,-M$27,0)-M$27,0)))</f>
        <v/>
      </c>
      <c r="N328" s="280" t="n"/>
      <c r="O328" s="281" t="n"/>
    </row>
    <row r="329" hidden="1" outlineLevel="1">
      <c r="B329" s="2">
        <f>B328+1</f>
        <v/>
      </c>
      <c r="D329" s="279">
        <f>IF(B329&lt;$D$24,(+CALCULETTE!G726/CALCULETTE!$B$612),0)</f>
        <v/>
      </c>
      <c r="E329" s="279">
        <f>IF(E$1=0,"",IF($B329&lt;E$23,E328+PPMT(E$26/12,$B329,E$23,E$235,-E$27,0),IF($B329=E$23,E328+PPMT(E$26/12,$B329,E$23,E$235,-E$27,0)-E$27,0)))</f>
        <v/>
      </c>
      <c r="F329" s="279">
        <f>IF(F$1=0,"",IF($B329&lt;F$23,F328+PPMT(F$26/12,$B329,F$23,F$235,-F$27,0),IF($B329=F$23,F328+PPMT(F$26/12,$B329,F$23,F$235,-F$27,0)-F$27,0)))</f>
        <v/>
      </c>
      <c r="G329" s="279">
        <f>IF(G$1=0,"",IF($B329&lt;G$23,G328+PPMT(G$26/12,$B329,G$23,G$235,-G$27,0),IF($B329=G$23,G328+PPMT(G$26/12,$B329,G$23,G$235,-G$27,0)-G$27,0)))</f>
        <v/>
      </c>
      <c r="H329" s="279">
        <f>IF(H$1=0,"",IF($B329&lt;H$23,H328+PPMT(H$26/12,$B329,H$23,H$235,-H$27,0),IF($B329=H$23,H328+PPMT(H$26/12,$B329,H$23,H$235,-H$27,0)-H$27,0)))</f>
        <v/>
      </c>
      <c r="I329" s="279">
        <f>IF(I$1=0,"",IF($B329&lt;I$23,I328+PPMT(I$26/12,$B329,I$23,I$235,-I$27,0),IF($B329=I$23,I328+PPMT(I$26/12,$B329,I$23,I$235,-I$27,0)-I$27,0)))</f>
        <v/>
      </c>
      <c r="J329" s="279">
        <f>IF(J$1=0,"",IF($B329&lt;J$23,J328+PPMT(J$26/12,$B329,J$23,J$235,-J$27,0),IF($B329=J$23,J328+PPMT(J$26/12,$B329,J$23,J$235,-J$27,0)-J$27,0)))</f>
        <v/>
      </c>
      <c r="K329" s="279">
        <f>IF(K$1=0,"",IF($B329&lt;K$23,K328+PPMT(K$26/12,$B329,K$23,K$235,-K$27,0),IF($B329=K$23,K328+PPMT(K$26/12,$B329,K$23,K$235,-K$27,0)-K$27,0)))</f>
        <v/>
      </c>
      <c r="L329" s="279">
        <f>IF(L$1=0,"",IF($B329&lt;L$23,L328+PPMT(L$26/12,$B329,L$23,L$235,-L$27,0),IF($B329=L$23,L328+PPMT(L$26/12,$B329,L$23,L$235,-L$27,0)-L$27,0)))</f>
        <v/>
      </c>
      <c r="M329" s="279">
        <f>IF(M$1=0,"",IF($B329&lt;M$23,M328+PPMT(M$26/12,$B329,M$23,M$235,-M$27,0),IF($B329=M$23,M328+PPMT(M$26/12,$B329,M$23,M$235,-M$27,0)-M$27,0)))</f>
        <v/>
      </c>
      <c r="N329" s="280" t="n"/>
      <c r="O329" s="281" t="n"/>
    </row>
    <row r="330" hidden="1" outlineLevel="1">
      <c r="B330" s="2">
        <f>B329+1</f>
        <v/>
      </c>
      <c r="D330" s="279">
        <f>IF(B330&lt;$D$24,(+CALCULETTE!G727/CALCULETTE!$B$612),0)</f>
        <v/>
      </c>
      <c r="E330" s="279">
        <f>IF(E$1=0,"",IF($B330&lt;E$23,E329+PPMT(E$26/12,$B330,E$23,E$235,-E$27,0),IF($B330=E$23,E329+PPMT(E$26/12,$B330,E$23,E$235,-E$27,0)-E$27,0)))</f>
        <v/>
      </c>
      <c r="F330" s="279">
        <f>IF(F$1=0,"",IF($B330&lt;F$23,F329+PPMT(F$26/12,$B330,F$23,F$235,-F$27,0),IF($B330=F$23,F329+PPMT(F$26/12,$B330,F$23,F$235,-F$27,0)-F$27,0)))</f>
        <v/>
      </c>
      <c r="G330" s="279">
        <f>IF(G$1=0,"",IF($B330&lt;G$23,G329+PPMT(G$26/12,$B330,G$23,G$235,-G$27,0),IF($B330=G$23,G329+PPMT(G$26/12,$B330,G$23,G$235,-G$27,0)-G$27,0)))</f>
        <v/>
      </c>
      <c r="H330" s="279">
        <f>IF(H$1=0,"",IF($B330&lt;H$23,H329+PPMT(H$26/12,$B330,H$23,H$235,-H$27,0),IF($B330=H$23,H329+PPMT(H$26/12,$B330,H$23,H$235,-H$27,0)-H$27,0)))</f>
        <v/>
      </c>
      <c r="I330" s="279">
        <f>IF(I$1=0,"",IF($B330&lt;I$23,I329+PPMT(I$26/12,$B330,I$23,I$235,-I$27,0),IF($B330=I$23,I329+PPMT(I$26/12,$B330,I$23,I$235,-I$27,0)-I$27,0)))</f>
        <v/>
      </c>
      <c r="J330" s="279">
        <f>IF(J$1=0,"",IF($B330&lt;J$23,J329+PPMT(J$26/12,$B330,J$23,J$235,-J$27,0),IF($B330=J$23,J329+PPMT(J$26/12,$B330,J$23,J$235,-J$27,0)-J$27,0)))</f>
        <v/>
      </c>
      <c r="K330" s="279">
        <f>IF(K$1=0,"",IF($B330&lt;K$23,K329+PPMT(K$26/12,$B330,K$23,K$235,-K$27,0),IF($B330=K$23,K329+PPMT(K$26/12,$B330,K$23,K$235,-K$27,0)-K$27,0)))</f>
        <v/>
      </c>
      <c r="L330" s="279">
        <f>IF(L$1=0,"",IF($B330&lt;L$23,L329+PPMT(L$26/12,$B330,L$23,L$235,-L$27,0),IF($B330=L$23,L329+PPMT(L$26/12,$B330,L$23,L$235,-L$27,0)-L$27,0)))</f>
        <v/>
      </c>
      <c r="M330" s="279">
        <f>IF(M$1=0,"",IF($B330&lt;M$23,M329+PPMT(M$26/12,$B330,M$23,M$235,-M$27,0),IF($B330=M$23,M329+PPMT(M$26/12,$B330,M$23,M$235,-M$27,0)-M$27,0)))</f>
        <v/>
      </c>
      <c r="N330" s="280" t="n"/>
      <c r="O330" s="281" t="n"/>
    </row>
    <row r="331" hidden="1" outlineLevel="1">
      <c r="B331" s="2">
        <f>B330+1</f>
        <v/>
      </c>
      <c r="D331" s="279">
        <f>IF(B331&lt;$D$24,(+CALCULETTE!G728/CALCULETTE!$B$612),0)</f>
        <v/>
      </c>
      <c r="E331" s="279">
        <f>IF(E$1=0,"",IF($B331&lt;E$23,E330+PPMT(E$26/12,$B331,E$23,E$235,-E$27,0),IF($B331=E$23,E330+PPMT(E$26/12,$B331,E$23,E$235,-E$27,0)-E$27,0)))</f>
        <v/>
      </c>
      <c r="F331" s="279">
        <f>IF(F$1=0,"",IF($B331&lt;F$23,F330+PPMT(F$26/12,$B331,F$23,F$235,-F$27,0),IF($B331=F$23,F330+PPMT(F$26/12,$B331,F$23,F$235,-F$27,0)-F$27,0)))</f>
        <v/>
      </c>
      <c r="G331" s="279">
        <f>IF(G$1=0,"",IF($B331&lt;G$23,G330+PPMT(G$26/12,$B331,G$23,G$235,-G$27,0),IF($B331=G$23,G330+PPMT(G$26/12,$B331,G$23,G$235,-G$27,0)-G$27,0)))</f>
        <v/>
      </c>
      <c r="H331" s="279">
        <f>IF(H$1=0,"",IF($B331&lt;H$23,H330+PPMT(H$26/12,$B331,H$23,H$235,-H$27,0),IF($B331=H$23,H330+PPMT(H$26/12,$B331,H$23,H$235,-H$27,0)-H$27,0)))</f>
        <v/>
      </c>
      <c r="I331" s="279">
        <f>IF(I$1=0,"",IF($B331&lt;I$23,I330+PPMT(I$26/12,$B331,I$23,I$235,-I$27,0),IF($B331=I$23,I330+PPMT(I$26/12,$B331,I$23,I$235,-I$27,0)-I$27,0)))</f>
        <v/>
      </c>
      <c r="J331" s="279">
        <f>IF(J$1=0,"",IF($B331&lt;J$23,J330+PPMT(J$26/12,$B331,J$23,J$235,-J$27,0),IF($B331=J$23,J330+PPMT(J$26/12,$B331,J$23,J$235,-J$27,0)-J$27,0)))</f>
        <v/>
      </c>
      <c r="K331" s="279">
        <f>IF(K$1=0,"",IF($B331&lt;K$23,K330+PPMT(K$26/12,$B331,K$23,K$235,-K$27,0),IF($B331=K$23,K330+PPMT(K$26/12,$B331,K$23,K$235,-K$27,0)-K$27,0)))</f>
        <v/>
      </c>
      <c r="L331" s="279">
        <f>IF(L$1=0,"",IF($B331&lt;L$23,L330+PPMT(L$26/12,$B331,L$23,L$235,-L$27,0),IF($B331=L$23,L330+PPMT(L$26/12,$B331,L$23,L$235,-L$27,0)-L$27,0)))</f>
        <v/>
      </c>
      <c r="M331" s="279">
        <f>IF(M$1=0,"",IF($B331&lt;M$23,M330+PPMT(M$26/12,$B331,M$23,M$235,-M$27,0),IF($B331=M$23,M330+PPMT(M$26/12,$B331,M$23,M$235,-M$27,0)-M$27,0)))</f>
        <v/>
      </c>
      <c r="N331" s="280" t="n"/>
      <c r="O331" s="281" t="n"/>
    </row>
    <row r="332" hidden="1" outlineLevel="1">
      <c r="B332" s="2">
        <f>B331+1</f>
        <v/>
      </c>
      <c r="D332" s="279">
        <f>IF(B332&lt;$D$24,(+CALCULETTE!G729/CALCULETTE!$B$612),0)</f>
        <v/>
      </c>
      <c r="E332" s="279">
        <f>IF(E$1=0,"",IF($B332&lt;E$23,E331+PPMT(E$26/12,$B332,E$23,E$235,-E$27,0),IF($B332=E$23,E331+PPMT(E$26/12,$B332,E$23,E$235,-E$27,0)-E$27,0)))</f>
        <v/>
      </c>
      <c r="F332" s="279">
        <f>IF(F$1=0,"",IF($B332&lt;F$23,F331+PPMT(F$26/12,$B332,F$23,F$235,-F$27,0),IF($B332=F$23,F331+PPMT(F$26/12,$B332,F$23,F$235,-F$27,0)-F$27,0)))</f>
        <v/>
      </c>
      <c r="G332" s="279">
        <f>IF(G$1=0,"",IF($B332&lt;G$23,G331+PPMT(G$26/12,$B332,G$23,G$235,-G$27,0),IF($B332=G$23,G331+PPMT(G$26/12,$B332,G$23,G$235,-G$27,0)-G$27,0)))</f>
        <v/>
      </c>
      <c r="H332" s="279">
        <f>IF(H$1=0,"",IF($B332&lt;H$23,H331+PPMT(H$26/12,$B332,H$23,H$235,-H$27,0),IF($B332=H$23,H331+PPMT(H$26/12,$B332,H$23,H$235,-H$27,0)-H$27,0)))</f>
        <v/>
      </c>
      <c r="I332" s="279">
        <f>IF(I$1=0,"",IF($B332&lt;I$23,I331+PPMT(I$26/12,$B332,I$23,I$235,-I$27,0),IF($B332=I$23,I331+PPMT(I$26/12,$B332,I$23,I$235,-I$27,0)-I$27,0)))</f>
        <v/>
      </c>
      <c r="J332" s="279">
        <f>IF(J$1=0,"",IF($B332&lt;J$23,J331+PPMT(J$26/12,$B332,J$23,J$235,-J$27,0),IF($B332=J$23,J331+PPMT(J$26/12,$B332,J$23,J$235,-J$27,0)-J$27,0)))</f>
        <v/>
      </c>
      <c r="K332" s="279">
        <f>IF(K$1=0,"",IF($B332&lt;K$23,K331+PPMT(K$26/12,$B332,K$23,K$235,-K$27,0),IF($B332=K$23,K331+PPMT(K$26/12,$B332,K$23,K$235,-K$27,0)-K$27,0)))</f>
        <v/>
      </c>
      <c r="L332" s="279">
        <f>IF(L$1=0,"",IF($B332&lt;L$23,L331+PPMT(L$26/12,$B332,L$23,L$235,-L$27,0),IF($B332=L$23,L331+PPMT(L$26/12,$B332,L$23,L$235,-L$27,0)-L$27,0)))</f>
        <v/>
      </c>
      <c r="M332" s="279">
        <f>IF(M$1=0,"",IF($B332&lt;M$23,M331+PPMT(M$26/12,$B332,M$23,M$235,-M$27,0),IF($B332=M$23,M331+PPMT(M$26/12,$B332,M$23,M$235,-M$27,0)-M$27,0)))</f>
        <v/>
      </c>
      <c r="N332" s="280" t="n"/>
      <c r="O332" s="281" t="n"/>
    </row>
    <row r="333" hidden="1" outlineLevel="1">
      <c r="B333" s="2">
        <f>B332+1</f>
        <v/>
      </c>
      <c r="D333" s="279">
        <f>IF(B333&lt;$D$24,(+CALCULETTE!G730/CALCULETTE!$B$612),0)</f>
        <v/>
      </c>
      <c r="E333" s="279">
        <f>IF(E$1=0,"",IF($B333&lt;E$23,E332+PPMT(E$26/12,$B333,E$23,E$235,-E$27,0),IF($B333=E$23,E332+PPMT(E$26/12,$B333,E$23,E$235,-E$27,0)-E$27,0)))</f>
        <v/>
      </c>
      <c r="F333" s="279">
        <f>IF(F$1=0,"",IF($B333&lt;F$23,F332+PPMT(F$26/12,$B333,F$23,F$235,-F$27,0),IF($B333=F$23,F332+PPMT(F$26/12,$B333,F$23,F$235,-F$27,0)-F$27,0)))</f>
        <v/>
      </c>
      <c r="G333" s="279">
        <f>IF(G$1=0,"",IF($B333&lt;G$23,G332+PPMT(G$26/12,$B333,G$23,G$235,-G$27,0),IF($B333=G$23,G332+PPMT(G$26/12,$B333,G$23,G$235,-G$27,0)-G$27,0)))</f>
        <v/>
      </c>
      <c r="H333" s="279">
        <f>IF(H$1=0,"",IF($B333&lt;H$23,H332+PPMT(H$26/12,$B333,H$23,H$235,-H$27,0),IF($B333=H$23,H332+PPMT(H$26/12,$B333,H$23,H$235,-H$27,0)-H$27,0)))</f>
        <v/>
      </c>
      <c r="I333" s="279">
        <f>IF(I$1=0,"",IF($B333&lt;I$23,I332+PPMT(I$26/12,$B333,I$23,I$235,-I$27,0),IF($B333=I$23,I332+PPMT(I$26/12,$B333,I$23,I$235,-I$27,0)-I$27,0)))</f>
        <v/>
      </c>
      <c r="J333" s="279">
        <f>IF(J$1=0,"",IF($B333&lt;J$23,J332+PPMT(J$26/12,$B333,J$23,J$235,-J$27,0),IF($B333=J$23,J332+PPMT(J$26/12,$B333,J$23,J$235,-J$27,0)-J$27,0)))</f>
        <v/>
      </c>
      <c r="K333" s="279">
        <f>IF(K$1=0,"",IF($B333&lt;K$23,K332+PPMT(K$26/12,$B333,K$23,K$235,-K$27,0),IF($B333=K$23,K332+PPMT(K$26/12,$B333,K$23,K$235,-K$27,0)-K$27,0)))</f>
        <v/>
      </c>
      <c r="L333" s="279">
        <f>IF(L$1=0,"",IF($B333&lt;L$23,L332+PPMT(L$26/12,$B333,L$23,L$235,-L$27,0),IF($B333=L$23,L332+PPMT(L$26/12,$B333,L$23,L$235,-L$27,0)-L$27,0)))</f>
        <v/>
      </c>
      <c r="M333" s="279">
        <f>IF(M$1=0,"",IF($B333&lt;M$23,M332+PPMT(M$26/12,$B333,M$23,M$235,-M$27,0),IF($B333=M$23,M332+PPMT(M$26/12,$B333,M$23,M$235,-M$27,0)-M$27,0)))</f>
        <v/>
      </c>
      <c r="N333" s="280" t="n"/>
      <c r="O333" s="281" t="n"/>
    </row>
    <row r="334" hidden="1" outlineLevel="1">
      <c r="B334" s="2">
        <f>B333+1</f>
        <v/>
      </c>
      <c r="D334" s="279">
        <f>IF(B334&lt;$D$24,(+CALCULETTE!G731/CALCULETTE!$B$612),0)</f>
        <v/>
      </c>
      <c r="E334" s="279">
        <f>IF(E$1=0,"",IF($B334&lt;E$23,E333+PPMT(E$26/12,$B334,E$23,E$235,-E$27,0),IF($B334=E$23,E333+PPMT(E$26/12,$B334,E$23,E$235,-E$27,0)-E$27,0)))</f>
        <v/>
      </c>
      <c r="F334" s="279">
        <f>IF(F$1=0,"",IF($B334&lt;F$23,F333+PPMT(F$26/12,$B334,F$23,F$235,-F$27,0),IF($B334=F$23,F333+PPMT(F$26/12,$B334,F$23,F$235,-F$27,0)-F$27,0)))</f>
        <v/>
      </c>
      <c r="G334" s="279">
        <f>IF(G$1=0,"",IF($B334&lt;G$23,G333+PPMT(G$26/12,$B334,G$23,G$235,-G$27,0),IF($B334=G$23,G333+PPMT(G$26/12,$B334,G$23,G$235,-G$27,0)-G$27,0)))</f>
        <v/>
      </c>
      <c r="H334" s="279">
        <f>IF(H$1=0,"",IF($B334&lt;H$23,H333+PPMT(H$26/12,$B334,H$23,H$235,-H$27,0),IF($B334=H$23,H333+PPMT(H$26/12,$B334,H$23,H$235,-H$27,0)-H$27,0)))</f>
        <v/>
      </c>
      <c r="I334" s="279">
        <f>IF(I$1=0,"",IF($B334&lt;I$23,I333+PPMT(I$26/12,$B334,I$23,I$235,-I$27,0),IF($B334=I$23,I333+PPMT(I$26/12,$B334,I$23,I$235,-I$27,0)-I$27,0)))</f>
        <v/>
      </c>
      <c r="J334" s="279">
        <f>IF(J$1=0,"",IF($B334&lt;J$23,J333+PPMT(J$26/12,$B334,J$23,J$235,-J$27,0),IF($B334=J$23,J333+PPMT(J$26/12,$B334,J$23,J$235,-J$27,0)-J$27,0)))</f>
        <v/>
      </c>
      <c r="K334" s="279">
        <f>IF(K$1=0,"",IF($B334&lt;K$23,K333+PPMT(K$26/12,$B334,K$23,K$235,-K$27,0),IF($B334=K$23,K333+PPMT(K$26/12,$B334,K$23,K$235,-K$27,0)-K$27,0)))</f>
        <v/>
      </c>
      <c r="L334" s="279">
        <f>IF(L$1=0,"",IF($B334&lt;L$23,L333+PPMT(L$26/12,$B334,L$23,L$235,-L$27,0),IF($B334=L$23,L333+PPMT(L$26/12,$B334,L$23,L$235,-L$27,0)-L$27,0)))</f>
        <v/>
      </c>
      <c r="M334" s="279">
        <f>IF(M$1=0,"",IF($B334&lt;M$23,M333+PPMT(M$26/12,$B334,M$23,M$235,-M$27,0),IF($B334=M$23,M333+PPMT(M$26/12,$B334,M$23,M$235,-M$27,0)-M$27,0)))</f>
        <v/>
      </c>
      <c r="N334" s="280" t="n"/>
      <c r="O334" s="281" t="n"/>
    </row>
    <row r="335" hidden="1" outlineLevel="1">
      <c r="B335" s="2">
        <f>B334+1</f>
        <v/>
      </c>
      <c r="D335" s="279">
        <f>IF(B335&lt;$D$24,(+CALCULETTE!G732/CALCULETTE!$B$612),0)</f>
        <v/>
      </c>
      <c r="E335" s="279">
        <f>IF(E$1=0,"",IF($B335&lt;E$23,E334+PPMT(E$26/12,$B335,E$23,E$235,-E$27,0),IF($B335=E$23,E334+PPMT(E$26/12,$B335,E$23,E$235,-E$27,0)-E$27,0)))</f>
        <v/>
      </c>
      <c r="F335" s="279">
        <f>IF(F$1=0,"",IF($B335&lt;F$23,F334+PPMT(F$26/12,$B335,F$23,F$235,-F$27,0),IF($B335=F$23,F334+PPMT(F$26/12,$B335,F$23,F$235,-F$27,0)-F$27,0)))</f>
        <v/>
      </c>
      <c r="G335" s="279">
        <f>IF(G$1=0,"",IF($B335&lt;G$23,G334+PPMT(G$26/12,$B335,G$23,G$235,-G$27,0),IF($B335=G$23,G334+PPMT(G$26/12,$B335,G$23,G$235,-G$27,0)-G$27,0)))</f>
        <v/>
      </c>
      <c r="H335" s="279">
        <f>IF(H$1=0,"",IF($B335&lt;H$23,H334+PPMT(H$26/12,$B335,H$23,H$235,-H$27,0),IF($B335=H$23,H334+PPMT(H$26/12,$B335,H$23,H$235,-H$27,0)-H$27,0)))</f>
        <v/>
      </c>
      <c r="I335" s="279">
        <f>IF(I$1=0,"",IF($B335&lt;I$23,I334+PPMT(I$26/12,$B335,I$23,I$235,-I$27,0),IF($B335=I$23,I334+PPMT(I$26/12,$B335,I$23,I$235,-I$27,0)-I$27,0)))</f>
        <v/>
      </c>
      <c r="J335" s="279">
        <f>IF(J$1=0,"",IF($B335&lt;J$23,J334+PPMT(J$26/12,$B335,J$23,J$235,-J$27,0),IF($B335=J$23,J334+PPMT(J$26/12,$B335,J$23,J$235,-J$27,0)-J$27,0)))</f>
        <v/>
      </c>
      <c r="K335" s="279">
        <f>IF(K$1=0,"",IF($B335&lt;K$23,K334+PPMT(K$26/12,$B335,K$23,K$235,-K$27,0),IF($B335=K$23,K334+PPMT(K$26/12,$B335,K$23,K$235,-K$27,0)-K$27,0)))</f>
        <v/>
      </c>
      <c r="L335" s="279">
        <f>IF(L$1=0,"",IF($B335&lt;L$23,L334+PPMT(L$26/12,$B335,L$23,L$235,-L$27,0),IF($B335=L$23,L334+PPMT(L$26/12,$B335,L$23,L$235,-L$27,0)-L$27,0)))</f>
        <v/>
      </c>
      <c r="M335" s="279">
        <f>IF(M$1=0,"",IF($B335&lt;M$23,M334+PPMT(M$26/12,$B335,M$23,M$235,-M$27,0),IF($B335=M$23,M334+PPMT(M$26/12,$B335,M$23,M$235,-M$27,0)-M$27,0)))</f>
        <v/>
      </c>
      <c r="N335" s="280" t="n"/>
      <c r="O335" s="281" t="n"/>
    </row>
    <row r="336" hidden="1" outlineLevel="1">
      <c r="B336" s="2">
        <f>B335+1</f>
        <v/>
      </c>
      <c r="D336" s="279">
        <f>IF(B336&lt;$D$24,(+CALCULETTE!G733/CALCULETTE!$B$612),0)</f>
        <v/>
      </c>
      <c r="E336" s="279">
        <f>IF(E$1=0,"",IF($B336&lt;E$23,E335+PPMT(E$26/12,$B336,E$23,E$235,-E$27,0),IF($B336=E$23,E335+PPMT(E$26/12,$B336,E$23,E$235,-E$27,0)-E$27,0)))</f>
        <v/>
      </c>
      <c r="F336" s="279">
        <f>IF(F$1=0,"",IF($B336&lt;F$23,F335+PPMT(F$26/12,$B336,F$23,F$235,-F$27,0),IF($B336=F$23,F335+PPMT(F$26/12,$B336,F$23,F$235,-F$27,0)-F$27,0)))</f>
        <v/>
      </c>
      <c r="G336" s="279">
        <f>IF(G$1=0,"",IF($B336&lt;G$23,G335+PPMT(G$26/12,$B336,G$23,G$235,-G$27,0),IF($B336=G$23,G335+PPMT(G$26/12,$B336,G$23,G$235,-G$27,0)-G$27,0)))</f>
        <v/>
      </c>
      <c r="H336" s="279">
        <f>IF(H$1=0,"",IF($B336&lt;H$23,H335+PPMT(H$26/12,$B336,H$23,H$235,-H$27,0),IF($B336=H$23,H335+PPMT(H$26/12,$B336,H$23,H$235,-H$27,0)-H$27,0)))</f>
        <v/>
      </c>
      <c r="I336" s="279">
        <f>IF(I$1=0,"",IF($B336&lt;I$23,I335+PPMT(I$26/12,$B336,I$23,I$235,-I$27,0),IF($B336=I$23,I335+PPMT(I$26/12,$B336,I$23,I$235,-I$27,0)-I$27,0)))</f>
        <v/>
      </c>
      <c r="J336" s="279">
        <f>IF(J$1=0,"",IF($B336&lt;J$23,J335+PPMT(J$26/12,$B336,J$23,J$235,-J$27,0),IF($B336=J$23,J335+PPMT(J$26/12,$B336,J$23,J$235,-J$27,0)-J$27,0)))</f>
        <v/>
      </c>
      <c r="K336" s="279">
        <f>IF(K$1=0,"",IF($B336&lt;K$23,K335+PPMT(K$26/12,$B336,K$23,K$235,-K$27,0),IF($B336=K$23,K335+PPMT(K$26/12,$B336,K$23,K$235,-K$27,0)-K$27,0)))</f>
        <v/>
      </c>
      <c r="L336" s="279">
        <f>IF(L$1=0,"",IF($B336&lt;L$23,L335+PPMT(L$26/12,$B336,L$23,L$235,-L$27,0),IF($B336=L$23,L335+PPMT(L$26/12,$B336,L$23,L$235,-L$27,0)-L$27,0)))</f>
        <v/>
      </c>
      <c r="M336" s="279">
        <f>IF(M$1=0,"",IF($B336&lt;M$23,M335+PPMT(M$26/12,$B336,M$23,M$235,-M$27,0),IF($B336=M$23,M335+PPMT(M$26/12,$B336,M$23,M$235,-M$27,0)-M$27,0)))</f>
        <v/>
      </c>
      <c r="N336" s="280" t="n"/>
      <c r="O336" s="281" t="n"/>
    </row>
    <row r="337" hidden="1" outlineLevel="1">
      <c r="B337" s="2">
        <f>B336+1</f>
        <v/>
      </c>
      <c r="D337" s="279">
        <f>IF(B337&lt;$D$24,(+CALCULETTE!G734/CALCULETTE!$B$612),0)</f>
        <v/>
      </c>
      <c r="E337" s="279">
        <f>IF(E$1=0,"",IF($B337&lt;E$23,E336+PPMT(E$26/12,$B337,E$23,E$235,-E$27,0),IF($B337=E$23,E336+PPMT(E$26/12,$B337,E$23,E$235,-E$27,0)-E$27,0)))</f>
        <v/>
      </c>
      <c r="F337" s="279">
        <f>IF(F$1=0,"",IF($B337&lt;F$23,F336+PPMT(F$26/12,$B337,F$23,F$235,-F$27,0),IF($B337=F$23,F336+PPMT(F$26/12,$B337,F$23,F$235,-F$27,0)-F$27,0)))</f>
        <v/>
      </c>
      <c r="G337" s="279">
        <f>IF(G$1=0,"",IF($B337&lt;G$23,G336+PPMT(G$26/12,$B337,G$23,G$235,-G$27,0),IF($B337=G$23,G336+PPMT(G$26/12,$B337,G$23,G$235,-G$27,0)-G$27,0)))</f>
        <v/>
      </c>
      <c r="H337" s="279">
        <f>IF(H$1=0,"",IF($B337&lt;H$23,H336+PPMT(H$26/12,$B337,H$23,H$235,-H$27,0),IF($B337=H$23,H336+PPMT(H$26/12,$B337,H$23,H$235,-H$27,0)-H$27,0)))</f>
        <v/>
      </c>
      <c r="I337" s="279">
        <f>IF(I$1=0,"",IF($B337&lt;I$23,I336+PPMT(I$26/12,$B337,I$23,I$235,-I$27,0),IF($B337=I$23,I336+PPMT(I$26/12,$B337,I$23,I$235,-I$27,0)-I$27,0)))</f>
        <v/>
      </c>
      <c r="J337" s="279">
        <f>IF(J$1=0,"",IF($B337&lt;J$23,J336+PPMT(J$26/12,$B337,J$23,J$235,-J$27,0),IF($B337=J$23,J336+PPMT(J$26/12,$B337,J$23,J$235,-J$27,0)-J$27,0)))</f>
        <v/>
      </c>
      <c r="K337" s="279">
        <f>IF(K$1=0,"",IF($B337&lt;K$23,K336+PPMT(K$26/12,$B337,K$23,K$235,-K$27,0),IF($B337=K$23,K336+PPMT(K$26/12,$B337,K$23,K$235,-K$27,0)-K$27,0)))</f>
        <v/>
      </c>
      <c r="L337" s="279">
        <f>IF(L$1=0,"",IF($B337&lt;L$23,L336+PPMT(L$26/12,$B337,L$23,L$235,-L$27,0),IF($B337=L$23,L336+PPMT(L$26/12,$B337,L$23,L$235,-L$27,0)-L$27,0)))</f>
        <v/>
      </c>
      <c r="M337" s="279">
        <f>IF(M$1=0,"",IF($B337&lt;M$23,M336+PPMT(M$26/12,$B337,M$23,M$235,-M$27,0),IF($B337=M$23,M336+PPMT(M$26/12,$B337,M$23,M$235,-M$27,0)-M$27,0)))</f>
        <v/>
      </c>
      <c r="N337" s="280" t="n"/>
      <c r="O337" s="281" t="n"/>
    </row>
    <row r="338" hidden="1" outlineLevel="1">
      <c r="B338" s="2">
        <f>B337+1</f>
        <v/>
      </c>
      <c r="D338" s="279">
        <f>IF(B338&lt;$D$24,(+CALCULETTE!G735/CALCULETTE!$B$612),0)</f>
        <v/>
      </c>
      <c r="E338" s="279">
        <f>IF(E$1=0,"",IF($B338&lt;E$23,E337+PPMT(E$26/12,$B338,E$23,E$235,-E$27,0),IF($B338=E$23,E337+PPMT(E$26/12,$B338,E$23,E$235,-E$27,0)-E$27,0)))</f>
        <v/>
      </c>
      <c r="F338" s="279">
        <f>IF(F$1=0,"",IF($B338&lt;F$23,F337+PPMT(F$26/12,$B338,F$23,F$235,-F$27,0),IF($B338=F$23,F337+PPMT(F$26/12,$B338,F$23,F$235,-F$27,0)-F$27,0)))</f>
        <v/>
      </c>
      <c r="G338" s="279">
        <f>IF(G$1=0,"",IF($B338&lt;G$23,G337+PPMT(G$26/12,$B338,G$23,G$235,-G$27,0),IF($B338=G$23,G337+PPMT(G$26/12,$B338,G$23,G$235,-G$27,0)-G$27,0)))</f>
        <v/>
      </c>
      <c r="H338" s="279">
        <f>IF(H$1=0,"",IF($B338&lt;H$23,H337+PPMT(H$26/12,$B338,H$23,H$235,-H$27,0),IF($B338=H$23,H337+PPMT(H$26/12,$B338,H$23,H$235,-H$27,0)-H$27,0)))</f>
        <v/>
      </c>
      <c r="I338" s="279">
        <f>IF(I$1=0,"",IF($B338&lt;I$23,I337+PPMT(I$26/12,$B338,I$23,I$235,-I$27,0),IF($B338=I$23,I337+PPMT(I$26/12,$B338,I$23,I$235,-I$27,0)-I$27,0)))</f>
        <v/>
      </c>
      <c r="J338" s="279">
        <f>IF(J$1=0,"",IF($B338&lt;J$23,J337+PPMT(J$26/12,$B338,J$23,J$235,-J$27,0),IF($B338=J$23,J337+PPMT(J$26/12,$B338,J$23,J$235,-J$27,0)-J$27,0)))</f>
        <v/>
      </c>
      <c r="K338" s="279">
        <f>IF(K$1=0,"",IF($B338&lt;K$23,K337+PPMT(K$26/12,$B338,K$23,K$235,-K$27,0),IF($B338=K$23,K337+PPMT(K$26/12,$B338,K$23,K$235,-K$27,0)-K$27,0)))</f>
        <v/>
      </c>
      <c r="L338" s="279">
        <f>IF(L$1=0,"",IF($B338&lt;L$23,L337+PPMT(L$26/12,$B338,L$23,L$235,-L$27,0),IF($B338=L$23,L337+PPMT(L$26/12,$B338,L$23,L$235,-L$27,0)-L$27,0)))</f>
        <v/>
      </c>
      <c r="M338" s="279">
        <f>IF(M$1=0,"",IF($B338&lt;M$23,M337+PPMT(M$26/12,$B338,M$23,M$235,-M$27,0),IF($B338=M$23,M337+PPMT(M$26/12,$B338,M$23,M$235,-M$27,0)-M$27,0)))</f>
        <v/>
      </c>
      <c r="N338" s="280" t="n"/>
      <c r="O338" s="281" t="n"/>
    </row>
    <row r="339" hidden="1" outlineLevel="1">
      <c r="B339" s="2">
        <f>B338+1</f>
        <v/>
      </c>
      <c r="D339" s="279">
        <f>IF(B339&lt;$D$24,(+CALCULETTE!G736/CALCULETTE!$B$612),0)</f>
        <v/>
      </c>
      <c r="E339" s="279">
        <f>IF(E$1=0,"",IF($B339&lt;E$23,E338+PPMT(E$26/12,$B339,E$23,E$235,-E$27,0),IF($B339=E$23,E338+PPMT(E$26/12,$B339,E$23,E$235,-E$27,0)-E$27,0)))</f>
        <v/>
      </c>
      <c r="F339" s="279">
        <f>IF(F$1=0,"",IF($B339&lt;F$23,F338+PPMT(F$26/12,$B339,F$23,F$235,-F$27,0),IF($B339=F$23,F338+PPMT(F$26/12,$B339,F$23,F$235,-F$27,0)-F$27,0)))</f>
        <v/>
      </c>
      <c r="G339" s="279">
        <f>IF(G$1=0,"",IF($B339&lt;G$23,G338+PPMT(G$26/12,$B339,G$23,G$235,-G$27,0),IF($B339=G$23,G338+PPMT(G$26/12,$B339,G$23,G$235,-G$27,0)-G$27,0)))</f>
        <v/>
      </c>
      <c r="H339" s="279">
        <f>IF(H$1=0,"",IF($B339&lt;H$23,H338+PPMT(H$26/12,$B339,H$23,H$235,-H$27,0),IF($B339=H$23,H338+PPMT(H$26/12,$B339,H$23,H$235,-H$27,0)-H$27,0)))</f>
        <v/>
      </c>
      <c r="I339" s="279">
        <f>IF(I$1=0,"",IF($B339&lt;I$23,I338+PPMT(I$26/12,$B339,I$23,I$235,-I$27,0),IF($B339=I$23,I338+PPMT(I$26/12,$B339,I$23,I$235,-I$27,0)-I$27,0)))</f>
        <v/>
      </c>
      <c r="J339" s="279">
        <f>IF(J$1=0,"",IF($B339&lt;J$23,J338+PPMT(J$26/12,$B339,J$23,J$235,-J$27,0),IF($B339=J$23,J338+PPMT(J$26/12,$B339,J$23,J$235,-J$27,0)-J$27,0)))</f>
        <v/>
      </c>
      <c r="K339" s="279">
        <f>IF(K$1=0,"",IF($B339&lt;K$23,K338+PPMT(K$26/12,$B339,K$23,K$235,-K$27,0),IF($B339=K$23,K338+PPMT(K$26/12,$B339,K$23,K$235,-K$27,0)-K$27,0)))</f>
        <v/>
      </c>
      <c r="L339" s="279">
        <f>IF(L$1=0,"",IF($B339&lt;L$23,L338+PPMT(L$26/12,$B339,L$23,L$235,-L$27,0),IF($B339=L$23,L338+PPMT(L$26/12,$B339,L$23,L$235,-L$27,0)-L$27,0)))</f>
        <v/>
      </c>
      <c r="M339" s="279">
        <f>IF(M$1=0,"",IF($B339&lt;M$23,M338+PPMT(M$26/12,$B339,M$23,M$235,-M$27,0),IF($B339=M$23,M338+PPMT(M$26/12,$B339,M$23,M$235,-M$27,0)-M$27,0)))</f>
        <v/>
      </c>
      <c r="N339" s="280" t="n"/>
      <c r="O339" s="281" t="n"/>
    </row>
    <row r="340" hidden="1" outlineLevel="1">
      <c r="B340" s="2">
        <f>B339+1</f>
        <v/>
      </c>
      <c r="D340" s="279">
        <f>IF(B340&lt;$D$24,(+CALCULETTE!G737/CALCULETTE!$B$612),0)</f>
        <v/>
      </c>
      <c r="E340" s="279">
        <f>IF(E$1=0,"",IF($B340&lt;E$23,E339+PPMT(E$26/12,$B340,E$23,E$235,-E$27,0),IF($B340=E$23,E339+PPMT(E$26/12,$B340,E$23,E$235,-E$27,0)-E$27,0)))</f>
        <v/>
      </c>
      <c r="F340" s="279">
        <f>IF(F$1=0,"",IF($B340&lt;F$23,F339+PPMT(F$26/12,$B340,F$23,F$235,-F$27,0),IF($B340=F$23,F339+PPMT(F$26/12,$B340,F$23,F$235,-F$27,0)-F$27,0)))</f>
        <v/>
      </c>
      <c r="G340" s="279">
        <f>IF(G$1=0,"",IF($B340&lt;G$23,G339+PPMT(G$26/12,$B340,G$23,G$235,-G$27,0),IF($B340=G$23,G339+PPMT(G$26/12,$B340,G$23,G$235,-G$27,0)-G$27,0)))</f>
        <v/>
      </c>
      <c r="H340" s="279">
        <f>IF(H$1=0,"",IF($B340&lt;H$23,H339+PPMT(H$26/12,$B340,H$23,H$235,-H$27,0),IF($B340=H$23,H339+PPMT(H$26/12,$B340,H$23,H$235,-H$27,0)-H$27,0)))</f>
        <v/>
      </c>
      <c r="I340" s="279">
        <f>IF(I$1=0,"",IF($B340&lt;I$23,I339+PPMT(I$26/12,$B340,I$23,I$235,-I$27,0),IF($B340=I$23,I339+PPMT(I$26/12,$B340,I$23,I$235,-I$27,0)-I$27,0)))</f>
        <v/>
      </c>
      <c r="J340" s="279">
        <f>IF(J$1=0,"",IF($B340&lt;J$23,J339+PPMT(J$26/12,$B340,J$23,J$235,-J$27,0),IF($B340=J$23,J339+PPMT(J$26/12,$B340,J$23,J$235,-J$27,0)-J$27,0)))</f>
        <v/>
      </c>
      <c r="K340" s="279">
        <f>IF(K$1=0,"",IF($B340&lt;K$23,K339+PPMT(K$26/12,$B340,K$23,K$235,-K$27,0),IF($B340=K$23,K339+PPMT(K$26/12,$B340,K$23,K$235,-K$27,0)-K$27,0)))</f>
        <v/>
      </c>
      <c r="L340" s="279">
        <f>IF(L$1=0,"",IF($B340&lt;L$23,L339+PPMT(L$26/12,$B340,L$23,L$235,-L$27,0),IF($B340=L$23,L339+PPMT(L$26/12,$B340,L$23,L$235,-L$27,0)-L$27,0)))</f>
        <v/>
      </c>
      <c r="M340" s="279">
        <f>IF(M$1=0,"",IF($B340&lt;M$23,M339+PPMT(M$26/12,$B340,M$23,M$235,-M$27,0),IF($B340=M$23,M339+PPMT(M$26/12,$B340,M$23,M$235,-M$27,0)-M$27,0)))</f>
        <v/>
      </c>
      <c r="N340" s="280" t="n"/>
      <c r="O340" s="281" t="n"/>
    </row>
    <row r="341" hidden="1" outlineLevel="1">
      <c r="B341" s="2">
        <f>B340+1</f>
        <v/>
      </c>
      <c r="D341" s="279">
        <f>IF(B341&lt;$D$24,(+CALCULETTE!G738/CALCULETTE!$B$612),0)</f>
        <v/>
      </c>
      <c r="E341" s="279">
        <f>IF(E$1=0,"",IF($B341&lt;E$23,E340+PPMT(E$26/12,$B341,E$23,E$235,-E$27,0),IF($B341=E$23,E340+PPMT(E$26/12,$B341,E$23,E$235,-E$27,0)-E$27,0)))</f>
        <v/>
      </c>
      <c r="F341" s="279">
        <f>IF(F$1=0,"",IF($B341&lt;F$23,F340+PPMT(F$26/12,$B341,F$23,F$235,-F$27,0),IF($B341=F$23,F340+PPMT(F$26/12,$B341,F$23,F$235,-F$27,0)-F$27,0)))</f>
        <v/>
      </c>
      <c r="G341" s="279">
        <f>IF(G$1=0,"",IF($B341&lt;G$23,G340+PPMT(G$26/12,$B341,G$23,G$235,-G$27,0),IF($B341=G$23,G340+PPMT(G$26/12,$B341,G$23,G$235,-G$27,0)-G$27,0)))</f>
        <v/>
      </c>
      <c r="H341" s="279">
        <f>IF(H$1=0,"",IF($B341&lt;H$23,H340+PPMT(H$26/12,$B341,H$23,H$235,-H$27,0),IF($B341=H$23,H340+PPMT(H$26/12,$B341,H$23,H$235,-H$27,0)-H$27,0)))</f>
        <v/>
      </c>
      <c r="I341" s="279">
        <f>IF(I$1=0,"",IF($B341&lt;I$23,I340+PPMT(I$26/12,$B341,I$23,I$235,-I$27,0),IF($B341=I$23,I340+PPMT(I$26/12,$B341,I$23,I$235,-I$27,0)-I$27,0)))</f>
        <v/>
      </c>
      <c r="J341" s="279">
        <f>IF(J$1=0,"",IF($B341&lt;J$23,J340+PPMT(J$26/12,$B341,J$23,J$235,-J$27,0),IF($B341=J$23,J340+PPMT(J$26/12,$B341,J$23,J$235,-J$27,0)-J$27,0)))</f>
        <v/>
      </c>
      <c r="K341" s="279">
        <f>IF(K$1=0,"",IF($B341&lt;K$23,K340+PPMT(K$26/12,$B341,K$23,K$235,-K$27,0),IF($B341=K$23,K340+PPMT(K$26/12,$B341,K$23,K$235,-K$27,0)-K$27,0)))</f>
        <v/>
      </c>
      <c r="L341" s="279">
        <f>IF(L$1=0,"",IF($B341&lt;L$23,L340+PPMT(L$26/12,$B341,L$23,L$235,-L$27,0),IF($B341=L$23,L340+PPMT(L$26/12,$B341,L$23,L$235,-L$27,0)-L$27,0)))</f>
        <v/>
      </c>
      <c r="M341" s="279">
        <f>IF(M$1=0,"",IF($B341&lt;M$23,M340+PPMT(M$26/12,$B341,M$23,M$235,-M$27,0),IF($B341=M$23,M340+PPMT(M$26/12,$B341,M$23,M$235,-M$27,0)-M$27,0)))</f>
        <v/>
      </c>
      <c r="N341" s="280" t="n"/>
      <c r="O341" s="281" t="n"/>
    </row>
    <row r="342" hidden="1" outlineLevel="1">
      <c r="B342" s="2">
        <f>B341+1</f>
        <v/>
      </c>
      <c r="D342" s="279">
        <f>IF(B342&lt;$D$24,(+CALCULETTE!G739/CALCULETTE!$B$612),0)</f>
        <v/>
      </c>
      <c r="E342" s="279">
        <f>IF(E$1=0,"",IF($B342&lt;E$23,E341+PPMT(E$26/12,$B342,E$23,E$235,-E$27,0),IF($B342=E$23,E341+PPMT(E$26/12,$B342,E$23,E$235,-E$27,0)-E$27,0)))</f>
        <v/>
      </c>
      <c r="F342" s="279">
        <f>IF(F$1=0,"",IF($B342&lt;F$23,F341+PPMT(F$26/12,$B342,F$23,F$235,-F$27,0),IF($B342=F$23,F341+PPMT(F$26/12,$B342,F$23,F$235,-F$27,0)-F$27,0)))</f>
        <v/>
      </c>
      <c r="G342" s="279">
        <f>IF(G$1=0,"",IF($B342&lt;G$23,G341+PPMT(G$26/12,$B342,G$23,G$235,-G$27,0),IF($B342=G$23,G341+PPMT(G$26/12,$B342,G$23,G$235,-G$27,0)-G$27,0)))</f>
        <v/>
      </c>
      <c r="H342" s="279">
        <f>IF(H$1=0,"",IF($B342&lt;H$23,H341+PPMT(H$26/12,$B342,H$23,H$235,-H$27,0),IF($B342=H$23,H341+PPMT(H$26/12,$B342,H$23,H$235,-H$27,0)-H$27,0)))</f>
        <v/>
      </c>
      <c r="I342" s="279">
        <f>IF(I$1=0,"",IF($B342&lt;I$23,I341+PPMT(I$26/12,$B342,I$23,I$235,-I$27,0),IF($B342=I$23,I341+PPMT(I$26/12,$B342,I$23,I$235,-I$27,0)-I$27,0)))</f>
        <v/>
      </c>
      <c r="J342" s="279">
        <f>IF(J$1=0,"",IF($B342&lt;J$23,J341+PPMT(J$26/12,$B342,J$23,J$235,-J$27,0),IF($B342=J$23,J341+PPMT(J$26/12,$B342,J$23,J$235,-J$27,0)-J$27,0)))</f>
        <v/>
      </c>
      <c r="K342" s="279">
        <f>IF(K$1=0,"",IF($B342&lt;K$23,K341+PPMT(K$26/12,$B342,K$23,K$235,-K$27,0),IF($B342=K$23,K341+PPMT(K$26/12,$B342,K$23,K$235,-K$27,0)-K$27,0)))</f>
        <v/>
      </c>
      <c r="L342" s="279">
        <f>IF(L$1=0,"",IF($B342&lt;L$23,L341+PPMT(L$26/12,$B342,L$23,L$235,-L$27,0),IF($B342=L$23,L341+PPMT(L$26/12,$B342,L$23,L$235,-L$27,0)-L$27,0)))</f>
        <v/>
      </c>
      <c r="M342" s="279">
        <f>IF(M$1=0,"",IF($B342&lt;M$23,M341+PPMT(M$26/12,$B342,M$23,M$235,-M$27,0),IF($B342=M$23,M341+PPMT(M$26/12,$B342,M$23,M$235,-M$27,0)-M$27,0)))</f>
        <v/>
      </c>
      <c r="N342" s="280" t="n"/>
      <c r="O342" s="281" t="n"/>
    </row>
    <row r="343" hidden="1" outlineLevel="1">
      <c r="B343" s="2">
        <f>B342+1</f>
        <v/>
      </c>
      <c r="D343" s="279">
        <f>IF(B343&lt;$D$24,(+CALCULETTE!G740/CALCULETTE!$B$612),0)</f>
        <v/>
      </c>
      <c r="E343" s="279">
        <f>IF(E$1=0,"",IF($B343&lt;E$23,E342+PPMT(E$26/12,$B343,E$23,E$235,-E$27,0),IF($B343=E$23,E342+PPMT(E$26/12,$B343,E$23,E$235,-E$27,0)-E$27,0)))</f>
        <v/>
      </c>
      <c r="F343" s="279">
        <f>IF(F$1=0,"",IF($B343&lt;F$23,F342+PPMT(F$26/12,$B343,F$23,F$235,-F$27,0),IF($B343=F$23,F342+PPMT(F$26/12,$B343,F$23,F$235,-F$27,0)-F$27,0)))</f>
        <v/>
      </c>
      <c r="G343" s="279">
        <f>IF(G$1=0,"",IF($B343&lt;G$23,G342+PPMT(G$26/12,$B343,G$23,G$235,-G$27,0),IF($B343=G$23,G342+PPMT(G$26/12,$B343,G$23,G$235,-G$27,0)-G$27,0)))</f>
        <v/>
      </c>
      <c r="H343" s="279">
        <f>IF(H$1=0,"",IF($B343&lt;H$23,H342+PPMT(H$26/12,$B343,H$23,H$235,-H$27,0),IF($B343=H$23,H342+PPMT(H$26/12,$B343,H$23,H$235,-H$27,0)-H$27,0)))</f>
        <v/>
      </c>
      <c r="I343" s="279">
        <f>IF(I$1=0,"",IF($B343&lt;I$23,I342+PPMT(I$26/12,$B343,I$23,I$235,-I$27,0),IF($B343=I$23,I342+PPMT(I$26/12,$B343,I$23,I$235,-I$27,0)-I$27,0)))</f>
        <v/>
      </c>
      <c r="J343" s="279">
        <f>IF(J$1=0,"",IF($B343&lt;J$23,J342+PPMT(J$26/12,$B343,J$23,J$235,-J$27,0),IF($B343=J$23,J342+PPMT(J$26/12,$B343,J$23,J$235,-J$27,0)-J$27,0)))</f>
        <v/>
      </c>
      <c r="K343" s="279">
        <f>IF(K$1=0,"",IF($B343&lt;K$23,K342+PPMT(K$26/12,$B343,K$23,K$235,-K$27,0),IF($B343=K$23,K342+PPMT(K$26/12,$B343,K$23,K$235,-K$27,0)-K$27,0)))</f>
        <v/>
      </c>
      <c r="L343" s="279">
        <f>IF(L$1=0,"",IF($B343&lt;L$23,L342+PPMT(L$26/12,$B343,L$23,L$235,-L$27,0),IF($B343=L$23,L342+PPMT(L$26/12,$B343,L$23,L$235,-L$27,0)-L$27,0)))</f>
        <v/>
      </c>
      <c r="M343" s="279">
        <f>IF(M$1=0,"",IF($B343&lt;M$23,M342+PPMT(M$26/12,$B343,M$23,M$235,-M$27,0),IF($B343=M$23,M342+PPMT(M$26/12,$B343,M$23,M$235,-M$27,0)-M$27,0)))</f>
        <v/>
      </c>
      <c r="N343" s="280" t="n"/>
      <c r="O343" s="281" t="n"/>
    </row>
    <row r="344" hidden="1" outlineLevel="1">
      <c r="B344" s="2">
        <f>B343+1</f>
        <v/>
      </c>
      <c r="D344" s="279">
        <f>IF(B344&lt;$D$24,(+CALCULETTE!G741/CALCULETTE!$B$612),0)</f>
        <v/>
      </c>
      <c r="E344" s="279">
        <f>IF(E$1=0,"",IF($B344&lt;E$23,E343+PPMT(E$26/12,$B344,E$23,E$235,-E$27,0),IF($B344=E$23,E343+PPMT(E$26/12,$B344,E$23,E$235,-E$27,0)-E$27,0)))</f>
        <v/>
      </c>
      <c r="F344" s="279">
        <f>IF(F$1=0,"",IF($B344&lt;F$23,F343+PPMT(F$26/12,$B344,F$23,F$235,-F$27,0),IF($B344=F$23,F343+PPMT(F$26/12,$B344,F$23,F$235,-F$27,0)-F$27,0)))</f>
        <v/>
      </c>
      <c r="G344" s="279">
        <f>IF(G$1=0,"",IF($B344&lt;G$23,G343+PPMT(G$26/12,$B344,G$23,G$235,-G$27,0),IF($B344=G$23,G343+PPMT(G$26/12,$B344,G$23,G$235,-G$27,0)-G$27,0)))</f>
        <v/>
      </c>
      <c r="H344" s="279">
        <f>IF(H$1=0,"",IF($B344&lt;H$23,H343+PPMT(H$26/12,$B344,H$23,H$235,-H$27,0),IF($B344=H$23,H343+PPMT(H$26/12,$B344,H$23,H$235,-H$27,0)-H$27,0)))</f>
        <v/>
      </c>
      <c r="I344" s="279">
        <f>IF(I$1=0,"",IF($B344&lt;I$23,I343+PPMT(I$26/12,$B344,I$23,I$235,-I$27,0),IF($B344=I$23,I343+PPMT(I$26/12,$B344,I$23,I$235,-I$27,0)-I$27,0)))</f>
        <v/>
      </c>
      <c r="J344" s="279">
        <f>IF(J$1=0,"",IF($B344&lt;J$23,J343+PPMT(J$26/12,$B344,J$23,J$235,-J$27,0),IF($B344=J$23,J343+PPMT(J$26/12,$B344,J$23,J$235,-J$27,0)-J$27,0)))</f>
        <v/>
      </c>
      <c r="K344" s="279">
        <f>IF(K$1=0,"",IF($B344&lt;K$23,K343+PPMT(K$26/12,$B344,K$23,K$235,-K$27,0),IF($B344=K$23,K343+PPMT(K$26/12,$B344,K$23,K$235,-K$27,0)-K$27,0)))</f>
        <v/>
      </c>
      <c r="L344" s="279">
        <f>IF(L$1=0,"",IF($B344&lt;L$23,L343+PPMT(L$26/12,$B344,L$23,L$235,-L$27,0),IF($B344=L$23,L343+PPMT(L$26/12,$B344,L$23,L$235,-L$27,0)-L$27,0)))</f>
        <v/>
      </c>
      <c r="M344" s="279">
        <f>IF(M$1=0,"",IF($B344&lt;M$23,M343+PPMT(M$26/12,$B344,M$23,M$235,-M$27,0),IF($B344=M$23,M343+PPMT(M$26/12,$B344,M$23,M$235,-M$27,0)-M$27,0)))</f>
        <v/>
      </c>
      <c r="N344" s="280" t="n"/>
      <c r="O344" s="281" t="n"/>
    </row>
    <row r="345" hidden="1" outlineLevel="1">
      <c r="B345" s="2">
        <f>B344+1</f>
        <v/>
      </c>
      <c r="D345" s="279">
        <f>IF(B345&lt;$D$24,(+CALCULETTE!G742/CALCULETTE!$B$612),0)</f>
        <v/>
      </c>
      <c r="E345" s="279">
        <f>IF(E$1=0,"",IF($B345&lt;E$23,E344+PPMT(E$26/12,$B345,E$23,E$235,-E$27,0),IF($B345=E$23,E344+PPMT(E$26/12,$B345,E$23,E$235,-E$27,0)-E$27,0)))</f>
        <v/>
      </c>
      <c r="F345" s="279">
        <f>IF(F$1=0,"",IF($B345&lt;F$23,F344+PPMT(F$26/12,$B345,F$23,F$235,-F$27,0),IF($B345=F$23,F344+PPMT(F$26/12,$B345,F$23,F$235,-F$27,0)-F$27,0)))</f>
        <v/>
      </c>
      <c r="G345" s="279">
        <f>IF(G$1=0,"",IF($B345&lt;G$23,G344+PPMT(G$26/12,$B345,G$23,G$235,-G$27,0),IF($B345=G$23,G344+PPMT(G$26/12,$B345,G$23,G$235,-G$27,0)-G$27,0)))</f>
        <v/>
      </c>
      <c r="H345" s="279">
        <f>IF(H$1=0,"",IF($B345&lt;H$23,H344+PPMT(H$26/12,$B345,H$23,H$235,-H$27,0),IF($B345=H$23,H344+PPMT(H$26/12,$B345,H$23,H$235,-H$27,0)-H$27,0)))</f>
        <v/>
      </c>
      <c r="I345" s="279">
        <f>IF(I$1=0,"",IF($B345&lt;I$23,I344+PPMT(I$26/12,$B345,I$23,I$235,-I$27,0),IF($B345=I$23,I344+PPMT(I$26/12,$B345,I$23,I$235,-I$27,0)-I$27,0)))</f>
        <v/>
      </c>
      <c r="J345" s="279">
        <f>IF(J$1=0,"",IF($B345&lt;J$23,J344+PPMT(J$26/12,$B345,J$23,J$235,-J$27,0),IF($B345=J$23,J344+PPMT(J$26/12,$B345,J$23,J$235,-J$27,0)-J$27,0)))</f>
        <v/>
      </c>
      <c r="K345" s="279">
        <f>IF(K$1=0,"",IF($B345&lt;K$23,K344+PPMT(K$26/12,$B345,K$23,K$235,-K$27,0),IF($B345=K$23,K344+PPMT(K$26/12,$B345,K$23,K$235,-K$27,0)-K$27,0)))</f>
        <v/>
      </c>
      <c r="L345" s="279">
        <f>IF(L$1=0,"",IF($B345&lt;L$23,L344+PPMT(L$26/12,$B345,L$23,L$235,-L$27,0),IF($B345=L$23,L344+PPMT(L$26/12,$B345,L$23,L$235,-L$27,0)-L$27,0)))</f>
        <v/>
      </c>
      <c r="M345" s="279">
        <f>IF(M$1=0,"",IF($B345&lt;M$23,M344+PPMT(M$26/12,$B345,M$23,M$235,-M$27,0),IF($B345=M$23,M344+PPMT(M$26/12,$B345,M$23,M$235,-M$27,0)-M$27,0)))</f>
        <v/>
      </c>
      <c r="N345" s="280" t="n"/>
      <c r="O345" s="281" t="n"/>
    </row>
    <row r="346" hidden="1" outlineLevel="1">
      <c r="B346" s="2">
        <f>B345+1</f>
        <v/>
      </c>
      <c r="D346" s="279">
        <f>IF(B346&lt;$D$24,(+CALCULETTE!G743/CALCULETTE!$B$612),0)</f>
        <v/>
      </c>
      <c r="E346" s="279">
        <f>IF(E$1=0,"",IF($B346&lt;E$23,E345+PPMT(E$26/12,$B346,E$23,E$235,-E$27,0),IF($B346=E$23,E345+PPMT(E$26/12,$B346,E$23,E$235,-E$27,0)-E$27,0)))</f>
        <v/>
      </c>
      <c r="F346" s="279">
        <f>IF(F$1=0,"",IF($B346&lt;F$23,F345+PPMT(F$26/12,$B346,F$23,F$235,-F$27,0),IF($B346=F$23,F345+PPMT(F$26/12,$B346,F$23,F$235,-F$27,0)-F$27,0)))</f>
        <v/>
      </c>
      <c r="G346" s="279">
        <f>IF(G$1=0,"",IF($B346&lt;G$23,G345+PPMT(G$26/12,$B346,G$23,G$235,-G$27,0),IF($B346=G$23,G345+PPMT(G$26/12,$B346,G$23,G$235,-G$27,0)-G$27,0)))</f>
        <v/>
      </c>
      <c r="H346" s="279">
        <f>IF(H$1=0,"",IF($B346&lt;H$23,H345+PPMT(H$26/12,$B346,H$23,H$235,-H$27,0),IF($B346=H$23,H345+PPMT(H$26/12,$B346,H$23,H$235,-H$27,0)-H$27,0)))</f>
        <v/>
      </c>
      <c r="I346" s="279">
        <f>IF(I$1=0,"",IF($B346&lt;I$23,I345+PPMT(I$26/12,$B346,I$23,I$235,-I$27,0),IF($B346=I$23,I345+PPMT(I$26/12,$B346,I$23,I$235,-I$27,0)-I$27,0)))</f>
        <v/>
      </c>
      <c r="J346" s="279">
        <f>IF(J$1=0,"",IF($B346&lt;J$23,J345+PPMT(J$26/12,$B346,J$23,J$235,-J$27,0),IF($B346=J$23,J345+PPMT(J$26/12,$B346,J$23,J$235,-J$27,0)-J$27,0)))</f>
        <v/>
      </c>
      <c r="K346" s="279">
        <f>IF(K$1=0,"",IF($B346&lt;K$23,K345+PPMT(K$26/12,$B346,K$23,K$235,-K$27,0),IF($B346=K$23,K345+PPMT(K$26/12,$B346,K$23,K$235,-K$27,0)-K$27,0)))</f>
        <v/>
      </c>
      <c r="L346" s="279">
        <f>IF(L$1=0,"",IF($B346&lt;L$23,L345+PPMT(L$26/12,$B346,L$23,L$235,-L$27,0),IF($B346=L$23,L345+PPMT(L$26/12,$B346,L$23,L$235,-L$27,0)-L$27,0)))</f>
        <v/>
      </c>
      <c r="M346" s="279">
        <f>IF(M$1=0,"",IF($B346&lt;M$23,M345+PPMT(M$26/12,$B346,M$23,M$235,-M$27,0),IF($B346=M$23,M345+PPMT(M$26/12,$B346,M$23,M$235,-M$27,0)-M$27,0)))</f>
        <v/>
      </c>
      <c r="N346" s="280" t="n"/>
      <c r="O346" s="281" t="n"/>
    </row>
    <row r="347" hidden="1" outlineLevel="1">
      <c r="B347" s="2">
        <f>B346+1</f>
        <v/>
      </c>
      <c r="D347" s="279">
        <f>IF(B347&lt;$D$24,(+CALCULETTE!G744/CALCULETTE!$B$612),0)</f>
        <v/>
      </c>
      <c r="E347" s="279">
        <f>IF(E$1=0,"",IF($B347&lt;E$23,E346+PPMT(E$26/12,$B347,E$23,E$235,-E$27,0),IF($B347=E$23,E346+PPMT(E$26/12,$B347,E$23,E$235,-E$27,0)-E$27,0)))</f>
        <v/>
      </c>
      <c r="F347" s="279">
        <f>IF(F$1=0,"",IF($B347&lt;F$23,F346+PPMT(F$26/12,$B347,F$23,F$235,-F$27,0),IF($B347=F$23,F346+PPMT(F$26/12,$B347,F$23,F$235,-F$27,0)-F$27,0)))</f>
        <v/>
      </c>
      <c r="G347" s="279">
        <f>IF(G$1=0,"",IF($B347&lt;G$23,G346+PPMT(G$26/12,$B347,G$23,G$235,-G$27,0),IF($B347=G$23,G346+PPMT(G$26/12,$B347,G$23,G$235,-G$27,0)-G$27,0)))</f>
        <v/>
      </c>
      <c r="H347" s="279">
        <f>IF(H$1=0,"",IF($B347&lt;H$23,H346+PPMT(H$26/12,$B347,H$23,H$235,-H$27,0),IF($B347=H$23,H346+PPMT(H$26/12,$B347,H$23,H$235,-H$27,0)-H$27,0)))</f>
        <v/>
      </c>
      <c r="I347" s="279">
        <f>IF(I$1=0,"",IF($B347&lt;I$23,I346+PPMT(I$26/12,$B347,I$23,I$235,-I$27,0),IF($B347=I$23,I346+PPMT(I$26/12,$B347,I$23,I$235,-I$27,0)-I$27,0)))</f>
        <v/>
      </c>
      <c r="J347" s="279">
        <f>IF(J$1=0,"",IF($B347&lt;J$23,J346+PPMT(J$26/12,$B347,J$23,J$235,-J$27,0),IF($B347=J$23,J346+PPMT(J$26/12,$B347,J$23,J$235,-J$27,0)-J$27,0)))</f>
        <v/>
      </c>
      <c r="K347" s="279">
        <f>IF(K$1=0,"",IF($B347&lt;K$23,K346+PPMT(K$26/12,$B347,K$23,K$235,-K$27,0),IF($B347=K$23,K346+PPMT(K$26/12,$B347,K$23,K$235,-K$27,0)-K$27,0)))</f>
        <v/>
      </c>
      <c r="L347" s="279">
        <f>IF(L$1=0,"",IF($B347&lt;L$23,L346+PPMT(L$26/12,$B347,L$23,L$235,-L$27,0),IF($B347=L$23,L346+PPMT(L$26/12,$B347,L$23,L$235,-L$27,0)-L$27,0)))</f>
        <v/>
      </c>
      <c r="M347" s="279">
        <f>IF(M$1=0,"",IF($B347&lt;M$23,M346+PPMT(M$26/12,$B347,M$23,M$235,-M$27,0),IF($B347=M$23,M346+PPMT(M$26/12,$B347,M$23,M$235,-M$27,0)-M$27,0)))</f>
        <v/>
      </c>
      <c r="N347" s="280" t="n"/>
      <c r="O347" s="281" t="n"/>
    </row>
    <row r="348" hidden="1" outlineLevel="1">
      <c r="B348" s="2">
        <f>B347+1</f>
        <v/>
      </c>
      <c r="D348" s="279">
        <f>IF(B348&lt;$D$24,(+CALCULETTE!G745/CALCULETTE!$B$612),0)</f>
        <v/>
      </c>
      <c r="E348" s="279">
        <f>IF(E$1=0,"",IF($B348&lt;E$23,E347+PPMT(E$26/12,$B348,E$23,E$235,-E$27,0),IF($B348=E$23,E347+PPMT(E$26/12,$B348,E$23,E$235,-E$27,0)-E$27,0)))</f>
        <v/>
      </c>
      <c r="F348" s="279">
        <f>IF(F$1=0,"",IF($B348&lt;F$23,F347+PPMT(F$26/12,$B348,F$23,F$235,-F$27,0),IF($B348=F$23,F347+PPMT(F$26/12,$B348,F$23,F$235,-F$27,0)-F$27,0)))</f>
        <v/>
      </c>
      <c r="G348" s="279">
        <f>IF(G$1=0,"",IF($B348&lt;G$23,G347+PPMT(G$26/12,$B348,G$23,G$235,-G$27,0),IF($B348=G$23,G347+PPMT(G$26/12,$B348,G$23,G$235,-G$27,0)-G$27,0)))</f>
        <v/>
      </c>
      <c r="H348" s="279">
        <f>IF(H$1=0,"",IF($B348&lt;H$23,H347+PPMT(H$26/12,$B348,H$23,H$235,-H$27,0),IF($B348=H$23,H347+PPMT(H$26/12,$B348,H$23,H$235,-H$27,0)-H$27,0)))</f>
        <v/>
      </c>
      <c r="I348" s="279">
        <f>IF(I$1=0,"",IF($B348&lt;I$23,I347+PPMT(I$26/12,$B348,I$23,I$235,-I$27,0),IF($B348=I$23,I347+PPMT(I$26/12,$B348,I$23,I$235,-I$27,0)-I$27,0)))</f>
        <v/>
      </c>
      <c r="J348" s="279">
        <f>IF(J$1=0,"",IF($B348&lt;J$23,J347+PPMT(J$26/12,$B348,J$23,J$235,-J$27,0),IF($B348=J$23,J347+PPMT(J$26/12,$B348,J$23,J$235,-J$27,0)-J$27,0)))</f>
        <v/>
      </c>
      <c r="K348" s="279">
        <f>IF(K$1=0,"",IF($B348&lt;K$23,K347+PPMT(K$26/12,$B348,K$23,K$235,-K$27,0),IF($B348=K$23,K347+PPMT(K$26/12,$B348,K$23,K$235,-K$27,0)-K$27,0)))</f>
        <v/>
      </c>
      <c r="L348" s="279">
        <f>IF(L$1=0,"",IF($B348&lt;L$23,L347+PPMT(L$26/12,$B348,L$23,L$235,-L$27,0),IF($B348=L$23,L347+PPMT(L$26/12,$B348,L$23,L$235,-L$27,0)-L$27,0)))</f>
        <v/>
      </c>
      <c r="M348" s="279">
        <f>IF(M$1=0,"",IF($B348&lt;M$23,M347+PPMT(M$26/12,$B348,M$23,M$235,-M$27,0),IF($B348=M$23,M347+PPMT(M$26/12,$B348,M$23,M$235,-M$27,0)-M$27,0)))</f>
        <v/>
      </c>
      <c r="N348" s="280" t="n"/>
      <c r="O348" s="281" t="n"/>
    </row>
    <row r="349" hidden="1" outlineLevel="1">
      <c r="B349" s="2">
        <f>B348+1</f>
        <v/>
      </c>
      <c r="D349" s="279">
        <f>IF(B349&lt;$D$24,(+CALCULETTE!G746/CALCULETTE!$B$612),0)</f>
        <v/>
      </c>
      <c r="E349" s="279">
        <f>IF(E$1=0,"",IF($B349&lt;E$23,E348+PPMT(E$26/12,$B349,E$23,E$235,-E$27,0),IF($B349=E$23,E348+PPMT(E$26/12,$B349,E$23,E$235,-E$27,0)-E$27,0)))</f>
        <v/>
      </c>
      <c r="F349" s="279">
        <f>IF(F$1=0,"",IF($B349&lt;F$23,F348+PPMT(F$26/12,$B349,F$23,F$235,-F$27,0),IF($B349=F$23,F348+PPMT(F$26/12,$B349,F$23,F$235,-F$27,0)-F$27,0)))</f>
        <v/>
      </c>
      <c r="G349" s="279">
        <f>IF(G$1=0,"",IF($B349&lt;G$23,G348+PPMT(G$26/12,$B349,G$23,G$235,-G$27,0),IF($B349=G$23,G348+PPMT(G$26/12,$B349,G$23,G$235,-G$27,0)-G$27,0)))</f>
        <v/>
      </c>
      <c r="H349" s="279">
        <f>IF(H$1=0,"",IF($B349&lt;H$23,H348+PPMT(H$26/12,$B349,H$23,H$235,-H$27,0),IF($B349=H$23,H348+PPMT(H$26/12,$B349,H$23,H$235,-H$27,0)-H$27,0)))</f>
        <v/>
      </c>
      <c r="I349" s="279">
        <f>IF(I$1=0,"",IF($B349&lt;I$23,I348+PPMT(I$26/12,$B349,I$23,I$235,-I$27,0),IF($B349=I$23,I348+PPMT(I$26/12,$B349,I$23,I$235,-I$27,0)-I$27,0)))</f>
        <v/>
      </c>
      <c r="J349" s="279">
        <f>IF(J$1=0,"",IF($B349&lt;J$23,J348+PPMT(J$26/12,$B349,J$23,J$235,-J$27,0),IF($B349=J$23,J348+PPMT(J$26/12,$B349,J$23,J$235,-J$27,0)-J$27,0)))</f>
        <v/>
      </c>
      <c r="K349" s="279">
        <f>IF(K$1=0,"",IF($B349&lt;K$23,K348+PPMT(K$26/12,$B349,K$23,K$235,-K$27,0),IF($B349=K$23,K348+PPMT(K$26/12,$B349,K$23,K$235,-K$27,0)-K$27,0)))</f>
        <v/>
      </c>
      <c r="L349" s="279">
        <f>IF(L$1=0,"",IF($B349&lt;L$23,L348+PPMT(L$26/12,$B349,L$23,L$235,-L$27,0),IF($B349=L$23,L348+PPMT(L$26/12,$B349,L$23,L$235,-L$27,0)-L$27,0)))</f>
        <v/>
      </c>
      <c r="M349" s="279">
        <f>IF(M$1=0,"",IF($B349&lt;M$23,M348+PPMT(M$26/12,$B349,M$23,M$235,-M$27,0),IF($B349=M$23,M348+PPMT(M$26/12,$B349,M$23,M$235,-M$27,0)-M$27,0)))</f>
        <v/>
      </c>
      <c r="N349" s="280" t="n"/>
      <c r="O349" s="281" t="n"/>
    </row>
    <row r="350" hidden="1" outlineLevel="1">
      <c r="B350" s="2">
        <f>B349+1</f>
        <v/>
      </c>
      <c r="D350" s="279">
        <f>IF(B350&lt;$D$24,(+CALCULETTE!G747/CALCULETTE!$B$612),0)</f>
        <v/>
      </c>
      <c r="E350" s="279">
        <f>IF(E$1=0,"",IF($B350&lt;E$23,E349+PPMT(E$26/12,$B350,E$23,E$235,-E$27,0),IF($B350=E$23,E349+PPMT(E$26/12,$B350,E$23,E$235,-E$27,0)-E$27,0)))</f>
        <v/>
      </c>
      <c r="F350" s="279">
        <f>IF(F$1=0,"",IF($B350&lt;F$23,F349+PPMT(F$26/12,$B350,F$23,F$235,-F$27,0),IF($B350=F$23,F349+PPMT(F$26/12,$B350,F$23,F$235,-F$27,0)-F$27,0)))</f>
        <v/>
      </c>
      <c r="G350" s="279">
        <f>IF(G$1=0,"",IF($B350&lt;G$23,G349+PPMT(G$26/12,$B350,G$23,G$235,-G$27,0),IF($B350=G$23,G349+PPMT(G$26/12,$B350,G$23,G$235,-G$27,0)-G$27,0)))</f>
        <v/>
      </c>
      <c r="H350" s="279">
        <f>IF(H$1=0,"",IF($B350&lt;H$23,H349+PPMT(H$26/12,$B350,H$23,H$235,-H$27,0),IF($B350=H$23,H349+PPMT(H$26/12,$B350,H$23,H$235,-H$27,0)-H$27,0)))</f>
        <v/>
      </c>
      <c r="I350" s="279">
        <f>IF(I$1=0,"",IF($B350&lt;I$23,I349+PPMT(I$26/12,$B350,I$23,I$235,-I$27,0),IF($B350=I$23,I349+PPMT(I$26/12,$B350,I$23,I$235,-I$27,0)-I$27,0)))</f>
        <v/>
      </c>
      <c r="J350" s="279">
        <f>IF(J$1=0,"",IF($B350&lt;J$23,J349+PPMT(J$26/12,$B350,J$23,J$235,-J$27,0),IF($B350=J$23,J349+PPMT(J$26/12,$B350,J$23,J$235,-J$27,0)-J$27,0)))</f>
        <v/>
      </c>
      <c r="K350" s="279">
        <f>IF(K$1=0,"",IF($B350&lt;K$23,K349+PPMT(K$26/12,$B350,K$23,K$235,-K$27,0),IF($B350=K$23,K349+PPMT(K$26/12,$B350,K$23,K$235,-K$27,0)-K$27,0)))</f>
        <v/>
      </c>
      <c r="L350" s="279">
        <f>IF(L$1=0,"",IF($B350&lt;L$23,L349+PPMT(L$26/12,$B350,L$23,L$235,-L$27,0),IF($B350=L$23,L349+PPMT(L$26/12,$B350,L$23,L$235,-L$27,0)-L$27,0)))</f>
        <v/>
      </c>
      <c r="M350" s="279">
        <f>IF(M$1=0,"",IF($B350&lt;M$23,M349+PPMT(M$26/12,$B350,M$23,M$235,-M$27,0),IF($B350=M$23,M349+PPMT(M$26/12,$B350,M$23,M$235,-M$27,0)-M$27,0)))</f>
        <v/>
      </c>
      <c r="N350" s="280" t="n"/>
      <c r="O350" s="281" t="n"/>
    </row>
    <row r="351" hidden="1" outlineLevel="1">
      <c r="B351" s="2">
        <f>B350+1</f>
        <v/>
      </c>
      <c r="D351" s="279">
        <f>IF(B351&lt;$D$24,(+CALCULETTE!G748/CALCULETTE!$B$612),0)</f>
        <v/>
      </c>
      <c r="E351" s="279">
        <f>IF(E$1=0,"",IF($B351&lt;E$23,E350+PPMT(E$26/12,$B351,E$23,E$235,-E$27,0),IF($B351=E$23,E350+PPMT(E$26/12,$B351,E$23,E$235,-E$27,0)-E$27,0)))</f>
        <v/>
      </c>
      <c r="F351" s="279">
        <f>IF(F$1=0,"",IF($B351&lt;F$23,F350+PPMT(F$26/12,$B351,F$23,F$235,-F$27,0),IF($B351=F$23,F350+PPMT(F$26/12,$B351,F$23,F$235,-F$27,0)-F$27,0)))</f>
        <v/>
      </c>
      <c r="G351" s="279">
        <f>IF(G$1=0,"",IF($B351&lt;G$23,G350+PPMT(G$26/12,$B351,G$23,G$235,-G$27,0),IF($B351=G$23,G350+PPMT(G$26/12,$B351,G$23,G$235,-G$27,0)-G$27,0)))</f>
        <v/>
      </c>
      <c r="H351" s="279">
        <f>IF(H$1=0,"",IF($B351&lt;H$23,H350+PPMT(H$26/12,$B351,H$23,H$235,-H$27,0),IF($B351=H$23,H350+PPMT(H$26/12,$B351,H$23,H$235,-H$27,0)-H$27,0)))</f>
        <v/>
      </c>
      <c r="I351" s="279">
        <f>IF(I$1=0,"",IF($B351&lt;I$23,I350+PPMT(I$26/12,$B351,I$23,I$235,-I$27,0),IF($B351=I$23,I350+PPMT(I$26/12,$B351,I$23,I$235,-I$27,0)-I$27,0)))</f>
        <v/>
      </c>
      <c r="J351" s="279">
        <f>IF(J$1=0,"",IF($B351&lt;J$23,J350+PPMT(J$26/12,$B351,J$23,J$235,-J$27,0),IF($B351=J$23,J350+PPMT(J$26/12,$B351,J$23,J$235,-J$27,0)-J$27,0)))</f>
        <v/>
      </c>
      <c r="K351" s="279">
        <f>IF(K$1=0,"",IF($B351&lt;K$23,K350+PPMT(K$26/12,$B351,K$23,K$235,-K$27,0),IF($B351=K$23,K350+PPMT(K$26/12,$B351,K$23,K$235,-K$27,0)-K$27,0)))</f>
        <v/>
      </c>
      <c r="L351" s="279">
        <f>IF(L$1=0,"",IF($B351&lt;L$23,L350+PPMT(L$26/12,$B351,L$23,L$235,-L$27,0),IF($B351=L$23,L350+PPMT(L$26/12,$B351,L$23,L$235,-L$27,0)-L$27,0)))</f>
        <v/>
      </c>
      <c r="M351" s="279">
        <f>IF(M$1=0,"",IF($B351&lt;M$23,M350+PPMT(M$26/12,$B351,M$23,M$235,-M$27,0),IF($B351=M$23,M350+PPMT(M$26/12,$B351,M$23,M$235,-M$27,0)-M$27,0)))</f>
        <v/>
      </c>
      <c r="N351" s="280" t="n"/>
      <c r="O351" s="281" t="n"/>
    </row>
    <row r="352" hidden="1" outlineLevel="1">
      <c r="B352" s="2">
        <f>B351+1</f>
        <v/>
      </c>
      <c r="D352" s="279">
        <f>IF(B352&lt;$D$24,(+CALCULETTE!G749/CALCULETTE!$B$612),0)</f>
        <v/>
      </c>
      <c r="E352" s="279">
        <f>IF(E$1=0,"",IF($B352&lt;E$23,E351+PPMT(E$26/12,$B352,E$23,E$235,-E$27,0),IF($B352=E$23,E351+PPMT(E$26/12,$B352,E$23,E$235,-E$27,0)-E$27,0)))</f>
        <v/>
      </c>
      <c r="F352" s="279">
        <f>IF(F$1=0,"",IF($B352&lt;F$23,F351+PPMT(F$26/12,$B352,F$23,F$235,-F$27,0),IF($B352=F$23,F351+PPMT(F$26/12,$B352,F$23,F$235,-F$27,0)-F$27,0)))</f>
        <v/>
      </c>
      <c r="G352" s="279">
        <f>IF(G$1=0,"",IF($B352&lt;G$23,G351+PPMT(G$26/12,$B352,G$23,G$235,-G$27,0),IF($B352=G$23,G351+PPMT(G$26/12,$B352,G$23,G$235,-G$27,0)-G$27,0)))</f>
        <v/>
      </c>
      <c r="H352" s="279">
        <f>IF(H$1=0,"",IF($B352&lt;H$23,H351+PPMT(H$26/12,$B352,H$23,H$235,-H$27,0),IF($B352=H$23,H351+PPMT(H$26/12,$B352,H$23,H$235,-H$27,0)-H$27,0)))</f>
        <v/>
      </c>
      <c r="I352" s="279">
        <f>IF(I$1=0,"",IF($B352&lt;I$23,I351+PPMT(I$26/12,$B352,I$23,I$235,-I$27,0),IF($B352=I$23,I351+PPMT(I$26/12,$B352,I$23,I$235,-I$27,0)-I$27,0)))</f>
        <v/>
      </c>
      <c r="J352" s="279">
        <f>IF(J$1=0,"",IF($B352&lt;J$23,J351+PPMT(J$26/12,$B352,J$23,J$235,-J$27,0),IF($B352=J$23,J351+PPMT(J$26/12,$B352,J$23,J$235,-J$27,0)-J$27,0)))</f>
        <v/>
      </c>
      <c r="K352" s="279">
        <f>IF(K$1=0,"",IF($B352&lt;K$23,K351+PPMT(K$26/12,$B352,K$23,K$235,-K$27,0),IF($B352=K$23,K351+PPMT(K$26/12,$B352,K$23,K$235,-K$27,0)-K$27,0)))</f>
        <v/>
      </c>
      <c r="L352" s="279">
        <f>IF(L$1=0,"",IF($B352&lt;L$23,L351+PPMT(L$26/12,$B352,L$23,L$235,-L$27,0),IF($B352=L$23,L351+PPMT(L$26/12,$B352,L$23,L$235,-L$27,0)-L$27,0)))</f>
        <v/>
      </c>
      <c r="M352" s="279">
        <f>IF(M$1=0,"",IF($B352&lt;M$23,M351+PPMT(M$26/12,$B352,M$23,M$235,-M$27,0),IF($B352=M$23,M351+PPMT(M$26/12,$B352,M$23,M$235,-M$27,0)-M$27,0)))</f>
        <v/>
      </c>
      <c r="N352" s="280" t="n"/>
      <c r="O352" s="281" t="n"/>
    </row>
    <row r="353" hidden="1" outlineLevel="1">
      <c r="B353" s="2">
        <f>B352+1</f>
        <v/>
      </c>
      <c r="D353" s="279">
        <f>IF(B353&lt;$D$24,(+CALCULETTE!G750/CALCULETTE!$B$612),0)</f>
        <v/>
      </c>
      <c r="E353" s="279">
        <f>IF(E$1=0,"",IF($B353&lt;E$23,E352+PPMT(E$26/12,$B353,E$23,E$235,-E$27,0),IF($B353=E$23,E352+PPMT(E$26/12,$B353,E$23,E$235,-E$27,0)-E$27,0)))</f>
        <v/>
      </c>
      <c r="F353" s="279">
        <f>IF(F$1=0,"",IF($B353&lt;F$23,F352+PPMT(F$26/12,$B353,F$23,F$235,-F$27,0),IF($B353=F$23,F352+PPMT(F$26/12,$B353,F$23,F$235,-F$27,0)-F$27,0)))</f>
        <v/>
      </c>
      <c r="G353" s="279">
        <f>IF(G$1=0,"",IF($B353&lt;G$23,G352+PPMT(G$26/12,$B353,G$23,G$235,-G$27,0),IF($B353=G$23,G352+PPMT(G$26/12,$B353,G$23,G$235,-G$27,0)-G$27,0)))</f>
        <v/>
      </c>
      <c r="H353" s="279">
        <f>IF(H$1=0,"",IF($B353&lt;H$23,H352+PPMT(H$26/12,$B353,H$23,H$235,-H$27,0),IF($B353=H$23,H352+PPMT(H$26/12,$B353,H$23,H$235,-H$27,0)-H$27,0)))</f>
        <v/>
      </c>
      <c r="I353" s="279">
        <f>IF(I$1=0,"",IF($B353&lt;I$23,I352+PPMT(I$26/12,$B353,I$23,I$235,-I$27,0),IF($B353=I$23,I352+PPMT(I$26/12,$B353,I$23,I$235,-I$27,0)-I$27,0)))</f>
        <v/>
      </c>
      <c r="J353" s="279">
        <f>IF(J$1=0,"",IF($B353&lt;J$23,J352+PPMT(J$26/12,$B353,J$23,J$235,-J$27,0),IF($B353=J$23,J352+PPMT(J$26/12,$B353,J$23,J$235,-J$27,0)-J$27,0)))</f>
        <v/>
      </c>
      <c r="K353" s="279">
        <f>IF(K$1=0,"",IF($B353&lt;K$23,K352+PPMT(K$26/12,$B353,K$23,K$235,-K$27,0),IF($B353=K$23,K352+PPMT(K$26/12,$B353,K$23,K$235,-K$27,0)-K$27,0)))</f>
        <v/>
      </c>
      <c r="L353" s="279">
        <f>IF(L$1=0,"",IF($B353&lt;L$23,L352+PPMT(L$26/12,$B353,L$23,L$235,-L$27,0),IF($B353=L$23,L352+PPMT(L$26/12,$B353,L$23,L$235,-L$27,0)-L$27,0)))</f>
        <v/>
      </c>
      <c r="M353" s="279">
        <f>IF(M$1=0,"",IF($B353&lt;M$23,M352+PPMT(M$26/12,$B353,M$23,M$235,-M$27,0),IF($B353=M$23,M352+PPMT(M$26/12,$B353,M$23,M$235,-M$27,0)-M$27,0)))</f>
        <v/>
      </c>
      <c r="N353" s="280" t="n"/>
      <c r="O353" s="281" t="n"/>
    </row>
    <row r="354" hidden="1" outlineLevel="1">
      <c r="B354" s="2">
        <f>B353+1</f>
        <v/>
      </c>
      <c r="D354" s="279">
        <f>IF(B354&lt;$D$24,(+CALCULETTE!G751/CALCULETTE!$B$612),0)</f>
        <v/>
      </c>
      <c r="E354" s="279">
        <f>IF(E$1=0,"",IF($B354&lt;E$23,E353+PPMT(E$26/12,$B354,E$23,E$235,-E$27,0),IF($B354=E$23,E353+PPMT(E$26/12,$B354,E$23,E$235,-E$27,0)-E$27,0)))</f>
        <v/>
      </c>
      <c r="F354" s="279">
        <f>IF(F$1=0,"",IF($B354&lt;F$23,F353+PPMT(F$26/12,$B354,F$23,F$235,-F$27,0),IF($B354=F$23,F353+PPMT(F$26/12,$B354,F$23,F$235,-F$27,0)-F$27,0)))</f>
        <v/>
      </c>
      <c r="G354" s="279">
        <f>IF(G$1=0,"",IF($B354&lt;G$23,G353+PPMT(G$26/12,$B354,G$23,G$235,-G$27,0),IF($B354=G$23,G353+PPMT(G$26/12,$B354,G$23,G$235,-G$27,0)-G$27,0)))</f>
        <v/>
      </c>
      <c r="H354" s="279">
        <f>IF(H$1=0,"",IF($B354&lt;H$23,H353+PPMT(H$26/12,$B354,H$23,H$235,-H$27,0),IF($B354=H$23,H353+PPMT(H$26/12,$B354,H$23,H$235,-H$27,0)-H$27,0)))</f>
        <v/>
      </c>
      <c r="I354" s="279">
        <f>IF(I$1=0,"",IF($B354&lt;I$23,I353+PPMT(I$26/12,$B354,I$23,I$235,-I$27,0),IF($B354=I$23,I353+PPMT(I$26/12,$B354,I$23,I$235,-I$27,0)-I$27,0)))</f>
        <v/>
      </c>
      <c r="J354" s="279">
        <f>IF(J$1=0,"",IF($B354&lt;J$23,J353+PPMT(J$26/12,$B354,J$23,J$235,-J$27,0),IF($B354=J$23,J353+PPMT(J$26/12,$B354,J$23,J$235,-J$27,0)-J$27,0)))</f>
        <v/>
      </c>
      <c r="K354" s="279">
        <f>IF(K$1=0,"",IF($B354&lt;K$23,K353+PPMT(K$26/12,$B354,K$23,K$235,-K$27,0),IF($B354=K$23,K353+PPMT(K$26/12,$B354,K$23,K$235,-K$27,0)-K$27,0)))</f>
        <v/>
      </c>
      <c r="L354" s="279">
        <f>IF(L$1=0,"",IF($B354&lt;L$23,L353+PPMT(L$26/12,$B354,L$23,L$235,-L$27,0),IF($B354=L$23,L353+PPMT(L$26/12,$B354,L$23,L$235,-L$27,0)-L$27,0)))</f>
        <v/>
      </c>
      <c r="M354" s="279">
        <f>IF(M$1=0,"",IF($B354&lt;M$23,M353+PPMT(M$26/12,$B354,M$23,M$235,-M$27,0),IF($B354=M$23,M353+PPMT(M$26/12,$B354,M$23,M$235,-M$27,0)-M$27,0)))</f>
        <v/>
      </c>
      <c r="N354" s="280" t="n"/>
      <c r="O354" s="281" t="n"/>
    </row>
    <row r="355" hidden="1" outlineLevel="1">
      <c r="B355" s="2">
        <f>B354+1</f>
        <v/>
      </c>
      <c r="D355" s="279">
        <f>IF(B355&lt;$D$24,(+CALCULETTE!G752/CALCULETTE!$B$612),0)</f>
        <v/>
      </c>
      <c r="E355" s="279">
        <f>IF(E$1=0,"",IF($B355&lt;E$23,E354+PPMT(E$26/12,$B355,E$23,E$235,-E$27,0),IF($B355=E$23,E354+PPMT(E$26/12,$B355,E$23,E$235,-E$27,0)-E$27,0)))</f>
        <v/>
      </c>
      <c r="F355" s="279">
        <f>IF(F$1=0,"",IF($B355&lt;F$23,F354+PPMT(F$26/12,$B355,F$23,F$235,-F$27,0),IF($B355=F$23,F354+PPMT(F$26/12,$B355,F$23,F$235,-F$27,0)-F$27,0)))</f>
        <v/>
      </c>
      <c r="G355" s="279">
        <f>IF(G$1=0,"",IF($B355&lt;G$23,G354+PPMT(G$26/12,$B355,G$23,G$235,-G$27,0),IF($B355=G$23,G354+PPMT(G$26/12,$B355,G$23,G$235,-G$27,0)-G$27,0)))</f>
        <v/>
      </c>
      <c r="H355" s="279">
        <f>IF(H$1=0,"",IF($B355&lt;H$23,H354+PPMT(H$26/12,$B355,H$23,H$235,-H$27,0),IF($B355=H$23,H354+PPMT(H$26/12,$B355,H$23,H$235,-H$27,0)-H$27,0)))</f>
        <v/>
      </c>
      <c r="I355" s="279">
        <f>IF(I$1=0,"",IF($B355&lt;I$23,I354+PPMT(I$26/12,$B355,I$23,I$235,-I$27,0),IF($B355=I$23,I354+PPMT(I$26/12,$B355,I$23,I$235,-I$27,0)-I$27,0)))</f>
        <v/>
      </c>
      <c r="J355" s="279">
        <f>IF(J$1=0,"",IF($B355&lt;J$23,J354+PPMT(J$26/12,$B355,J$23,J$235,-J$27,0),IF($B355=J$23,J354+PPMT(J$26/12,$B355,J$23,J$235,-J$27,0)-J$27,0)))</f>
        <v/>
      </c>
      <c r="K355" s="279">
        <f>IF(K$1=0,"",IF($B355&lt;K$23,K354+PPMT(K$26/12,$B355,K$23,K$235,-K$27,0),IF($B355=K$23,K354+PPMT(K$26/12,$B355,K$23,K$235,-K$27,0)-K$27,0)))</f>
        <v/>
      </c>
      <c r="L355" s="279">
        <f>IF(L$1=0,"",IF($B355&lt;L$23,L354+PPMT(L$26/12,$B355,L$23,L$235,-L$27,0),IF($B355=L$23,L354+PPMT(L$26/12,$B355,L$23,L$235,-L$27,0)-L$27,0)))</f>
        <v/>
      </c>
      <c r="M355" s="279">
        <f>IF(M$1=0,"",IF($B355&lt;M$23,M354+PPMT(M$26/12,$B355,M$23,M$235,-M$27,0),IF($B355=M$23,M354+PPMT(M$26/12,$B355,M$23,M$235,-M$27,0)-M$27,0)))</f>
        <v/>
      </c>
      <c r="N355" s="280" t="n"/>
      <c r="O355" s="281" t="n"/>
    </row>
    <row r="356" hidden="1" outlineLevel="1">
      <c r="B356" s="2">
        <f>B355+1</f>
        <v/>
      </c>
      <c r="D356" s="279">
        <f>IF(B356&lt;$D$24,(+CALCULETTE!G753/CALCULETTE!$B$612),0)</f>
        <v/>
      </c>
      <c r="E356" s="279">
        <f>IF(E$1=0,"",IF($B356&lt;E$23,E355+PPMT(E$26/12,$B356,E$23,E$235,-E$27,0),IF($B356=E$23,E355+PPMT(E$26/12,$B356,E$23,E$235,-E$27,0)-E$27,0)))</f>
        <v/>
      </c>
      <c r="F356" s="279">
        <f>IF(F$1=0,"",IF($B356&lt;F$23,F355+PPMT(F$26/12,$B356,F$23,F$235,-F$27,0),IF($B356=F$23,F355+PPMT(F$26/12,$B356,F$23,F$235,-F$27,0)-F$27,0)))</f>
        <v/>
      </c>
      <c r="G356" s="279">
        <f>IF(G$1=0,"",IF($B356&lt;G$23,G355+PPMT(G$26/12,$B356,G$23,G$235,-G$27,0),IF($B356=G$23,G355+PPMT(G$26/12,$B356,G$23,G$235,-G$27,0)-G$27,0)))</f>
        <v/>
      </c>
      <c r="H356" s="279">
        <f>IF(H$1=0,"",IF($B356&lt;H$23,H355+PPMT(H$26/12,$B356,H$23,H$235,-H$27,0),IF($B356=H$23,H355+PPMT(H$26/12,$B356,H$23,H$235,-H$27,0)-H$27,0)))</f>
        <v/>
      </c>
      <c r="I356" s="279">
        <f>IF(I$1=0,"",IF($B356&lt;I$23,I355+PPMT(I$26/12,$B356,I$23,I$235,-I$27,0),IF($B356=I$23,I355+PPMT(I$26/12,$B356,I$23,I$235,-I$27,0)-I$27,0)))</f>
        <v/>
      </c>
      <c r="J356" s="279">
        <f>IF(J$1=0,"",IF($B356&lt;J$23,J355+PPMT(J$26/12,$B356,J$23,J$235,-J$27,0),IF($B356=J$23,J355+PPMT(J$26/12,$B356,J$23,J$235,-J$27,0)-J$27,0)))</f>
        <v/>
      </c>
      <c r="K356" s="279">
        <f>IF(K$1=0,"",IF($B356&lt;K$23,K355+PPMT(K$26/12,$B356,K$23,K$235,-K$27,0),IF($B356=K$23,K355+PPMT(K$26/12,$B356,K$23,K$235,-K$27,0)-K$27,0)))</f>
        <v/>
      </c>
      <c r="L356" s="279">
        <f>IF(L$1=0,"",IF($B356&lt;L$23,L355+PPMT(L$26/12,$B356,L$23,L$235,-L$27,0),IF($B356=L$23,L355+PPMT(L$26/12,$B356,L$23,L$235,-L$27,0)-L$27,0)))</f>
        <v/>
      </c>
      <c r="M356" s="279">
        <f>IF(M$1=0,"",IF($B356&lt;M$23,M355+PPMT(M$26/12,$B356,M$23,M$235,-M$27,0),IF($B356=M$23,M355+PPMT(M$26/12,$B356,M$23,M$235,-M$27,0)-M$27,0)))</f>
        <v/>
      </c>
      <c r="N356" s="280" t="n"/>
      <c r="O356" s="281" t="n"/>
    </row>
    <row r="357" hidden="1" outlineLevel="1">
      <c r="B357" s="2">
        <f>B356+1</f>
        <v/>
      </c>
      <c r="D357" s="279">
        <f>IF(B357&lt;$D$24,(+CALCULETTE!G754/CALCULETTE!$B$612),0)</f>
        <v/>
      </c>
      <c r="E357" s="279">
        <f>IF(E$1=0,"",IF($B357&lt;E$23,E356+PPMT(E$26/12,$B357,E$23,E$235,-E$27,0),IF($B357=E$23,E356+PPMT(E$26/12,$B357,E$23,E$235,-E$27,0)-E$27,0)))</f>
        <v/>
      </c>
      <c r="F357" s="279">
        <f>IF(F$1=0,"",IF($B357&lt;F$23,F356+PPMT(F$26/12,$B357,F$23,F$235,-F$27,0),IF($B357=F$23,F356+PPMT(F$26/12,$B357,F$23,F$235,-F$27,0)-F$27,0)))</f>
        <v/>
      </c>
      <c r="G357" s="279">
        <f>IF(G$1=0,"",IF($B357&lt;G$23,G356+PPMT(G$26/12,$B357,G$23,G$235,-G$27,0),IF($B357=G$23,G356+PPMT(G$26/12,$B357,G$23,G$235,-G$27,0)-G$27,0)))</f>
        <v/>
      </c>
      <c r="H357" s="279">
        <f>IF(H$1=0,"",IF($B357&lt;H$23,H356+PPMT(H$26/12,$B357,H$23,H$235,-H$27,0),IF($B357=H$23,H356+PPMT(H$26/12,$B357,H$23,H$235,-H$27,0)-H$27,0)))</f>
        <v/>
      </c>
      <c r="I357" s="279">
        <f>IF(I$1=0,"",IF($B357&lt;I$23,I356+PPMT(I$26/12,$B357,I$23,I$235,-I$27,0),IF($B357=I$23,I356+PPMT(I$26/12,$B357,I$23,I$235,-I$27,0)-I$27,0)))</f>
        <v/>
      </c>
      <c r="J357" s="279">
        <f>IF(J$1=0,"",IF($B357&lt;J$23,J356+PPMT(J$26/12,$B357,J$23,J$235,-J$27,0),IF($B357=J$23,J356+PPMT(J$26/12,$B357,J$23,J$235,-J$27,0)-J$27,0)))</f>
        <v/>
      </c>
      <c r="K357" s="279">
        <f>IF(K$1=0,"",IF($B357&lt;K$23,K356+PPMT(K$26/12,$B357,K$23,K$235,-K$27,0),IF($B357=K$23,K356+PPMT(K$26/12,$B357,K$23,K$235,-K$27,0)-K$27,0)))</f>
        <v/>
      </c>
      <c r="L357" s="279">
        <f>IF(L$1=0,"",IF($B357&lt;L$23,L356+PPMT(L$26/12,$B357,L$23,L$235,-L$27,0),IF($B357=L$23,L356+PPMT(L$26/12,$B357,L$23,L$235,-L$27,0)-L$27,0)))</f>
        <v/>
      </c>
      <c r="M357" s="279">
        <f>IF(M$1=0,"",IF($B357&lt;M$23,M356+PPMT(M$26/12,$B357,M$23,M$235,-M$27,0),IF($B357=M$23,M356+PPMT(M$26/12,$B357,M$23,M$235,-M$27,0)-M$27,0)))</f>
        <v/>
      </c>
      <c r="N357" s="280" t="n"/>
      <c r="O357" s="281" t="n"/>
    </row>
    <row r="358" hidden="1" outlineLevel="1">
      <c r="B358" s="2">
        <f>B357+1</f>
        <v/>
      </c>
      <c r="D358" s="279">
        <f>IF(B358&lt;$D$24,(+CALCULETTE!G755/CALCULETTE!$B$612),0)</f>
        <v/>
      </c>
      <c r="E358" s="279">
        <f>IF(E$1=0,"",IF($B358&lt;E$23,E357+PPMT(E$26/12,$B358,E$23,E$235,-E$27,0),IF($B358=E$23,E357+PPMT(E$26/12,$B358,E$23,E$235,-E$27,0)-E$27,0)))</f>
        <v/>
      </c>
      <c r="F358" s="279">
        <f>IF(F$1=0,"",IF($B358&lt;F$23,F357+PPMT(F$26/12,$B358,F$23,F$235,-F$27,0),IF($B358=F$23,F357+PPMT(F$26/12,$B358,F$23,F$235,-F$27,0)-F$27,0)))</f>
        <v/>
      </c>
      <c r="G358" s="279">
        <f>IF(G$1=0,"",IF($B358&lt;G$23,G357+PPMT(G$26/12,$B358,G$23,G$235,-G$27,0),IF($B358=G$23,G357+PPMT(G$26/12,$B358,G$23,G$235,-G$27,0)-G$27,0)))</f>
        <v/>
      </c>
      <c r="H358" s="279">
        <f>IF(H$1=0,"",IF($B358&lt;H$23,H357+PPMT(H$26/12,$B358,H$23,H$235,-H$27,0),IF($B358=H$23,H357+PPMT(H$26/12,$B358,H$23,H$235,-H$27,0)-H$27,0)))</f>
        <v/>
      </c>
      <c r="I358" s="279">
        <f>IF(I$1=0,"",IF($B358&lt;I$23,I357+PPMT(I$26/12,$B358,I$23,I$235,-I$27,0),IF($B358=I$23,I357+PPMT(I$26/12,$B358,I$23,I$235,-I$27,0)-I$27,0)))</f>
        <v/>
      </c>
      <c r="J358" s="279">
        <f>IF(J$1=0,"",IF($B358&lt;J$23,J357+PPMT(J$26/12,$B358,J$23,J$235,-J$27,0),IF($B358=J$23,J357+PPMT(J$26/12,$B358,J$23,J$235,-J$27,0)-J$27,0)))</f>
        <v/>
      </c>
      <c r="K358" s="279">
        <f>IF(K$1=0,"",IF($B358&lt;K$23,K357+PPMT(K$26/12,$B358,K$23,K$235,-K$27,0),IF($B358=K$23,K357+PPMT(K$26/12,$B358,K$23,K$235,-K$27,0)-K$27,0)))</f>
        <v/>
      </c>
      <c r="L358" s="279">
        <f>IF(L$1=0,"",IF($B358&lt;L$23,L357+PPMT(L$26/12,$B358,L$23,L$235,-L$27,0),IF($B358=L$23,L357+PPMT(L$26/12,$B358,L$23,L$235,-L$27,0)-L$27,0)))</f>
        <v/>
      </c>
      <c r="M358" s="279">
        <f>IF(M$1=0,"",IF($B358&lt;M$23,M357+PPMT(M$26/12,$B358,M$23,M$235,-M$27,0),IF($B358=M$23,M357+PPMT(M$26/12,$B358,M$23,M$235,-M$27,0)-M$27,0)))</f>
        <v/>
      </c>
      <c r="N358" s="280" t="n"/>
      <c r="O358" s="281" t="n"/>
    </row>
    <row r="359" hidden="1" outlineLevel="1">
      <c r="B359" s="2">
        <f>B358+1</f>
        <v/>
      </c>
      <c r="D359" s="279">
        <f>IF(B359&lt;$D$24,(+CALCULETTE!G756/CALCULETTE!$B$612),0)</f>
        <v/>
      </c>
      <c r="E359" s="279">
        <f>IF(E$1=0,"",IF($B359&lt;E$23,E358+PPMT(E$26/12,$B359,E$23,E$235,-E$27,0),IF($B359=E$23,E358+PPMT(E$26/12,$B359,E$23,E$235,-E$27,0)-E$27,0)))</f>
        <v/>
      </c>
      <c r="F359" s="279">
        <f>IF(F$1=0,"",IF($B359&lt;F$23,F358+PPMT(F$26/12,$B359,F$23,F$235,-F$27,0),IF($B359=F$23,F358+PPMT(F$26/12,$B359,F$23,F$235,-F$27,0)-F$27,0)))</f>
        <v/>
      </c>
      <c r="G359" s="279">
        <f>IF(G$1=0,"",IF($B359&lt;G$23,G358+PPMT(G$26/12,$B359,G$23,G$235,-G$27,0),IF($B359=G$23,G358+PPMT(G$26/12,$B359,G$23,G$235,-G$27,0)-G$27,0)))</f>
        <v/>
      </c>
      <c r="H359" s="279">
        <f>IF(H$1=0,"",IF($B359&lt;H$23,H358+PPMT(H$26/12,$B359,H$23,H$235,-H$27,0),IF($B359=H$23,H358+PPMT(H$26/12,$B359,H$23,H$235,-H$27,0)-H$27,0)))</f>
        <v/>
      </c>
      <c r="I359" s="279">
        <f>IF(I$1=0,"",IF($B359&lt;I$23,I358+PPMT(I$26/12,$B359,I$23,I$235,-I$27,0),IF($B359=I$23,I358+PPMT(I$26/12,$B359,I$23,I$235,-I$27,0)-I$27,0)))</f>
        <v/>
      </c>
      <c r="J359" s="279">
        <f>IF(J$1=0,"",IF($B359&lt;J$23,J358+PPMT(J$26/12,$B359,J$23,J$235,-J$27,0),IF($B359=J$23,J358+PPMT(J$26/12,$B359,J$23,J$235,-J$27,0)-J$27,0)))</f>
        <v/>
      </c>
      <c r="K359" s="279">
        <f>IF(K$1=0,"",IF($B359&lt;K$23,K358+PPMT(K$26/12,$B359,K$23,K$235,-K$27,0),IF($B359=K$23,K358+PPMT(K$26/12,$B359,K$23,K$235,-K$27,0)-K$27,0)))</f>
        <v/>
      </c>
      <c r="L359" s="279">
        <f>IF(L$1=0,"",IF($B359&lt;L$23,L358+PPMT(L$26/12,$B359,L$23,L$235,-L$27,0),IF($B359=L$23,L358+PPMT(L$26/12,$B359,L$23,L$235,-L$27,0)-L$27,0)))</f>
        <v/>
      </c>
      <c r="M359" s="279">
        <f>IF(M$1=0,"",IF($B359&lt;M$23,M358+PPMT(M$26/12,$B359,M$23,M$235,-M$27,0),IF($B359=M$23,M358+PPMT(M$26/12,$B359,M$23,M$235,-M$27,0)-M$27,0)))</f>
        <v/>
      </c>
      <c r="N359" s="280" t="n"/>
      <c r="O359" s="281" t="n"/>
    </row>
    <row r="360" hidden="1" outlineLevel="1">
      <c r="B360" s="2">
        <f>B359+1</f>
        <v/>
      </c>
      <c r="D360" s="279">
        <f>IF(B360&lt;$D$24,(+CALCULETTE!G757/CALCULETTE!$B$612),0)</f>
        <v/>
      </c>
      <c r="E360" s="279">
        <f>IF(E$1=0,"",IF($B360&lt;E$23,E359+PPMT(E$26/12,$B360,E$23,E$235,-E$27,0),IF($B360=E$23,E359+PPMT(E$26/12,$B360,E$23,E$235,-E$27,0)-E$27,0)))</f>
        <v/>
      </c>
      <c r="F360" s="279">
        <f>IF(F$1=0,"",IF($B360&lt;F$23,F359+PPMT(F$26/12,$B360,F$23,F$235,-F$27,0),IF($B360=F$23,F359+PPMT(F$26/12,$B360,F$23,F$235,-F$27,0)-F$27,0)))</f>
        <v/>
      </c>
      <c r="G360" s="279">
        <f>IF(G$1=0,"",IF($B360&lt;G$23,G359+PPMT(G$26/12,$B360,G$23,G$235,-G$27,0),IF($B360=G$23,G359+PPMT(G$26/12,$B360,G$23,G$235,-G$27,0)-G$27,0)))</f>
        <v/>
      </c>
      <c r="H360" s="279">
        <f>IF(H$1=0,"",IF($B360&lt;H$23,H359+PPMT(H$26/12,$B360,H$23,H$235,-H$27,0),IF($B360=H$23,H359+PPMT(H$26/12,$B360,H$23,H$235,-H$27,0)-H$27,0)))</f>
        <v/>
      </c>
      <c r="I360" s="279">
        <f>IF(I$1=0,"",IF($B360&lt;I$23,I359+PPMT(I$26/12,$B360,I$23,I$235,-I$27,0),IF($B360=I$23,I359+PPMT(I$26/12,$B360,I$23,I$235,-I$27,0)-I$27,0)))</f>
        <v/>
      </c>
      <c r="J360" s="279">
        <f>IF(J$1=0,"",IF($B360&lt;J$23,J359+PPMT(J$26/12,$B360,J$23,J$235,-J$27,0),IF($B360=J$23,J359+PPMT(J$26/12,$B360,J$23,J$235,-J$27,0)-J$27,0)))</f>
        <v/>
      </c>
      <c r="K360" s="279">
        <f>IF(K$1=0,"",IF($B360&lt;K$23,K359+PPMT(K$26/12,$B360,K$23,K$235,-K$27,0),IF($B360=K$23,K359+PPMT(K$26/12,$B360,K$23,K$235,-K$27,0)-K$27,0)))</f>
        <v/>
      </c>
      <c r="L360" s="279">
        <f>IF(L$1=0,"",IF($B360&lt;L$23,L359+PPMT(L$26/12,$B360,L$23,L$235,-L$27,0),IF($B360=L$23,L359+PPMT(L$26/12,$B360,L$23,L$235,-L$27,0)-L$27,0)))</f>
        <v/>
      </c>
      <c r="M360" s="279">
        <f>IF(M$1=0,"",IF($B360&lt;M$23,M359+PPMT(M$26/12,$B360,M$23,M$235,-M$27,0),IF($B360=M$23,M359+PPMT(M$26/12,$B360,M$23,M$235,-M$27,0)-M$27,0)))</f>
        <v/>
      </c>
      <c r="N360" s="280" t="n"/>
      <c r="O360" s="281" t="n"/>
    </row>
    <row r="361" hidden="1" outlineLevel="1">
      <c r="B361" s="2">
        <f>B360+1</f>
        <v/>
      </c>
      <c r="D361" s="279">
        <f>IF(B361&lt;$D$24,(+CALCULETTE!G758/CALCULETTE!$B$612),0)</f>
        <v/>
      </c>
      <c r="E361" s="279">
        <f>IF(E$1=0,"",IF($B361&lt;E$23,E360+PPMT(E$26/12,$B361,E$23,E$235,-E$27,0),IF($B361=E$23,E360+PPMT(E$26/12,$B361,E$23,E$235,-E$27,0)-E$27,0)))</f>
        <v/>
      </c>
      <c r="F361" s="279">
        <f>IF(F$1=0,"",IF($B361&lt;F$23,F360+PPMT(F$26/12,$B361,F$23,F$235,-F$27,0),IF($B361=F$23,F360+PPMT(F$26/12,$B361,F$23,F$235,-F$27,0)-F$27,0)))</f>
        <v/>
      </c>
      <c r="G361" s="279">
        <f>IF(G$1=0,"",IF($B361&lt;G$23,G360+PPMT(G$26/12,$B361,G$23,G$235,-G$27,0),IF($B361=G$23,G360+PPMT(G$26/12,$B361,G$23,G$235,-G$27,0)-G$27,0)))</f>
        <v/>
      </c>
      <c r="H361" s="279">
        <f>IF(H$1=0,"",IF($B361&lt;H$23,H360+PPMT(H$26/12,$B361,H$23,H$235,-H$27,0),IF($B361=H$23,H360+PPMT(H$26/12,$B361,H$23,H$235,-H$27,0)-H$27,0)))</f>
        <v/>
      </c>
      <c r="I361" s="279">
        <f>IF(I$1=0,"",IF($B361&lt;I$23,I360+PPMT(I$26/12,$B361,I$23,I$235,-I$27,0),IF($B361=I$23,I360+PPMT(I$26/12,$B361,I$23,I$235,-I$27,0)-I$27,0)))</f>
        <v/>
      </c>
      <c r="J361" s="279">
        <f>IF(J$1=0,"",IF($B361&lt;J$23,J360+PPMT(J$26/12,$B361,J$23,J$235,-J$27,0),IF($B361=J$23,J360+PPMT(J$26/12,$B361,J$23,J$235,-J$27,0)-J$27,0)))</f>
        <v/>
      </c>
      <c r="K361" s="279">
        <f>IF(K$1=0,"",IF($B361&lt;K$23,K360+PPMT(K$26/12,$B361,K$23,K$235,-K$27,0),IF($B361=K$23,K360+PPMT(K$26/12,$B361,K$23,K$235,-K$27,0)-K$27,0)))</f>
        <v/>
      </c>
      <c r="L361" s="279">
        <f>IF(L$1=0,"",IF($B361&lt;L$23,L360+PPMT(L$26/12,$B361,L$23,L$235,-L$27,0),IF($B361=L$23,L360+PPMT(L$26/12,$B361,L$23,L$235,-L$27,0)-L$27,0)))</f>
        <v/>
      </c>
      <c r="M361" s="279">
        <f>IF(M$1=0,"",IF($B361&lt;M$23,M360+PPMT(M$26/12,$B361,M$23,M$235,-M$27,0),IF($B361=M$23,M360+PPMT(M$26/12,$B361,M$23,M$235,-M$27,0)-M$27,0)))</f>
        <v/>
      </c>
      <c r="N361" s="280" t="n"/>
      <c r="O361" s="281" t="n"/>
    </row>
    <row r="362" hidden="1" outlineLevel="1">
      <c r="B362" s="2">
        <f>B361+1</f>
        <v/>
      </c>
      <c r="D362" s="279">
        <f>IF(B362&lt;$D$24,(+CALCULETTE!G759/CALCULETTE!$B$612),0)</f>
        <v/>
      </c>
      <c r="E362" s="279">
        <f>IF(E$1=0,"",IF($B362&lt;E$23,E361+PPMT(E$26/12,$B362,E$23,E$235,-E$27,0),IF($B362=E$23,E361+PPMT(E$26/12,$B362,E$23,E$235,-E$27,0)-E$27,0)))</f>
        <v/>
      </c>
      <c r="F362" s="279">
        <f>IF(F$1=0,"",IF($B362&lt;F$23,F361+PPMT(F$26/12,$B362,F$23,F$235,-F$27,0),IF($B362=F$23,F361+PPMT(F$26/12,$B362,F$23,F$235,-F$27,0)-F$27,0)))</f>
        <v/>
      </c>
      <c r="G362" s="279">
        <f>IF(G$1=0,"",IF($B362&lt;G$23,G361+PPMT(G$26/12,$B362,G$23,G$235,-G$27,0),IF($B362=G$23,G361+PPMT(G$26/12,$B362,G$23,G$235,-G$27,0)-G$27,0)))</f>
        <v/>
      </c>
      <c r="H362" s="279">
        <f>IF(H$1=0,"",IF($B362&lt;H$23,H361+PPMT(H$26/12,$B362,H$23,H$235,-H$27,0),IF($B362=H$23,H361+PPMT(H$26/12,$B362,H$23,H$235,-H$27,0)-H$27,0)))</f>
        <v/>
      </c>
      <c r="I362" s="279">
        <f>IF(I$1=0,"",IF($B362&lt;I$23,I361+PPMT(I$26/12,$B362,I$23,I$235,-I$27,0),IF($B362=I$23,I361+PPMT(I$26/12,$B362,I$23,I$235,-I$27,0)-I$27,0)))</f>
        <v/>
      </c>
      <c r="J362" s="279">
        <f>IF(J$1=0,"",IF($B362&lt;J$23,J361+PPMT(J$26/12,$B362,J$23,J$235,-J$27,0),IF($B362=J$23,J361+PPMT(J$26/12,$B362,J$23,J$235,-J$27,0)-J$27,0)))</f>
        <v/>
      </c>
      <c r="K362" s="279">
        <f>IF(K$1=0,"",IF($B362&lt;K$23,K361+PPMT(K$26/12,$B362,K$23,K$235,-K$27,0),IF($B362=K$23,K361+PPMT(K$26/12,$B362,K$23,K$235,-K$27,0)-K$27,0)))</f>
        <v/>
      </c>
      <c r="L362" s="279">
        <f>IF(L$1=0,"",IF($B362&lt;L$23,L361+PPMT(L$26/12,$B362,L$23,L$235,-L$27,0),IF($B362=L$23,L361+PPMT(L$26/12,$B362,L$23,L$235,-L$27,0)-L$27,0)))</f>
        <v/>
      </c>
      <c r="M362" s="279">
        <f>IF(M$1=0,"",IF($B362&lt;M$23,M361+PPMT(M$26/12,$B362,M$23,M$235,-M$27,0),IF($B362=M$23,M361+PPMT(M$26/12,$B362,M$23,M$235,-M$27,0)-M$27,0)))</f>
        <v/>
      </c>
      <c r="N362" s="280" t="n"/>
      <c r="O362" s="281" t="n"/>
    </row>
    <row r="363" hidden="1" outlineLevel="1">
      <c r="B363" s="2">
        <f>B362+1</f>
        <v/>
      </c>
      <c r="D363" s="279">
        <f>IF(B363&lt;$D$24,(+CALCULETTE!G760/CALCULETTE!$B$612),0)</f>
        <v/>
      </c>
      <c r="E363" s="279">
        <f>IF(E$1=0,"",IF($B363&lt;E$23,E362+PPMT(E$26/12,$B363,E$23,E$235,-E$27,0),IF($B363=E$23,E362+PPMT(E$26/12,$B363,E$23,E$235,-E$27,0)-E$27,0)))</f>
        <v/>
      </c>
      <c r="F363" s="279">
        <f>IF(F$1=0,"",IF($B363&lt;F$23,F362+PPMT(F$26/12,$B363,F$23,F$235,-F$27,0),IF($B363=F$23,F362+PPMT(F$26/12,$B363,F$23,F$235,-F$27,0)-F$27,0)))</f>
        <v/>
      </c>
      <c r="G363" s="279">
        <f>IF(G$1=0,"",IF($B363&lt;G$23,G362+PPMT(G$26/12,$B363,G$23,G$235,-G$27,0),IF($B363=G$23,G362+PPMT(G$26/12,$B363,G$23,G$235,-G$27,0)-G$27,0)))</f>
        <v/>
      </c>
      <c r="H363" s="279">
        <f>IF(H$1=0,"",IF($B363&lt;H$23,H362+PPMT(H$26/12,$B363,H$23,H$235,-H$27,0),IF($B363=H$23,H362+PPMT(H$26/12,$B363,H$23,H$235,-H$27,0)-H$27,0)))</f>
        <v/>
      </c>
      <c r="I363" s="279">
        <f>IF(I$1=0,"",IF($B363&lt;I$23,I362+PPMT(I$26/12,$B363,I$23,I$235,-I$27,0),IF($B363=I$23,I362+PPMT(I$26/12,$B363,I$23,I$235,-I$27,0)-I$27,0)))</f>
        <v/>
      </c>
      <c r="J363" s="279">
        <f>IF(J$1=0,"",IF($B363&lt;J$23,J362+PPMT(J$26/12,$B363,J$23,J$235,-J$27,0),IF($B363=J$23,J362+PPMT(J$26/12,$B363,J$23,J$235,-J$27,0)-J$27,0)))</f>
        <v/>
      </c>
      <c r="K363" s="279">
        <f>IF(K$1=0,"",IF($B363&lt;K$23,K362+PPMT(K$26/12,$B363,K$23,K$235,-K$27,0),IF($B363=K$23,K362+PPMT(K$26/12,$B363,K$23,K$235,-K$27,0)-K$27,0)))</f>
        <v/>
      </c>
      <c r="L363" s="279">
        <f>IF(L$1=0,"",IF($B363&lt;L$23,L362+PPMT(L$26/12,$B363,L$23,L$235,-L$27,0),IF($B363=L$23,L362+PPMT(L$26/12,$B363,L$23,L$235,-L$27,0)-L$27,0)))</f>
        <v/>
      </c>
      <c r="M363" s="279">
        <f>IF(M$1=0,"",IF($B363&lt;M$23,M362+PPMT(M$26/12,$B363,M$23,M$235,-M$27,0),IF($B363=M$23,M362+PPMT(M$26/12,$B363,M$23,M$235,-M$27,0)-M$27,0)))</f>
        <v/>
      </c>
      <c r="N363" s="280" t="n"/>
      <c r="O363" s="281" t="n"/>
    </row>
    <row r="364" hidden="1" outlineLevel="1">
      <c r="B364" s="2">
        <f>B363+1</f>
        <v/>
      </c>
      <c r="D364" s="279">
        <f>IF(B364&lt;$D$24,(+CALCULETTE!G761/CALCULETTE!$B$612),0)</f>
        <v/>
      </c>
      <c r="E364" s="279">
        <f>IF(E$1=0,"",IF($B364&lt;E$23,E363+PPMT(E$26/12,$B364,E$23,E$235,-E$27,0),IF($B364=E$23,E363+PPMT(E$26/12,$B364,E$23,E$235,-E$27,0)-E$27,0)))</f>
        <v/>
      </c>
      <c r="F364" s="279">
        <f>IF(F$1=0,"",IF($B364&lt;F$23,F363+PPMT(F$26/12,$B364,F$23,F$235,-F$27,0),IF($B364=F$23,F363+PPMT(F$26/12,$B364,F$23,F$235,-F$27,0)-F$27,0)))</f>
        <v/>
      </c>
      <c r="G364" s="279">
        <f>IF(G$1=0,"",IF($B364&lt;G$23,G363+PPMT(G$26/12,$B364,G$23,G$235,-G$27,0),IF($B364=G$23,G363+PPMT(G$26/12,$B364,G$23,G$235,-G$27,0)-G$27,0)))</f>
        <v/>
      </c>
      <c r="H364" s="279">
        <f>IF(H$1=0,"",IF($B364&lt;H$23,H363+PPMT(H$26/12,$B364,H$23,H$235,-H$27,0),IF($B364=H$23,H363+PPMT(H$26/12,$B364,H$23,H$235,-H$27,0)-H$27,0)))</f>
        <v/>
      </c>
      <c r="I364" s="279">
        <f>IF(I$1=0,"",IF($B364&lt;I$23,I363+PPMT(I$26/12,$B364,I$23,I$235,-I$27,0),IF($B364=I$23,I363+PPMT(I$26/12,$B364,I$23,I$235,-I$27,0)-I$27,0)))</f>
        <v/>
      </c>
      <c r="J364" s="279">
        <f>IF(J$1=0,"",IF($B364&lt;J$23,J363+PPMT(J$26/12,$B364,J$23,J$235,-J$27,0),IF($B364=J$23,J363+PPMT(J$26/12,$B364,J$23,J$235,-J$27,0)-J$27,0)))</f>
        <v/>
      </c>
      <c r="K364" s="279">
        <f>IF(K$1=0,"",IF($B364&lt;K$23,K363+PPMT(K$26/12,$B364,K$23,K$235,-K$27,0),IF($B364=K$23,K363+PPMT(K$26/12,$B364,K$23,K$235,-K$27,0)-K$27,0)))</f>
        <v/>
      </c>
      <c r="L364" s="279">
        <f>IF(L$1=0,"",IF($B364&lt;L$23,L363+PPMT(L$26/12,$B364,L$23,L$235,-L$27,0),IF($B364=L$23,L363+PPMT(L$26/12,$B364,L$23,L$235,-L$27,0)-L$27,0)))</f>
        <v/>
      </c>
      <c r="M364" s="279">
        <f>IF(M$1=0,"",IF($B364&lt;M$23,M363+PPMT(M$26/12,$B364,M$23,M$235,-M$27,0),IF($B364=M$23,M363+PPMT(M$26/12,$B364,M$23,M$235,-M$27,0)-M$27,0)))</f>
        <v/>
      </c>
      <c r="N364" s="280" t="n"/>
      <c r="O364" s="281" t="n"/>
    </row>
    <row r="365" hidden="1" outlineLevel="1">
      <c r="B365" s="2">
        <f>B364+1</f>
        <v/>
      </c>
      <c r="D365" s="279">
        <f>IF(B365&lt;$D$24,(+CALCULETTE!G762/CALCULETTE!$B$612),0)</f>
        <v/>
      </c>
      <c r="E365" s="279">
        <f>IF(E$1=0,"",IF($B365&lt;E$23,E364+PPMT(E$26/12,$B365,E$23,E$235,-E$27,0),IF($B365=E$23,E364+PPMT(E$26/12,$B365,E$23,E$235,-E$27,0)-E$27,0)))</f>
        <v/>
      </c>
      <c r="F365" s="279">
        <f>IF(F$1=0,"",IF($B365&lt;F$23,F364+PPMT(F$26/12,$B365,F$23,F$235,-F$27,0),IF($B365=F$23,F364+PPMT(F$26/12,$B365,F$23,F$235,-F$27,0)-F$27,0)))</f>
        <v/>
      </c>
      <c r="G365" s="279">
        <f>IF(G$1=0,"",IF($B365&lt;G$23,G364+PPMT(G$26/12,$B365,G$23,G$235,-G$27,0),IF($B365=G$23,G364+PPMT(G$26/12,$B365,G$23,G$235,-G$27,0)-G$27,0)))</f>
        <v/>
      </c>
      <c r="H365" s="279">
        <f>IF(H$1=0,"",IF($B365&lt;H$23,H364+PPMT(H$26/12,$B365,H$23,H$235,-H$27,0),IF($B365=H$23,H364+PPMT(H$26/12,$B365,H$23,H$235,-H$27,0)-H$27,0)))</f>
        <v/>
      </c>
      <c r="I365" s="279">
        <f>IF(I$1=0,"",IF($B365&lt;I$23,I364+PPMT(I$26/12,$B365,I$23,I$235,-I$27,0),IF($B365=I$23,I364+PPMT(I$26/12,$B365,I$23,I$235,-I$27,0)-I$27,0)))</f>
        <v/>
      </c>
      <c r="J365" s="279">
        <f>IF(J$1=0,"",IF($B365&lt;J$23,J364+PPMT(J$26/12,$B365,J$23,J$235,-J$27,0),IF($B365=J$23,J364+PPMT(J$26/12,$B365,J$23,J$235,-J$27,0)-J$27,0)))</f>
        <v/>
      </c>
      <c r="K365" s="279">
        <f>IF(K$1=0,"",IF($B365&lt;K$23,K364+PPMT(K$26/12,$B365,K$23,K$235,-K$27,0),IF($B365=K$23,K364+PPMT(K$26/12,$B365,K$23,K$235,-K$27,0)-K$27,0)))</f>
        <v/>
      </c>
      <c r="L365" s="279">
        <f>IF(L$1=0,"",IF($B365&lt;L$23,L364+PPMT(L$26/12,$B365,L$23,L$235,-L$27,0),IF($B365=L$23,L364+PPMT(L$26/12,$B365,L$23,L$235,-L$27,0)-L$27,0)))</f>
        <v/>
      </c>
      <c r="M365" s="279">
        <f>IF(M$1=0,"",IF($B365&lt;M$23,M364+PPMT(M$26/12,$B365,M$23,M$235,-M$27,0),IF($B365=M$23,M364+PPMT(M$26/12,$B365,M$23,M$235,-M$27,0)-M$27,0)))</f>
        <v/>
      </c>
      <c r="N365" s="280" t="n"/>
      <c r="O365" s="281" t="n"/>
    </row>
    <row r="366" hidden="1" outlineLevel="1">
      <c r="B366" s="2">
        <f>B365+1</f>
        <v/>
      </c>
      <c r="D366" s="279">
        <f>IF(B366&lt;$D$24,(+CALCULETTE!G763/CALCULETTE!$B$612),0)</f>
        <v/>
      </c>
      <c r="E366" s="279">
        <f>IF(E$1=0,"",IF($B366&lt;E$23,E365+PPMT(E$26/12,$B366,E$23,E$235,-E$27,0),IF($B366=E$23,E365+PPMT(E$26/12,$B366,E$23,E$235,-E$27,0)-E$27,0)))</f>
        <v/>
      </c>
      <c r="F366" s="279">
        <f>IF(F$1=0,"",IF($B366&lt;F$23,F365+PPMT(F$26/12,$B366,F$23,F$235,-F$27,0),IF($B366=F$23,F365+PPMT(F$26/12,$B366,F$23,F$235,-F$27,0)-F$27,0)))</f>
        <v/>
      </c>
      <c r="G366" s="279">
        <f>IF(G$1=0,"",IF($B366&lt;G$23,G365+PPMT(G$26/12,$B366,G$23,G$235,-G$27,0),IF($B366=G$23,G365+PPMT(G$26/12,$B366,G$23,G$235,-G$27,0)-G$27,0)))</f>
        <v/>
      </c>
      <c r="H366" s="279">
        <f>IF(H$1=0,"",IF($B366&lt;H$23,H365+PPMT(H$26/12,$B366,H$23,H$235,-H$27,0),IF($B366=H$23,H365+PPMT(H$26/12,$B366,H$23,H$235,-H$27,0)-H$27,0)))</f>
        <v/>
      </c>
      <c r="I366" s="279">
        <f>IF(I$1=0,"",IF($B366&lt;I$23,I365+PPMT(I$26/12,$B366,I$23,I$235,-I$27,0),IF($B366=I$23,I365+PPMT(I$26/12,$B366,I$23,I$235,-I$27,0)-I$27,0)))</f>
        <v/>
      </c>
      <c r="J366" s="279">
        <f>IF(J$1=0,"",IF($B366&lt;J$23,J365+PPMT(J$26/12,$B366,J$23,J$235,-J$27,0),IF($B366=J$23,J365+PPMT(J$26/12,$B366,J$23,J$235,-J$27,0)-J$27,0)))</f>
        <v/>
      </c>
      <c r="K366" s="279">
        <f>IF(K$1=0,"",IF($B366&lt;K$23,K365+PPMT(K$26/12,$B366,K$23,K$235,-K$27,0),IF($B366=K$23,K365+PPMT(K$26/12,$B366,K$23,K$235,-K$27,0)-K$27,0)))</f>
        <v/>
      </c>
      <c r="L366" s="279">
        <f>IF(L$1=0,"",IF($B366&lt;L$23,L365+PPMT(L$26/12,$B366,L$23,L$235,-L$27,0),IF($B366=L$23,L365+PPMT(L$26/12,$B366,L$23,L$235,-L$27,0)-L$27,0)))</f>
        <v/>
      </c>
      <c r="M366" s="279">
        <f>IF(M$1=0,"",IF($B366&lt;M$23,M365+PPMT(M$26/12,$B366,M$23,M$235,-M$27,0),IF($B366=M$23,M365+PPMT(M$26/12,$B366,M$23,M$235,-M$27,0)-M$27,0)))</f>
        <v/>
      </c>
      <c r="N366" s="280" t="n"/>
      <c r="O366" s="281" t="n"/>
    </row>
    <row r="367" hidden="1" outlineLevel="1">
      <c r="B367" s="2">
        <f>B366+1</f>
        <v/>
      </c>
      <c r="D367" s="279">
        <f>IF(B367&lt;$D$24,(+CALCULETTE!G764/CALCULETTE!$B$612),0)</f>
        <v/>
      </c>
      <c r="E367" s="279">
        <f>IF(E$1=0,"",IF($B367&lt;E$23,E366+PPMT(E$26/12,$B367,E$23,E$235,-E$27,0),IF($B367=E$23,E366+PPMT(E$26/12,$B367,E$23,E$235,-E$27,0)-E$27,0)))</f>
        <v/>
      </c>
      <c r="F367" s="279">
        <f>IF(F$1=0,"",IF($B367&lt;F$23,F366+PPMT(F$26/12,$B367,F$23,F$235,-F$27,0),IF($B367=F$23,F366+PPMT(F$26/12,$B367,F$23,F$235,-F$27,0)-F$27,0)))</f>
        <v/>
      </c>
      <c r="G367" s="279">
        <f>IF(G$1=0,"",IF($B367&lt;G$23,G366+PPMT(G$26/12,$B367,G$23,G$235,-G$27,0),IF($B367=G$23,G366+PPMT(G$26/12,$B367,G$23,G$235,-G$27,0)-G$27,0)))</f>
        <v/>
      </c>
      <c r="H367" s="279">
        <f>IF(H$1=0,"",IF($B367&lt;H$23,H366+PPMT(H$26/12,$B367,H$23,H$235,-H$27,0),IF($B367=H$23,H366+PPMT(H$26/12,$B367,H$23,H$235,-H$27,0)-H$27,0)))</f>
        <v/>
      </c>
      <c r="I367" s="279">
        <f>IF(I$1=0,"",IF($B367&lt;I$23,I366+PPMT(I$26/12,$B367,I$23,I$235,-I$27,0),IF($B367=I$23,I366+PPMT(I$26/12,$B367,I$23,I$235,-I$27,0)-I$27,0)))</f>
        <v/>
      </c>
      <c r="J367" s="279">
        <f>IF(J$1=0,"",IF($B367&lt;J$23,J366+PPMT(J$26/12,$B367,J$23,J$235,-J$27,0),IF($B367=J$23,J366+PPMT(J$26/12,$B367,J$23,J$235,-J$27,0)-J$27,0)))</f>
        <v/>
      </c>
      <c r="K367" s="279">
        <f>IF(K$1=0,"",IF($B367&lt;K$23,K366+PPMT(K$26/12,$B367,K$23,K$235,-K$27,0),IF($B367=K$23,K366+PPMT(K$26/12,$B367,K$23,K$235,-K$27,0)-K$27,0)))</f>
        <v/>
      </c>
      <c r="L367" s="279">
        <f>IF(L$1=0,"",IF($B367&lt;L$23,L366+PPMT(L$26/12,$B367,L$23,L$235,-L$27,0),IF($B367=L$23,L366+PPMT(L$26/12,$B367,L$23,L$235,-L$27,0)-L$27,0)))</f>
        <v/>
      </c>
      <c r="M367" s="279">
        <f>IF(M$1=0,"",IF($B367&lt;M$23,M366+PPMT(M$26/12,$B367,M$23,M$235,-M$27,0),IF($B367=M$23,M366+PPMT(M$26/12,$B367,M$23,M$235,-M$27,0)-M$27,0)))</f>
        <v/>
      </c>
      <c r="N367" s="280" t="n"/>
      <c r="O367" s="281" t="n"/>
    </row>
    <row r="368" hidden="1" outlineLevel="1">
      <c r="B368" s="2">
        <f>B367+1</f>
        <v/>
      </c>
      <c r="D368" s="279">
        <f>IF(B368&lt;$D$24,(+CALCULETTE!G765/CALCULETTE!$B$612),0)</f>
        <v/>
      </c>
      <c r="E368" s="279">
        <f>IF(E$1=0,"",IF($B368&lt;E$23,E367+PPMT(E$26/12,$B368,E$23,E$235,-E$27,0),IF($B368=E$23,E367+PPMT(E$26/12,$B368,E$23,E$235,-E$27,0)-E$27,0)))</f>
        <v/>
      </c>
      <c r="F368" s="279">
        <f>IF(F$1=0,"",IF($B368&lt;F$23,F367+PPMT(F$26/12,$B368,F$23,F$235,-F$27,0),IF($B368=F$23,F367+PPMT(F$26/12,$B368,F$23,F$235,-F$27,0)-F$27,0)))</f>
        <v/>
      </c>
      <c r="G368" s="279">
        <f>IF(G$1=0,"",IF($B368&lt;G$23,G367+PPMT(G$26/12,$B368,G$23,G$235,-G$27,0),IF($B368=G$23,G367+PPMT(G$26/12,$B368,G$23,G$235,-G$27,0)-G$27,0)))</f>
        <v/>
      </c>
      <c r="H368" s="279">
        <f>IF(H$1=0,"",IF($B368&lt;H$23,H367+PPMT(H$26/12,$B368,H$23,H$235,-H$27,0),IF($B368=H$23,H367+PPMT(H$26/12,$B368,H$23,H$235,-H$27,0)-H$27,0)))</f>
        <v/>
      </c>
      <c r="I368" s="279">
        <f>IF(I$1=0,"",IF($B368&lt;I$23,I367+PPMT(I$26/12,$B368,I$23,I$235,-I$27,0),IF($B368=I$23,I367+PPMT(I$26/12,$B368,I$23,I$235,-I$27,0)-I$27,0)))</f>
        <v/>
      </c>
      <c r="J368" s="279">
        <f>IF(J$1=0,"",IF($B368&lt;J$23,J367+PPMT(J$26/12,$B368,J$23,J$235,-J$27,0),IF($B368=J$23,J367+PPMT(J$26/12,$B368,J$23,J$235,-J$27,0)-J$27,0)))</f>
        <v/>
      </c>
      <c r="K368" s="279">
        <f>IF(K$1=0,"",IF($B368&lt;K$23,K367+PPMT(K$26/12,$B368,K$23,K$235,-K$27,0),IF($B368=K$23,K367+PPMT(K$26/12,$B368,K$23,K$235,-K$27,0)-K$27,0)))</f>
        <v/>
      </c>
      <c r="L368" s="279">
        <f>IF(L$1=0,"",IF($B368&lt;L$23,L367+PPMT(L$26/12,$B368,L$23,L$235,-L$27,0),IF($B368=L$23,L367+PPMT(L$26/12,$B368,L$23,L$235,-L$27,0)-L$27,0)))</f>
        <v/>
      </c>
      <c r="M368" s="279">
        <f>IF(M$1=0,"",IF($B368&lt;M$23,M367+PPMT(M$26/12,$B368,M$23,M$235,-M$27,0),IF($B368=M$23,M367+PPMT(M$26/12,$B368,M$23,M$235,-M$27,0)-M$27,0)))</f>
        <v/>
      </c>
      <c r="N368" s="280" t="n"/>
      <c r="O368" s="281" t="n"/>
    </row>
    <row r="369" hidden="1" outlineLevel="1">
      <c r="B369" s="2">
        <f>B368+1</f>
        <v/>
      </c>
      <c r="D369" s="279">
        <f>IF(B369&lt;$D$24,(+CALCULETTE!G766/CALCULETTE!$B$612),0)</f>
        <v/>
      </c>
      <c r="E369" s="279">
        <f>IF(E$1=0,"",IF($B369&lt;E$23,E368+PPMT(E$26/12,$B369,E$23,E$235,-E$27,0),IF($B369=E$23,E368+PPMT(E$26/12,$B369,E$23,E$235,-E$27,0)-E$27,0)))</f>
        <v/>
      </c>
      <c r="F369" s="279">
        <f>IF(F$1=0,"",IF($B369&lt;F$23,F368+PPMT(F$26/12,$B369,F$23,F$235,-F$27,0),IF($B369=F$23,F368+PPMT(F$26/12,$B369,F$23,F$235,-F$27,0)-F$27,0)))</f>
        <v/>
      </c>
      <c r="G369" s="279">
        <f>IF(G$1=0,"",IF($B369&lt;G$23,G368+PPMT(G$26/12,$B369,G$23,G$235,-G$27,0),IF($B369=G$23,G368+PPMT(G$26/12,$B369,G$23,G$235,-G$27,0)-G$27,0)))</f>
        <v/>
      </c>
      <c r="H369" s="279">
        <f>IF(H$1=0,"",IF($B369&lt;H$23,H368+PPMT(H$26/12,$B369,H$23,H$235,-H$27,0),IF($B369=H$23,H368+PPMT(H$26/12,$B369,H$23,H$235,-H$27,0)-H$27,0)))</f>
        <v/>
      </c>
      <c r="I369" s="279">
        <f>IF(I$1=0,"",IF($B369&lt;I$23,I368+PPMT(I$26/12,$B369,I$23,I$235,-I$27,0),IF($B369=I$23,I368+PPMT(I$26/12,$B369,I$23,I$235,-I$27,0)-I$27,0)))</f>
        <v/>
      </c>
      <c r="J369" s="279">
        <f>IF(J$1=0,"",IF($B369&lt;J$23,J368+PPMT(J$26/12,$B369,J$23,J$235,-J$27,0),IF($B369=J$23,J368+PPMT(J$26/12,$B369,J$23,J$235,-J$27,0)-J$27,0)))</f>
        <v/>
      </c>
      <c r="K369" s="279">
        <f>IF(K$1=0,"",IF($B369&lt;K$23,K368+PPMT(K$26/12,$B369,K$23,K$235,-K$27,0),IF($B369=K$23,K368+PPMT(K$26/12,$B369,K$23,K$235,-K$27,0)-K$27,0)))</f>
        <v/>
      </c>
      <c r="L369" s="279">
        <f>IF(L$1=0,"",IF($B369&lt;L$23,L368+PPMT(L$26/12,$B369,L$23,L$235,-L$27,0),IF($B369=L$23,L368+PPMT(L$26/12,$B369,L$23,L$235,-L$27,0)-L$27,0)))</f>
        <v/>
      </c>
      <c r="M369" s="279">
        <f>IF(M$1=0,"",IF($B369&lt;M$23,M368+PPMT(M$26/12,$B369,M$23,M$235,-M$27,0),IF($B369=M$23,M368+PPMT(M$26/12,$B369,M$23,M$235,-M$27,0)-M$27,0)))</f>
        <v/>
      </c>
      <c r="N369" s="280" t="n"/>
      <c r="O369" s="281" t="n"/>
    </row>
    <row r="370" hidden="1" outlineLevel="1">
      <c r="B370" s="2">
        <f>B369+1</f>
        <v/>
      </c>
      <c r="D370" s="279">
        <f>IF(B370&lt;$D$24,(+CALCULETTE!G767/CALCULETTE!$B$612),0)</f>
        <v/>
      </c>
      <c r="E370" s="279">
        <f>IF(E$1=0,"",IF($B370&lt;E$23,E369+PPMT(E$26/12,$B370,E$23,E$235,-E$27,0),IF($B370=E$23,E369+PPMT(E$26/12,$B370,E$23,E$235,-E$27,0)-E$27,0)))</f>
        <v/>
      </c>
      <c r="F370" s="279">
        <f>IF(F$1=0,"",IF($B370&lt;F$23,F369+PPMT(F$26/12,$B370,F$23,F$235,-F$27,0),IF($B370=F$23,F369+PPMT(F$26/12,$B370,F$23,F$235,-F$27,0)-F$27,0)))</f>
        <v/>
      </c>
      <c r="G370" s="279">
        <f>IF(G$1=0,"",IF($B370&lt;G$23,G369+PPMT(G$26/12,$B370,G$23,G$235,-G$27,0),IF($B370=G$23,G369+PPMT(G$26/12,$B370,G$23,G$235,-G$27,0)-G$27,0)))</f>
        <v/>
      </c>
      <c r="H370" s="279">
        <f>IF(H$1=0,"",IF($B370&lt;H$23,H369+PPMT(H$26/12,$B370,H$23,H$235,-H$27,0),IF($B370=H$23,H369+PPMT(H$26/12,$B370,H$23,H$235,-H$27,0)-H$27,0)))</f>
        <v/>
      </c>
      <c r="I370" s="279">
        <f>IF(I$1=0,"",IF($B370&lt;I$23,I369+PPMT(I$26/12,$B370,I$23,I$235,-I$27,0),IF($B370=I$23,I369+PPMT(I$26/12,$B370,I$23,I$235,-I$27,0)-I$27,0)))</f>
        <v/>
      </c>
      <c r="J370" s="279">
        <f>IF(J$1=0,"",IF($B370&lt;J$23,J369+PPMT(J$26/12,$B370,J$23,J$235,-J$27,0),IF($B370=J$23,J369+PPMT(J$26/12,$B370,J$23,J$235,-J$27,0)-J$27,0)))</f>
        <v/>
      </c>
      <c r="K370" s="279">
        <f>IF(K$1=0,"",IF($B370&lt;K$23,K369+PPMT(K$26/12,$B370,K$23,K$235,-K$27,0),IF($B370=K$23,K369+PPMT(K$26/12,$B370,K$23,K$235,-K$27,0)-K$27,0)))</f>
        <v/>
      </c>
      <c r="L370" s="279">
        <f>IF(L$1=0,"",IF($B370&lt;L$23,L369+PPMT(L$26/12,$B370,L$23,L$235,-L$27,0),IF($B370=L$23,L369+PPMT(L$26/12,$B370,L$23,L$235,-L$27,0)-L$27,0)))</f>
        <v/>
      </c>
      <c r="M370" s="279">
        <f>IF(M$1=0,"",IF($B370&lt;M$23,M369+PPMT(M$26/12,$B370,M$23,M$235,-M$27,0),IF($B370=M$23,M369+PPMT(M$26/12,$B370,M$23,M$235,-M$27,0)-M$27,0)))</f>
        <v/>
      </c>
      <c r="N370" s="280" t="n"/>
      <c r="O370" s="281" t="n"/>
    </row>
    <row r="371" hidden="1" outlineLevel="1">
      <c r="B371" s="2">
        <f>B370+1</f>
        <v/>
      </c>
      <c r="D371" s="279">
        <f>IF(B371&lt;$D$24,(+CALCULETTE!G768/CALCULETTE!$B$612),0)</f>
        <v/>
      </c>
      <c r="E371" s="279">
        <f>IF(E$1=0,"",IF($B371&lt;E$23,E370+PPMT(E$26/12,$B371,E$23,E$235,-E$27,0),IF($B371=E$23,E370+PPMT(E$26/12,$B371,E$23,E$235,-E$27,0)-E$27,0)))</f>
        <v/>
      </c>
      <c r="F371" s="279">
        <f>IF(F$1=0,"",IF($B371&lt;F$23,F370+PPMT(F$26/12,$B371,F$23,F$235,-F$27,0),IF($B371=F$23,F370+PPMT(F$26/12,$B371,F$23,F$235,-F$27,0)-F$27,0)))</f>
        <v/>
      </c>
      <c r="G371" s="279">
        <f>IF(G$1=0,"",IF($B371&lt;G$23,G370+PPMT(G$26/12,$B371,G$23,G$235,-G$27,0),IF($B371=G$23,G370+PPMT(G$26/12,$B371,G$23,G$235,-G$27,0)-G$27,0)))</f>
        <v/>
      </c>
      <c r="H371" s="279">
        <f>IF(H$1=0,"",IF($B371&lt;H$23,H370+PPMT(H$26/12,$B371,H$23,H$235,-H$27,0),IF($B371=H$23,H370+PPMT(H$26/12,$B371,H$23,H$235,-H$27,0)-H$27,0)))</f>
        <v/>
      </c>
      <c r="I371" s="279">
        <f>IF(I$1=0,"",IF($B371&lt;I$23,I370+PPMT(I$26/12,$B371,I$23,I$235,-I$27,0),IF($B371=I$23,I370+PPMT(I$26/12,$B371,I$23,I$235,-I$27,0)-I$27,0)))</f>
        <v/>
      </c>
      <c r="J371" s="279">
        <f>IF(J$1=0,"",IF($B371&lt;J$23,J370+PPMT(J$26/12,$B371,J$23,J$235,-J$27,0),IF($B371=J$23,J370+PPMT(J$26/12,$B371,J$23,J$235,-J$27,0)-J$27,0)))</f>
        <v/>
      </c>
      <c r="K371" s="279">
        <f>IF(K$1=0,"",IF($B371&lt;K$23,K370+PPMT(K$26/12,$B371,K$23,K$235,-K$27,0),IF($B371=K$23,K370+PPMT(K$26/12,$B371,K$23,K$235,-K$27,0)-K$27,0)))</f>
        <v/>
      </c>
      <c r="L371" s="279">
        <f>IF(L$1=0,"",IF($B371&lt;L$23,L370+PPMT(L$26/12,$B371,L$23,L$235,-L$27,0),IF($B371=L$23,L370+PPMT(L$26/12,$B371,L$23,L$235,-L$27,0)-L$27,0)))</f>
        <v/>
      </c>
      <c r="M371" s="279">
        <f>IF(M$1=0,"",IF($B371&lt;M$23,M370+PPMT(M$26/12,$B371,M$23,M$235,-M$27,0),IF($B371=M$23,M370+PPMT(M$26/12,$B371,M$23,M$235,-M$27,0)-M$27,0)))</f>
        <v/>
      </c>
      <c r="N371" s="280" t="n"/>
      <c r="O371" s="281" t="n"/>
    </row>
    <row r="372" hidden="1" outlineLevel="1">
      <c r="B372" s="2">
        <f>B371+1</f>
        <v/>
      </c>
      <c r="D372" s="279">
        <f>IF(B372&lt;$D$24,(+CALCULETTE!G769/CALCULETTE!$B$612),0)</f>
        <v/>
      </c>
      <c r="E372" s="279">
        <f>IF(E$1=0,"",IF($B372&lt;E$23,E371+PPMT(E$26/12,$B372,E$23,E$235,-E$27,0),IF($B372=E$23,E371+PPMT(E$26/12,$B372,E$23,E$235,-E$27,0)-E$27,0)))</f>
        <v/>
      </c>
      <c r="F372" s="279">
        <f>IF(F$1=0,"",IF($B372&lt;F$23,F371+PPMT(F$26/12,$B372,F$23,F$235,-F$27,0),IF($B372=F$23,F371+PPMT(F$26/12,$B372,F$23,F$235,-F$27,0)-F$27,0)))</f>
        <v/>
      </c>
      <c r="G372" s="279">
        <f>IF(G$1=0,"",IF($B372&lt;G$23,G371+PPMT(G$26/12,$B372,G$23,G$235,-G$27,0),IF($B372=G$23,G371+PPMT(G$26/12,$B372,G$23,G$235,-G$27,0)-G$27,0)))</f>
        <v/>
      </c>
      <c r="H372" s="279">
        <f>IF(H$1=0,"",IF($B372&lt;H$23,H371+PPMT(H$26/12,$B372,H$23,H$235,-H$27,0),IF($B372=H$23,H371+PPMT(H$26/12,$B372,H$23,H$235,-H$27,0)-H$27,0)))</f>
        <v/>
      </c>
      <c r="I372" s="279">
        <f>IF(I$1=0,"",IF($B372&lt;I$23,I371+PPMT(I$26/12,$B372,I$23,I$235,-I$27,0),IF($B372=I$23,I371+PPMT(I$26/12,$B372,I$23,I$235,-I$27,0)-I$27,0)))</f>
        <v/>
      </c>
      <c r="J372" s="279">
        <f>IF(J$1=0,"",IF($B372&lt;J$23,J371+PPMT(J$26/12,$B372,J$23,J$235,-J$27,0),IF($B372=J$23,J371+PPMT(J$26/12,$B372,J$23,J$235,-J$27,0)-J$27,0)))</f>
        <v/>
      </c>
      <c r="K372" s="279">
        <f>IF(K$1=0,"",IF($B372&lt;K$23,K371+PPMT(K$26/12,$B372,K$23,K$235,-K$27,0),IF($B372=K$23,K371+PPMT(K$26/12,$B372,K$23,K$235,-K$27,0)-K$27,0)))</f>
        <v/>
      </c>
      <c r="L372" s="279">
        <f>IF(L$1=0,"",IF($B372&lt;L$23,L371+PPMT(L$26/12,$B372,L$23,L$235,-L$27,0),IF($B372=L$23,L371+PPMT(L$26/12,$B372,L$23,L$235,-L$27,0)-L$27,0)))</f>
        <v/>
      </c>
      <c r="M372" s="279">
        <f>IF(M$1=0,"",IF($B372&lt;M$23,M371+PPMT(M$26/12,$B372,M$23,M$235,-M$27,0),IF($B372=M$23,M371+PPMT(M$26/12,$B372,M$23,M$235,-M$27,0)-M$27,0)))</f>
        <v/>
      </c>
      <c r="N372" s="280" t="n"/>
      <c r="O372" s="281" t="n"/>
    </row>
    <row r="373" hidden="1" outlineLevel="1">
      <c r="B373" s="2">
        <f>B372+1</f>
        <v/>
      </c>
      <c r="D373" s="279">
        <f>IF(B373&lt;$D$24,(+CALCULETTE!G770/CALCULETTE!$B$612),0)</f>
        <v/>
      </c>
      <c r="E373" s="279">
        <f>IF(E$1=0,"",IF($B373&lt;E$23,E372+PPMT(E$26/12,$B373,E$23,E$235,-E$27,0),IF($B373=E$23,E372+PPMT(E$26/12,$B373,E$23,E$235,-E$27,0)-E$27,0)))</f>
        <v/>
      </c>
      <c r="F373" s="279">
        <f>IF(F$1=0,"",IF($B373&lt;F$23,F372+PPMT(F$26/12,$B373,F$23,F$235,-F$27,0),IF($B373=F$23,F372+PPMT(F$26/12,$B373,F$23,F$235,-F$27,0)-F$27,0)))</f>
        <v/>
      </c>
      <c r="G373" s="279">
        <f>IF(G$1=0,"",IF($B373&lt;G$23,G372+PPMT(G$26/12,$B373,G$23,G$235,-G$27,0),IF($B373=G$23,G372+PPMT(G$26/12,$B373,G$23,G$235,-G$27,0)-G$27,0)))</f>
        <v/>
      </c>
      <c r="H373" s="279">
        <f>IF(H$1=0,"",IF($B373&lt;H$23,H372+PPMT(H$26/12,$B373,H$23,H$235,-H$27,0),IF($B373=H$23,H372+PPMT(H$26/12,$B373,H$23,H$235,-H$27,0)-H$27,0)))</f>
        <v/>
      </c>
      <c r="I373" s="279">
        <f>IF(I$1=0,"",IF($B373&lt;I$23,I372+PPMT(I$26/12,$B373,I$23,I$235,-I$27,0),IF($B373=I$23,I372+PPMT(I$26/12,$B373,I$23,I$235,-I$27,0)-I$27,0)))</f>
        <v/>
      </c>
      <c r="J373" s="279">
        <f>IF(J$1=0,"",IF($B373&lt;J$23,J372+PPMT(J$26/12,$B373,J$23,J$235,-J$27,0),IF($B373=J$23,J372+PPMT(J$26/12,$B373,J$23,J$235,-J$27,0)-J$27,0)))</f>
        <v/>
      </c>
      <c r="K373" s="279">
        <f>IF(K$1=0,"",IF($B373&lt;K$23,K372+PPMT(K$26/12,$B373,K$23,K$235,-K$27,0),IF($B373=K$23,K372+PPMT(K$26/12,$B373,K$23,K$235,-K$27,0)-K$27,0)))</f>
        <v/>
      </c>
      <c r="L373" s="279">
        <f>IF(L$1=0,"",IF($B373&lt;L$23,L372+PPMT(L$26/12,$B373,L$23,L$235,-L$27,0),IF($B373=L$23,L372+PPMT(L$26/12,$B373,L$23,L$235,-L$27,0)-L$27,0)))</f>
        <v/>
      </c>
      <c r="M373" s="279">
        <f>IF(M$1=0,"",IF($B373&lt;M$23,M372+PPMT(M$26/12,$B373,M$23,M$235,-M$27,0),IF($B373=M$23,M372+PPMT(M$26/12,$B373,M$23,M$235,-M$27,0)-M$27,0)))</f>
        <v/>
      </c>
      <c r="N373" s="280" t="n"/>
      <c r="O373" s="281" t="n"/>
    </row>
    <row r="374" hidden="1" outlineLevel="1">
      <c r="B374" s="2">
        <f>B373+1</f>
        <v/>
      </c>
      <c r="D374" s="279">
        <f>IF(B374&lt;$D$24,(+CALCULETTE!G771/CALCULETTE!$B$612),0)</f>
        <v/>
      </c>
      <c r="E374" s="279">
        <f>IF(E$1=0,"",IF($B374&lt;E$23,E373+PPMT(E$26/12,$B374,E$23,E$235,-E$27,0),IF($B374=E$23,E373+PPMT(E$26/12,$B374,E$23,E$235,-E$27,0)-E$27,0)))</f>
        <v/>
      </c>
      <c r="F374" s="279">
        <f>IF(F$1=0,"",IF($B374&lt;F$23,F373+PPMT(F$26/12,$B374,F$23,F$235,-F$27,0),IF($B374=F$23,F373+PPMT(F$26/12,$B374,F$23,F$235,-F$27,0)-F$27,0)))</f>
        <v/>
      </c>
      <c r="G374" s="279">
        <f>IF(G$1=0,"",IF($B374&lt;G$23,G373+PPMT(G$26/12,$B374,G$23,G$235,-G$27,0),IF($B374=G$23,G373+PPMT(G$26/12,$B374,G$23,G$235,-G$27,0)-G$27,0)))</f>
        <v/>
      </c>
      <c r="H374" s="279">
        <f>IF(H$1=0,"",IF($B374&lt;H$23,H373+PPMT(H$26/12,$B374,H$23,H$235,-H$27,0),IF($B374=H$23,H373+PPMT(H$26/12,$B374,H$23,H$235,-H$27,0)-H$27,0)))</f>
        <v/>
      </c>
      <c r="I374" s="279">
        <f>IF(I$1=0,"",IF($B374&lt;I$23,I373+PPMT(I$26/12,$B374,I$23,I$235,-I$27,0),IF($B374=I$23,I373+PPMT(I$26/12,$B374,I$23,I$235,-I$27,0)-I$27,0)))</f>
        <v/>
      </c>
      <c r="J374" s="279">
        <f>IF(J$1=0,"",IF($B374&lt;J$23,J373+PPMT(J$26/12,$B374,J$23,J$235,-J$27,0),IF($B374=J$23,J373+PPMT(J$26/12,$B374,J$23,J$235,-J$27,0)-J$27,0)))</f>
        <v/>
      </c>
      <c r="K374" s="279">
        <f>IF(K$1=0,"",IF($B374&lt;K$23,K373+PPMT(K$26/12,$B374,K$23,K$235,-K$27,0),IF($B374=K$23,K373+PPMT(K$26/12,$B374,K$23,K$235,-K$27,0)-K$27,0)))</f>
        <v/>
      </c>
      <c r="L374" s="279">
        <f>IF(L$1=0,"",IF($B374&lt;L$23,L373+PPMT(L$26/12,$B374,L$23,L$235,-L$27,0),IF($B374=L$23,L373+PPMT(L$26/12,$B374,L$23,L$235,-L$27,0)-L$27,0)))</f>
        <v/>
      </c>
      <c r="M374" s="279">
        <f>IF(M$1=0,"",IF($B374&lt;M$23,M373+PPMT(M$26/12,$B374,M$23,M$235,-M$27,0),IF($B374=M$23,M373+PPMT(M$26/12,$B374,M$23,M$235,-M$27,0)-M$27,0)))</f>
        <v/>
      </c>
      <c r="N374" s="280" t="n"/>
      <c r="O374" s="281" t="n"/>
    </row>
    <row r="375" hidden="1" outlineLevel="1">
      <c r="B375" s="2">
        <f>B374+1</f>
        <v/>
      </c>
      <c r="D375" s="279">
        <f>IF(B375&lt;$D$24,(+CALCULETTE!G772/CALCULETTE!$B$612),0)</f>
        <v/>
      </c>
      <c r="E375" s="279">
        <f>IF(E$1=0,"",IF($B375&lt;E$23,E374+PPMT(E$26/12,$B375,E$23,E$235,-E$27,0),IF($B375=E$23,E374+PPMT(E$26/12,$B375,E$23,E$235,-E$27,0)-E$27,0)))</f>
        <v/>
      </c>
      <c r="F375" s="279">
        <f>IF(F$1=0,"",IF($B375&lt;F$23,F374+PPMT(F$26/12,$B375,F$23,F$235,-F$27,0),IF($B375=F$23,F374+PPMT(F$26/12,$B375,F$23,F$235,-F$27,0)-F$27,0)))</f>
        <v/>
      </c>
      <c r="G375" s="279">
        <f>IF(G$1=0,"",IF($B375&lt;G$23,G374+PPMT(G$26/12,$B375,G$23,G$235,-G$27,0),IF($B375=G$23,G374+PPMT(G$26/12,$B375,G$23,G$235,-G$27,0)-G$27,0)))</f>
        <v/>
      </c>
      <c r="H375" s="279">
        <f>IF(H$1=0,"",IF($B375&lt;H$23,H374+PPMT(H$26/12,$B375,H$23,H$235,-H$27,0),IF($B375=H$23,H374+PPMT(H$26/12,$B375,H$23,H$235,-H$27,0)-H$27,0)))</f>
        <v/>
      </c>
      <c r="I375" s="279">
        <f>IF(I$1=0,"",IF($B375&lt;I$23,I374+PPMT(I$26/12,$B375,I$23,I$235,-I$27,0),IF($B375=I$23,I374+PPMT(I$26/12,$B375,I$23,I$235,-I$27,0)-I$27,0)))</f>
        <v/>
      </c>
      <c r="J375" s="279">
        <f>IF(J$1=0,"",IF($B375&lt;J$23,J374+PPMT(J$26/12,$B375,J$23,J$235,-J$27,0),IF($B375=J$23,J374+PPMT(J$26/12,$B375,J$23,J$235,-J$27,0)-J$27,0)))</f>
        <v/>
      </c>
      <c r="K375" s="279">
        <f>IF(K$1=0,"",IF($B375&lt;K$23,K374+PPMT(K$26/12,$B375,K$23,K$235,-K$27,0),IF($B375=K$23,K374+PPMT(K$26/12,$B375,K$23,K$235,-K$27,0)-K$27,0)))</f>
        <v/>
      </c>
      <c r="L375" s="279">
        <f>IF(L$1=0,"",IF($B375&lt;L$23,L374+PPMT(L$26/12,$B375,L$23,L$235,-L$27,0),IF($B375=L$23,L374+PPMT(L$26/12,$B375,L$23,L$235,-L$27,0)-L$27,0)))</f>
        <v/>
      </c>
      <c r="M375" s="279">
        <f>IF(M$1=0,"",IF($B375&lt;M$23,M374+PPMT(M$26/12,$B375,M$23,M$235,-M$27,0),IF($B375=M$23,M374+PPMT(M$26/12,$B375,M$23,M$235,-M$27,0)-M$27,0)))</f>
        <v/>
      </c>
      <c r="N375" s="280" t="n"/>
      <c r="O375" s="281" t="n"/>
    </row>
    <row r="376" hidden="1" outlineLevel="1">
      <c r="B376" s="2">
        <f>B375+1</f>
        <v/>
      </c>
      <c r="D376" s="279">
        <f>IF(B376&lt;$D$24,(+CALCULETTE!G773/CALCULETTE!$B$612),0)</f>
        <v/>
      </c>
      <c r="E376" s="279">
        <f>IF(E$1=0,"",IF($B376&lt;E$23,E375+PPMT(E$26/12,$B376,E$23,E$235,-E$27,0),IF($B376=E$23,E375+PPMT(E$26/12,$B376,E$23,E$235,-E$27,0)-E$27,0)))</f>
        <v/>
      </c>
      <c r="F376" s="279">
        <f>IF(F$1=0,"",IF($B376&lt;F$23,F375+PPMT(F$26/12,$B376,F$23,F$235,-F$27,0),IF($B376=F$23,F375+PPMT(F$26/12,$B376,F$23,F$235,-F$27,0)-F$27,0)))</f>
        <v/>
      </c>
      <c r="G376" s="279">
        <f>IF(G$1=0,"",IF($B376&lt;G$23,G375+PPMT(G$26/12,$B376,G$23,G$235,-G$27,0),IF($B376=G$23,G375+PPMT(G$26/12,$B376,G$23,G$235,-G$27,0)-G$27,0)))</f>
        <v/>
      </c>
      <c r="H376" s="279">
        <f>IF(H$1=0,"",IF($B376&lt;H$23,H375+PPMT(H$26/12,$B376,H$23,H$235,-H$27,0),IF($B376=H$23,H375+PPMT(H$26/12,$B376,H$23,H$235,-H$27,0)-H$27,0)))</f>
        <v/>
      </c>
      <c r="I376" s="279">
        <f>IF(I$1=0,"",IF($B376&lt;I$23,I375+PPMT(I$26/12,$B376,I$23,I$235,-I$27,0),IF($B376=I$23,I375+PPMT(I$26/12,$B376,I$23,I$235,-I$27,0)-I$27,0)))</f>
        <v/>
      </c>
      <c r="J376" s="279">
        <f>IF(J$1=0,"",IF($B376&lt;J$23,J375+PPMT(J$26/12,$B376,J$23,J$235,-J$27,0),IF($B376=J$23,J375+PPMT(J$26/12,$B376,J$23,J$235,-J$27,0)-J$27,0)))</f>
        <v/>
      </c>
      <c r="K376" s="279">
        <f>IF(K$1=0,"",IF($B376&lt;K$23,K375+PPMT(K$26/12,$B376,K$23,K$235,-K$27,0),IF($B376=K$23,K375+PPMT(K$26/12,$B376,K$23,K$235,-K$27,0)-K$27,0)))</f>
        <v/>
      </c>
      <c r="L376" s="279">
        <f>IF(L$1=0,"",IF($B376&lt;L$23,L375+PPMT(L$26/12,$B376,L$23,L$235,-L$27,0),IF($B376=L$23,L375+PPMT(L$26/12,$B376,L$23,L$235,-L$27,0)-L$27,0)))</f>
        <v/>
      </c>
      <c r="M376" s="279">
        <f>IF(M$1=0,"",IF($B376&lt;M$23,M375+PPMT(M$26/12,$B376,M$23,M$235,-M$27,0),IF($B376=M$23,M375+PPMT(M$26/12,$B376,M$23,M$235,-M$27,0)-M$27,0)))</f>
        <v/>
      </c>
      <c r="N376" s="280" t="n"/>
      <c r="O376" s="281" t="n"/>
    </row>
    <row r="377" hidden="1" outlineLevel="1">
      <c r="B377" s="2">
        <f>B376+1</f>
        <v/>
      </c>
      <c r="D377" s="279">
        <f>IF(B377&lt;$D$24,(+CALCULETTE!G774/CALCULETTE!$B$612),0)</f>
        <v/>
      </c>
      <c r="E377" s="279">
        <f>IF(E$1=0,"",IF($B377&lt;E$23,E376+PPMT(E$26/12,$B377,E$23,E$235,-E$27,0),IF($B377=E$23,E376+PPMT(E$26/12,$B377,E$23,E$235,-E$27,0)-E$27,0)))</f>
        <v/>
      </c>
      <c r="F377" s="279">
        <f>IF(F$1=0,"",IF($B377&lt;F$23,F376+PPMT(F$26/12,$B377,F$23,F$235,-F$27,0),IF($B377=F$23,F376+PPMT(F$26/12,$B377,F$23,F$235,-F$27,0)-F$27,0)))</f>
        <v/>
      </c>
      <c r="G377" s="279">
        <f>IF(G$1=0,"",IF($B377&lt;G$23,G376+PPMT(G$26/12,$B377,G$23,G$235,-G$27,0),IF($B377=G$23,G376+PPMT(G$26/12,$B377,G$23,G$235,-G$27,0)-G$27,0)))</f>
        <v/>
      </c>
      <c r="H377" s="279">
        <f>IF(H$1=0,"",IF($B377&lt;H$23,H376+PPMT(H$26/12,$B377,H$23,H$235,-H$27,0),IF($B377=H$23,H376+PPMT(H$26/12,$B377,H$23,H$235,-H$27,0)-H$27,0)))</f>
        <v/>
      </c>
      <c r="I377" s="279">
        <f>IF(I$1=0,"",IF($B377&lt;I$23,I376+PPMT(I$26/12,$B377,I$23,I$235,-I$27,0),IF($B377=I$23,I376+PPMT(I$26/12,$B377,I$23,I$235,-I$27,0)-I$27,0)))</f>
        <v/>
      </c>
      <c r="J377" s="279">
        <f>IF(J$1=0,"",IF($B377&lt;J$23,J376+PPMT(J$26/12,$B377,J$23,J$235,-J$27,0),IF($B377=J$23,J376+PPMT(J$26/12,$B377,J$23,J$235,-J$27,0)-J$27,0)))</f>
        <v/>
      </c>
      <c r="K377" s="279">
        <f>IF(K$1=0,"",IF($B377&lt;K$23,K376+PPMT(K$26/12,$B377,K$23,K$235,-K$27,0),IF($B377=K$23,K376+PPMT(K$26/12,$B377,K$23,K$235,-K$27,0)-K$27,0)))</f>
        <v/>
      </c>
      <c r="L377" s="279">
        <f>IF(L$1=0,"",IF($B377&lt;L$23,L376+PPMT(L$26/12,$B377,L$23,L$235,-L$27,0),IF($B377=L$23,L376+PPMT(L$26/12,$B377,L$23,L$235,-L$27,0)-L$27,0)))</f>
        <v/>
      </c>
      <c r="M377" s="279">
        <f>IF(M$1=0,"",IF($B377&lt;M$23,M376+PPMT(M$26/12,$B377,M$23,M$235,-M$27,0),IF($B377=M$23,M376+PPMT(M$26/12,$B377,M$23,M$235,-M$27,0)-M$27,0)))</f>
        <v/>
      </c>
      <c r="N377" s="280" t="n"/>
      <c r="O377" s="281" t="n"/>
    </row>
    <row r="378" hidden="1" outlineLevel="1">
      <c r="B378" s="2">
        <f>B377+1</f>
        <v/>
      </c>
      <c r="D378" s="279">
        <f>IF(B378&lt;$D$24,(+CALCULETTE!G775/CALCULETTE!$B$612),0)</f>
        <v/>
      </c>
      <c r="E378" s="279">
        <f>IF(E$1=0,"",IF($B378&lt;E$23,E377+PPMT(E$26/12,$B378,E$23,E$235,-E$27,0),IF($B378=E$23,E377+PPMT(E$26/12,$B378,E$23,E$235,-E$27,0)-E$27,0)))</f>
        <v/>
      </c>
      <c r="F378" s="279">
        <f>IF(F$1=0,"",IF($B378&lt;F$23,F377+PPMT(F$26/12,$B378,F$23,F$235,-F$27,0),IF($B378=F$23,F377+PPMT(F$26/12,$B378,F$23,F$235,-F$27,0)-F$27,0)))</f>
        <v/>
      </c>
      <c r="G378" s="279">
        <f>IF(G$1=0,"",IF($B378&lt;G$23,G377+PPMT(G$26/12,$B378,G$23,G$235,-G$27,0),IF($B378=G$23,G377+PPMT(G$26/12,$B378,G$23,G$235,-G$27,0)-G$27,0)))</f>
        <v/>
      </c>
      <c r="H378" s="279">
        <f>IF(H$1=0,"",IF($B378&lt;H$23,H377+PPMT(H$26/12,$B378,H$23,H$235,-H$27,0),IF($B378=H$23,H377+PPMT(H$26/12,$B378,H$23,H$235,-H$27,0)-H$27,0)))</f>
        <v/>
      </c>
      <c r="I378" s="279">
        <f>IF(I$1=0,"",IF($B378&lt;I$23,I377+PPMT(I$26/12,$B378,I$23,I$235,-I$27,0),IF($B378=I$23,I377+PPMT(I$26/12,$B378,I$23,I$235,-I$27,0)-I$27,0)))</f>
        <v/>
      </c>
      <c r="J378" s="279">
        <f>IF(J$1=0,"",IF($B378&lt;J$23,J377+PPMT(J$26/12,$B378,J$23,J$235,-J$27,0),IF($B378=J$23,J377+PPMT(J$26/12,$B378,J$23,J$235,-J$27,0)-J$27,0)))</f>
        <v/>
      </c>
      <c r="K378" s="279">
        <f>IF(K$1=0,"",IF($B378&lt;K$23,K377+PPMT(K$26/12,$B378,K$23,K$235,-K$27,0),IF($B378=K$23,K377+PPMT(K$26/12,$B378,K$23,K$235,-K$27,0)-K$27,0)))</f>
        <v/>
      </c>
      <c r="L378" s="279">
        <f>IF(L$1=0,"",IF($B378&lt;L$23,L377+PPMT(L$26/12,$B378,L$23,L$235,-L$27,0),IF($B378=L$23,L377+PPMT(L$26/12,$B378,L$23,L$235,-L$27,0)-L$27,0)))</f>
        <v/>
      </c>
      <c r="M378" s="279">
        <f>IF(M$1=0,"",IF($B378&lt;M$23,M377+PPMT(M$26/12,$B378,M$23,M$235,-M$27,0),IF($B378=M$23,M377+PPMT(M$26/12,$B378,M$23,M$235,-M$27,0)-M$27,0)))</f>
        <v/>
      </c>
      <c r="N378" s="280" t="n"/>
      <c r="O378" s="281" t="n"/>
    </row>
    <row r="379" hidden="1" outlineLevel="1">
      <c r="B379" s="2">
        <f>B378+1</f>
        <v/>
      </c>
      <c r="D379" s="279">
        <f>IF(B379&lt;$D$24,(+CALCULETTE!G776/CALCULETTE!$B$612),0)</f>
        <v/>
      </c>
      <c r="E379" s="279">
        <f>IF(E$1=0,"",IF($B379&lt;E$23,E378+PPMT(E$26/12,$B379,E$23,E$235,-E$27,0),IF($B379=E$23,E378+PPMT(E$26/12,$B379,E$23,E$235,-E$27,0)-E$27,0)))</f>
        <v/>
      </c>
      <c r="F379" s="279">
        <f>IF(F$1=0,"",IF($B379&lt;F$23,F378+PPMT(F$26/12,$B379,F$23,F$235,-F$27,0),IF($B379=F$23,F378+PPMT(F$26/12,$B379,F$23,F$235,-F$27,0)-F$27,0)))</f>
        <v/>
      </c>
      <c r="G379" s="279">
        <f>IF(G$1=0,"",IF($B379&lt;G$23,G378+PPMT(G$26/12,$B379,G$23,G$235,-G$27,0),IF($B379=G$23,G378+PPMT(G$26/12,$B379,G$23,G$235,-G$27,0)-G$27,0)))</f>
        <v/>
      </c>
      <c r="H379" s="279">
        <f>IF(H$1=0,"",IF($B379&lt;H$23,H378+PPMT(H$26/12,$B379,H$23,H$235,-H$27,0),IF($B379=H$23,H378+PPMT(H$26/12,$B379,H$23,H$235,-H$27,0)-H$27,0)))</f>
        <v/>
      </c>
      <c r="I379" s="279">
        <f>IF(I$1=0,"",IF($B379&lt;I$23,I378+PPMT(I$26/12,$B379,I$23,I$235,-I$27,0),IF($B379=I$23,I378+PPMT(I$26/12,$B379,I$23,I$235,-I$27,0)-I$27,0)))</f>
        <v/>
      </c>
      <c r="J379" s="279">
        <f>IF(J$1=0,"",IF($B379&lt;J$23,J378+PPMT(J$26/12,$B379,J$23,J$235,-J$27,0),IF($B379=J$23,J378+PPMT(J$26/12,$B379,J$23,J$235,-J$27,0)-J$27,0)))</f>
        <v/>
      </c>
      <c r="K379" s="279">
        <f>IF(K$1=0,"",IF($B379&lt;K$23,K378+PPMT(K$26/12,$B379,K$23,K$235,-K$27,0),IF($B379=K$23,K378+PPMT(K$26/12,$B379,K$23,K$235,-K$27,0)-K$27,0)))</f>
        <v/>
      </c>
      <c r="L379" s="279">
        <f>IF(L$1=0,"",IF($B379&lt;L$23,L378+PPMT(L$26/12,$B379,L$23,L$235,-L$27,0),IF($B379=L$23,L378+PPMT(L$26/12,$B379,L$23,L$235,-L$27,0)-L$27,0)))</f>
        <v/>
      </c>
      <c r="M379" s="279">
        <f>IF(M$1=0,"",IF($B379&lt;M$23,M378+PPMT(M$26/12,$B379,M$23,M$235,-M$27,0),IF($B379=M$23,M378+PPMT(M$26/12,$B379,M$23,M$235,-M$27,0)-M$27,0)))</f>
        <v/>
      </c>
      <c r="N379" s="280" t="n"/>
      <c r="O379" s="281" t="n"/>
    </row>
    <row r="380" hidden="1" outlineLevel="1">
      <c r="B380" s="2">
        <f>B379+1</f>
        <v/>
      </c>
      <c r="D380" s="279">
        <f>IF(B380&lt;$D$24,(+CALCULETTE!G777/CALCULETTE!$B$612),0)</f>
        <v/>
      </c>
      <c r="E380" s="279">
        <f>IF(E$1=0,"",IF($B380&lt;E$23,E379+PPMT(E$26/12,$B380,E$23,E$235,-E$27,0),IF($B380=E$23,E379+PPMT(E$26/12,$B380,E$23,E$235,-E$27,0)-E$27,0)))</f>
        <v/>
      </c>
      <c r="F380" s="279">
        <f>IF(F$1=0,"",IF($B380&lt;F$23,F379+PPMT(F$26/12,$B380,F$23,F$235,-F$27,0),IF($B380=F$23,F379+PPMT(F$26/12,$B380,F$23,F$235,-F$27,0)-F$27,0)))</f>
        <v/>
      </c>
      <c r="G380" s="279">
        <f>IF(G$1=0,"",IF($B380&lt;G$23,G379+PPMT(G$26/12,$B380,G$23,G$235,-G$27,0),IF($B380=G$23,G379+PPMT(G$26/12,$B380,G$23,G$235,-G$27,0)-G$27,0)))</f>
        <v/>
      </c>
      <c r="H380" s="279">
        <f>IF(H$1=0,"",IF($B380&lt;H$23,H379+PPMT(H$26/12,$B380,H$23,H$235,-H$27,0),IF($B380=H$23,H379+PPMT(H$26/12,$B380,H$23,H$235,-H$27,0)-H$27,0)))</f>
        <v/>
      </c>
      <c r="I380" s="279">
        <f>IF(I$1=0,"",IF($B380&lt;I$23,I379+PPMT(I$26/12,$B380,I$23,I$235,-I$27,0),IF($B380=I$23,I379+PPMT(I$26/12,$B380,I$23,I$235,-I$27,0)-I$27,0)))</f>
        <v/>
      </c>
      <c r="J380" s="279">
        <f>IF(J$1=0,"",IF($B380&lt;J$23,J379+PPMT(J$26/12,$B380,J$23,J$235,-J$27,0),IF($B380=J$23,J379+PPMT(J$26/12,$B380,J$23,J$235,-J$27,0)-J$27,0)))</f>
        <v/>
      </c>
      <c r="K380" s="279">
        <f>IF(K$1=0,"",IF($B380&lt;K$23,K379+PPMT(K$26/12,$B380,K$23,K$235,-K$27,0),IF($B380=K$23,K379+PPMT(K$26/12,$B380,K$23,K$235,-K$27,0)-K$27,0)))</f>
        <v/>
      </c>
      <c r="L380" s="279">
        <f>IF(L$1=0,"",IF($B380&lt;L$23,L379+PPMT(L$26/12,$B380,L$23,L$235,-L$27,0),IF($B380=L$23,L379+PPMT(L$26/12,$B380,L$23,L$235,-L$27,0)-L$27,0)))</f>
        <v/>
      </c>
      <c r="M380" s="279">
        <f>IF(M$1=0,"",IF($B380&lt;M$23,M379+PPMT(M$26/12,$B380,M$23,M$235,-M$27,0),IF($B380=M$23,M379+PPMT(M$26/12,$B380,M$23,M$235,-M$27,0)-M$27,0)))</f>
        <v/>
      </c>
      <c r="N380" s="280" t="n"/>
      <c r="O380" s="281" t="n"/>
    </row>
    <row r="381" hidden="1" outlineLevel="1">
      <c r="B381" s="2">
        <f>B380+1</f>
        <v/>
      </c>
      <c r="D381" s="279">
        <f>IF(B381&lt;$D$24,(+CALCULETTE!G778/CALCULETTE!$B$612),0)</f>
        <v/>
      </c>
      <c r="E381" s="279">
        <f>IF(E$1=0,"",IF($B381&lt;E$23,E380+PPMT(E$26/12,$B381,E$23,E$235,-E$27,0),IF($B381=E$23,E380+PPMT(E$26/12,$B381,E$23,E$235,-E$27,0)-E$27,0)))</f>
        <v/>
      </c>
      <c r="F381" s="279">
        <f>IF(F$1=0,"",IF($B381&lt;F$23,F380+PPMT(F$26/12,$B381,F$23,F$235,-F$27,0),IF($B381=F$23,F380+PPMT(F$26/12,$B381,F$23,F$235,-F$27,0)-F$27,0)))</f>
        <v/>
      </c>
      <c r="G381" s="279">
        <f>IF(G$1=0,"",IF($B381&lt;G$23,G380+PPMT(G$26/12,$B381,G$23,G$235,-G$27,0),IF($B381=G$23,G380+PPMT(G$26/12,$B381,G$23,G$235,-G$27,0)-G$27,0)))</f>
        <v/>
      </c>
      <c r="H381" s="279">
        <f>IF(H$1=0,"",IF($B381&lt;H$23,H380+PPMT(H$26/12,$B381,H$23,H$235,-H$27,0),IF($B381=H$23,H380+PPMT(H$26/12,$B381,H$23,H$235,-H$27,0)-H$27,0)))</f>
        <v/>
      </c>
      <c r="I381" s="279">
        <f>IF(I$1=0,"",IF($B381&lt;I$23,I380+PPMT(I$26/12,$B381,I$23,I$235,-I$27,0),IF($B381=I$23,I380+PPMT(I$26/12,$B381,I$23,I$235,-I$27,0)-I$27,0)))</f>
        <v/>
      </c>
      <c r="J381" s="279">
        <f>IF(J$1=0,"",IF($B381&lt;J$23,J380+PPMT(J$26/12,$B381,J$23,J$235,-J$27,0),IF($B381=J$23,J380+PPMT(J$26/12,$B381,J$23,J$235,-J$27,0)-J$27,0)))</f>
        <v/>
      </c>
      <c r="K381" s="279">
        <f>IF(K$1=0,"",IF($B381&lt;K$23,K380+PPMT(K$26/12,$B381,K$23,K$235,-K$27,0),IF($B381=K$23,K380+PPMT(K$26/12,$B381,K$23,K$235,-K$27,0)-K$27,0)))</f>
        <v/>
      </c>
      <c r="L381" s="279">
        <f>IF(L$1=0,"",IF($B381&lt;L$23,L380+PPMT(L$26/12,$B381,L$23,L$235,-L$27,0),IF($B381=L$23,L380+PPMT(L$26/12,$B381,L$23,L$235,-L$27,0)-L$27,0)))</f>
        <v/>
      </c>
      <c r="M381" s="279">
        <f>IF(M$1=0,"",IF($B381&lt;M$23,M380+PPMT(M$26/12,$B381,M$23,M$235,-M$27,0),IF($B381=M$23,M380+PPMT(M$26/12,$B381,M$23,M$235,-M$27,0)-M$27,0)))</f>
        <v/>
      </c>
      <c r="N381" s="280" t="n"/>
      <c r="O381" s="281" t="n"/>
    </row>
    <row r="382" hidden="1" outlineLevel="1">
      <c r="B382" s="2">
        <f>B381+1</f>
        <v/>
      </c>
      <c r="D382" s="279">
        <f>IF(B382&lt;$D$24,(+CALCULETTE!G779/CALCULETTE!$B$612),0)</f>
        <v/>
      </c>
      <c r="E382" s="279">
        <f>IF(E$1=0,"",IF($B382&lt;E$23,E381+PPMT(E$26/12,$B382,E$23,E$235,-E$27,0),IF($B382=E$23,E381+PPMT(E$26/12,$B382,E$23,E$235,-E$27,0)-E$27,0)))</f>
        <v/>
      </c>
      <c r="F382" s="279">
        <f>IF(F$1=0,"",IF($B382&lt;F$23,F381+PPMT(F$26/12,$B382,F$23,F$235,-F$27,0),IF($B382=F$23,F381+PPMT(F$26/12,$B382,F$23,F$235,-F$27,0)-F$27,0)))</f>
        <v/>
      </c>
      <c r="G382" s="279">
        <f>IF(G$1=0,"",IF($B382&lt;G$23,G381+PPMT(G$26/12,$B382,G$23,G$235,-G$27,0),IF($B382=G$23,G381+PPMT(G$26/12,$B382,G$23,G$235,-G$27,0)-G$27,0)))</f>
        <v/>
      </c>
      <c r="H382" s="279">
        <f>IF(H$1=0,"",IF($B382&lt;H$23,H381+PPMT(H$26/12,$B382,H$23,H$235,-H$27,0),IF($B382=H$23,H381+PPMT(H$26/12,$B382,H$23,H$235,-H$27,0)-H$27,0)))</f>
        <v/>
      </c>
      <c r="I382" s="279">
        <f>IF(I$1=0,"",IF($B382&lt;I$23,I381+PPMT(I$26/12,$B382,I$23,I$235,-I$27,0),IF($B382=I$23,I381+PPMT(I$26/12,$B382,I$23,I$235,-I$27,0)-I$27,0)))</f>
        <v/>
      </c>
      <c r="J382" s="279">
        <f>IF(J$1=0,"",IF($B382&lt;J$23,J381+PPMT(J$26/12,$B382,J$23,J$235,-J$27,0),IF($B382=J$23,J381+PPMT(J$26/12,$B382,J$23,J$235,-J$27,0)-J$27,0)))</f>
        <v/>
      </c>
      <c r="K382" s="279">
        <f>IF(K$1=0,"",IF($B382&lt;K$23,K381+PPMT(K$26/12,$B382,K$23,K$235,-K$27,0),IF($B382=K$23,K381+PPMT(K$26/12,$B382,K$23,K$235,-K$27,0)-K$27,0)))</f>
        <v/>
      </c>
      <c r="L382" s="279">
        <f>IF(L$1=0,"",IF($B382&lt;L$23,L381+PPMT(L$26/12,$B382,L$23,L$235,-L$27,0),IF($B382=L$23,L381+PPMT(L$26/12,$B382,L$23,L$235,-L$27,0)-L$27,0)))</f>
        <v/>
      </c>
      <c r="M382" s="279">
        <f>IF(M$1=0,"",IF($B382&lt;M$23,M381+PPMT(M$26/12,$B382,M$23,M$235,-M$27,0),IF($B382=M$23,M381+PPMT(M$26/12,$B382,M$23,M$235,-M$27,0)-M$27,0)))</f>
        <v/>
      </c>
      <c r="N382" s="280" t="n"/>
      <c r="O382" s="281" t="n"/>
    </row>
    <row r="383" hidden="1" outlineLevel="1">
      <c r="B383" s="2">
        <f>B382+1</f>
        <v/>
      </c>
      <c r="D383" s="279">
        <f>IF(B383&lt;$D$24,(+CALCULETTE!G780/CALCULETTE!$B$612),0)</f>
        <v/>
      </c>
      <c r="E383" s="279">
        <f>IF(E$1=0,"",IF($B383&lt;E$23,E382+PPMT(E$26/12,$B383,E$23,E$235,-E$27,0),IF($B383=E$23,E382+PPMT(E$26/12,$B383,E$23,E$235,-E$27,0)-E$27,0)))</f>
        <v/>
      </c>
      <c r="F383" s="279">
        <f>IF(F$1=0,"",IF($B383&lt;F$23,F382+PPMT(F$26/12,$B383,F$23,F$235,-F$27,0),IF($B383=F$23,F382+PPMT(F$26/12,$B383,F$23,F$235,-F$27,0)-F$27,0)))</f>
        <v/>
      </c>
      <c r="G383" s="279">
        <f>IF(G$1=0,"",IF($B383&lt;G$23,G382+PPMT(G$26/12,$B383,G$23,G$235,-G$27,0),IF($B383=G$23,G382+PPMT(G$26/12,$B383,G$23,G$235,-G$27,0)-G$27,0)))</f>
        <v/>
      </c>
      <c r="H383" s="279">
        <f>IF(H$1=0,"",IF($B383&lt;H$23,H382+PPMT(H$26/12,$B383,H$23,H$235,-H$27,0),IF($B383=H$23,H382+PPMT(H$26/12,$B383,H$23,H$235,-H$27,0)-H$27,0)))</f>
        <v/>
      </c>
      <c r="I383" s="279">
        <f>IF(I$1=0,"",IF($B383&lt;I$23,I382+PPMT(I$26/12,$B383,I$23,I$235,-I$27,0),IF($B383=I$23,I382+PPMT(I$26/12,$B383,I$23,I$235,-I$27,0)-I$27,0)))</f>
        <v/>
      </c>
      <c r="J383" s="279">
        <f>IF(J$1=0,"",IF($B383&lt;J$23,J382+PPMT(J$26/12,$B383,J$23,J$235,-J$27,0),IF($B383=J$23,J382+PPMT(J$26/12,$B383,J$23,J$235,-J$27,0)-J$27,0)))</f>
        <v/>
      </c>
      <c r="K383" s="279">
        <f>IF(K$1=0,"",IF($B383&lt;K$23,K382+PPMT(K$26/12,$B383,K$23,K$235,-K$27,0),IF($B383=K$23,K382+PPMT(K$26/12,$B383,K$23,K$235,-K$27,0)-K$27,0)))</f>
        <v/>
      </c>
      <c r="L383" s="279">
        <f>IF(L$1=0,"",IF($B383&lt;L$23,L382+PPMT(L$26/12,$B383,L$23,L$235,-L$27,0),IF($B383=L$23,L382+PPMT(L$26/12,$B383,L$23,L$235,-L$27,0)-L$27,0)))</f>
        <v/>
      </c>
      <c r="M383" s="279">
        <f>IF(M$1=0,"",IF($B383&lt;M$23,M382+PPMT(M$26/12,$B383,M$23,M$235,-M$27,0),IF($B383=M$23,M382+PPMT(M$26/12,$B383,M$23,M$235,-M$27,0)-M$27,0)))</f>
        <v/>
      </c>
      <c r="N383" s="280" t="n"/>
      <c r="O383" s="281" t="n"/>
    </row>
    <row r="384" hidden="1" outlineLevel="1">
      <c r="B384" s="2">
        <f>B383+1</f>
        <v/>
      </c>
      <c r="D384" s="279">
        <f>IF(B384&lt;$D$24,(+CALCULETTE!G781/CALCULETTE!$B$612),0)</f>
        <v/>
      </c>
      <c r="E384" s="279">
        <f>IF(E$1=0,"",IF($B384&lt;E$23,E383+PPMT(E$26/12,$B384,E$23,E$235,-E$27,0),IF($B384=E$23,E383+PPMT(E$26/12,$B384,E$23,E$235,-E$27,0)-E$27,0)))</f>
        <v/>
      </c>
      <c r="F384" s="279">
        <f>IF(F$1=0,"",IF($B384&lt;F$23,F383+PPMT(F$26/12,$B384,F$23,F$235,-F$27,0),IF($B384=F$23,F383+PPMT(F$26/12,$B384,F$23,F$235,-F$27,0)-F$27,0)))</f>
        <v/>
      </c>
      <c r="G384" s="279">
        <f>IF(G$1=0,"",IF($B384&lt;G$23,G383+PPMT(G$26/12,$B384,G$23,G$235,-G$27,0),IF($B384=G$23,G383+PPMT(G$26/12,$B384,G$23,G$235,-G$27,0)-G$27,0)))</f>
        <v/>
      </c>
      <c r="H384" s="279">
        <f>IF(H$1=0,"",IF($B384&lt;H$23,H383+PPMT(H$26/12,$B384,H$23,H$235,-H$27,0),IF($B384=H$23,H383+PPMT(H$26/12,$B384,H$23,H$235,-H$27,0)-H$27,0)))</f>
        <v/>
      </c>
      <c r="I384" s="279">
        <f>IF(I$1=0,"",IF($B384&lt;I$23,I383+PPMT(I$26/12,$B384,I$23,I$235,-I$27,0),IF($B384=I$23,I383+PPMT(I$26/12,$B384,I$23,I$235,-I$27,0)-I$27,0)))</f>
        <v/>
      </c>
      <c r="J384" s="279">
        <f>IF(J$1=0,"",IF($B384&lt;J$23,J383+PPMT(J$26/12,$B384,J$23,J$235,-J$27,0),IF($B384=J$23,J383+PPMT(J$26/12,$B384,J$23,J$235,-J$27,0)-J$27,0)))</f>
        <v/>
      </c>
      <c r="K384" s="279">
        <f>IF(K$1=0,"",IF($B384&lt;K$23,K383+PPMT(K$26/12,$B384,K$23,K$235,-K$27,0),IF($B384=K$23,K383+PPMT(K$26/12,$B384,K$23,K$235,-K$27,0)-K$27,0)))</f>
        <v/>
      </c>
      <c r="L384" s="279">
        <f>IF(L$1=0,"",IF($B384&lt;L$23,L383+PPMT(L$26/12,$B384,L$23,L$235,-L$27,0),IF($B384=L$23,L383+PPMT(L$26/12,$B384,L$23,L$235,-L$27,0)-L$27,0)))</f>
        <v/>
      </c>
      <c r="M384" s="279">
        <f>IF(M$1=0,"",IF($B384&lt;M$23,M383+PPMT(M$26/12,$B384,M$23,M$235,-M$27,0),IF($B384=M$23,M383+PPMT(M$26/12,$B384,M$23,M$235,-M$27,0)-M$27,0)))</f>
        <v/>
      </c>
      <c r="N384" s="280" t="n"/>
      <c r="O384" s="281" t="n"/>
    </row>
    <row r="385" hidden="1" outlineLevel="1">
      <c r="B385" s="2">
        <f>B384+1</f>
        <v/>
      </c>
      <c r="D385" s="279">
        <f>IF(B385&lt;$D$24,(+CALCULETTE!G782/CALCULETTE!$B$612),0)</f>
        <v/>
      </c>
      <c r="E385" s="279">
        <f>IF(E$1=0,"",IF($B385&lt;E$23,E384+PPMT(E$26/12,$B385,E$23,E$235,-E$27,0),IF($B385=E$23,E384+PPMT(E$26/12,$B385,E$23,E$235,-E$27,0)-E$27,0)))</f>
        <v/>
      </c>
      <c r="F385" s="279">
        <f>IF(F$1=0,"",IF($B385&lt;F$23,F384+PPMT(F$26/12,$B385,F$23,F$235,-F$27,0),IF($B385=F$23,F384+PPMT(F$26/12,$B385,F$23,F$235,-F$27,0)-F$27,0)))</f>
        <v/>
      </c>
      <c r="G385" s="279">
        <f>IF(G$1=0,"",IF($B385&lt;G$23,G384+PPMT(G$26/12,$B385,G$23,G$235,-G$27,0),IF($B385=G$23,G384+PPMT(G$26/12,$B385,G$23,G$235,-G$27,0)-G$27,0)))</f>
        <v/>
      </c>
      <c r="H385" s="279">
        <f>IF(H$1=0,"",IF($B385&lt;H$23,H384+PPMT(H$26/12,$B385,H$23,H$235,-H$27,0),IF($B385=H$23,H384+PPMT(H$26/12,$B385,H$23,H$235,-H$27,0)-H$27,0)))</f>
        <v/>
      </c>
      <c r="I385" s="279">
        <f>IF(I$1=0,"",IF($B385&lt;I$23,I384+PPMT(I$26/12,$B385,I$23,I$235,-I$27,0),IF($B385=I$23,I384+PPMT(I$26/12,$B385,I$23,I$235,-I$27,0)-I$27,0)))</f>
        <v/>
      </c>
      <c r="J385" s="279">
        <f>IF(J$1=0,"",IF($B385&lt;J$23,J384+PPMT(J$26/12,$B385,J$23,J$235,-J$27,0),IF($B385=J$23,J384+PPMT(J$26/12,$B385,J$23,J$235,-J$27,0)-J$27,0)))</f>
        <v/>
      </c>
      <c r="K385" s="279">
        <f>IF(K$1=0,"",IF($B385&lt;K$23,K384+PPMT(K$26/12,$B385,K$23,K$235,-K$27,0),IF($B385=K$23,K384+PPMT(K$26/12,$B385,K$23,K$235,-K$27,0)-K$27,0)))</f>
        <v/>
      </c>
      <c r="L385" s="279">
        <f>IF(L$1=0,"",IF($B385&lt;L$23,L384+PPMT(L$26/12,$B385,L$23,L$235,-L$27,0),IF($B385=L$23,L384+PPMT(L$26/12,$B385,L$23,L$235,-L$27,0)-L$27,0)))</f>
        <v/>
      </c>
      <c r="M385" s="279">
        <f>IF(M$1=0,"",IF($B385&lt;M$23,M384+PPMT(M$26/12,$B385,M$23,M$235,-M$27,0),IF($B385=M$23,M384+PPMT(M$26/12,$B385,M$23,M$235,-M$27,0)-M$27,0)))</f>
        <v/>
      </c>
      <c r="N385" s="280" t="n"/>
      <c r="O385" s="281" t="n"/>
    </row>
    <row r="386" hidden="1" outlineLevel="1">
      <c r="B386" s="2">
        <f>B385+1</f>
        <v/>
      </c>
      <c r="D386" s="279">
        <f>IF(B386&lt;$D$24,(+CALCULETTE!G783/CALCULETTE!$B$612),0)</f>
        <v/>
      </c>
      <c r="E386" s="279">
        <f>IF(E$1=0,"",IF($B386&lt;E$23,E385+PPMT(E$26/12,$B386,E$23,E$235,-E$27,0),IF($B386=E$23,E385+PPMT(E$26/12,$B386,E$23,E$235,-E$27,0)-E$27,0)))</f>
        <v/>
      </c>
      <c r="F386" s="279">
        <f>IF(F$1=0,"",IF($B386&lt;F$23,F385+PPMT(F$26/12,$B386,F$23,F$235,-F$27,0),IF($B386=F$23,F385+PPMT(F$26/12,$B386,F$23,F$235,-F$27,0)-F$27,0)))</f>
        <v/>
      </c>
      <c r="G386" s="279">
        <f>IF(G$1=0,"",IF($B386&lt;G$23,G385+PPMT(G$26/12,$B386,G$23,G$235,-G$27,0),IF($B386=G$23,G385+PPMT(G$26/12,$B386,G$23,G$235,-G$27,0)-G$27,0)))</f>
        <v/>
      </c>
      <c r="H386" s="279">
        <f>IF(H$1=0,"",IF($B386&lt;H$23,H385+PPMT(H$26/12,$B386,H$23,H$235,-H$27,0),IF($B386=H$23,H385+PPMT(H$26/12,$B386,H$23,H$235,-H$27,0)-H$27,0)))</f>
        <v/>
      </c>
      <c r="I386" s="279">
        <f>IF(I$1=0,"",IF($B386&lt;I$23,I385+PPMT(I$26/12,$B386,I$23,I$235,-I$27,0),IF($B386=I$23,I385+PPMT(I$26/12,$B386,I$23,I$235,-I$27,0)-I$27,0)))</f>
        <v/>
      </c>
      <c r="J386" s="279">
        <f>IF(J$1=0,"",IF($B386&lt;J$23,J385+PPMT(J$26/12,$B386,J$23,J$235,-J$27,0),IF($B386=J$23,J385+PPMT(J$26/12,$B386,J$23,J$235,-J$27,0)-J$27,0)))</f>
        <v/>
      </c>
      <c r="K386" s="279">
        <f>IF(K$1=0,"",IF($B386&lt;K$23,K385+PPMT(K$26/12,$B386,K$23,K$235,-K$27,0),IF($B386=K$23,K385+PPMT(K$26/12,$B386,K$23,K$235,-K$27,0)-K$27,0)))</f>
        <v/>
      </c>
      <c r="L386" s="279">
        <f>IF(L$1=0,"",IF($B386&lt;L$23,L385+PPMT(L$26/12,$B386,L$23,L$235,-L$27,0),IF($B386=L$23,L385+PPMT(L$26/12,$B386,L$23,L$235,-L$27,0)-L$27,0)))</f>
        <v/>
      </c>
      <c r="M386" s="279">
        <f>IF(M$1=0,"",IF($B386&lt;M$23,M385+PPMT(M$26/12,$B386,M$23,M$235,-M$27,0),IF($B386=M$23,M385+PPMT(M$26/12,$B386,M$23,M$235,-M$27,0)-M$27,0)))</f>
        <v/>
      </c>
      <c r="N386" s="280" t="n"/>
      <c r="O386" s="281" t="n"/>
    </row>
    <row r="387" hidden="1" outlineLevel="1">
      <c r="B387" s="2">
        <f>B386+1</f>
        <v/>
      </c>
      <c r="D387" s="279">
        <f>IF(B387&lt;$D$24,(+CALCULETTE!G784/CALCULETTE!$B$612),0)</f>
        <v/>
      </c>
      <c r="E387" s="279">
        <f>IF(E$1=0,"",IF($B387&lt;E$23,E386+PPMT(E$26/12,$B387,E$23,E$235,-E$27,0),IF($B387=E$23,E386+PPMT(E$26/12,$B387,E$23,E$235,-E$27,0)-E$27,0)))</f>
        <v/>
      </c>
      <c r="F387" s="279">
        <f>IF(F$1=0,"",IF($B387&lt;F$23,F386+PPMT(F$26/12,$B387,F$23,F$235,-F$27,0),IF($B387=F$23,F386+PPMT(F$26/12,$B387,F$23,F$235,-F$27,0)-F$27,0)))</f>
        <v/>
      </c>
      <c r="G387" s="279">
        <f>IF(G$1=0,"",IF($B387&lt;G$23,G386+PPMT(G$26/12,$B387,G$23,G$235,-G$27,0),IF($B387=G$23,G386+PPMT(G$26/12,$B387,G$23,G$235,-G$27,0)-G$27,0)))</f>
        <v/>
      </c>
      <c r="H387" s="279">
        <f>IF(H$1=0,"",IF($B387&lt;H$23,H386+PPMT(H$26/12,$B387,H$23,H$235,-H$27,0),IF($B387=H$23,H386+PPMT(H$26/12,$B387,H$23,H$235,-H$27,0)-H$27,0)))</f>
        <v/>
      </c>
      <c r="I387" s="279">
        <f>IF(I$1=0,"",IF($B387&lt;I$23,I386+PPMT(I$26/12,$B387,I$23,I$235,-I$27,0),IF($B387=I$23,I386+PPMT(I$26/12,$B387,I$23,I$235,-I$27,0)-I$27,0)))</f>
        <v/>
      </c>
      <c r="J387" s="279">
        <f>IF(J$1=0,"",IF($B387&lt;J$23,J386+PPMT(J$26/12,$B387,J$23,J$235,-J$27,0),IF($B387=J$23,J386+PPMT(J$26/12,$B387,J$23,J$235,-J$27,0)-J$27,0)))</f>
        <v/>
      </c>
      <c r="K387" s="279">
        <f>IF(K$1=0,"",IF($B387&lt;K$23,K386+PPMT(K$26/12,$B387,K$23,K$235,-K$27,0),IF($B387=K$23,K386+PPMT(K$26/12,$B387,K$23,K$235,-K$27,0)-K$27,0)))</f>
        <v/>
      </c>
      <c r="L387" s="279">
        <f>IF(L$1=0,"",IF($B387&lt;L$23,L386+PPMT(L$26/12,$B387,L$23,L$235,-L$27,0),IF($B387=L$23,L386+PPMT(L$26/12,$B387,L$23,L$235,-L$27,0)-L$27,0)))</f>
        <v/>
      </c>
      <c r="M387" s="279">
        <f>IF(M$1=0,"",IF($B387&lt;M$23,M386+PPMT(M$26/12,$B387,M$23,M$235,-M$27,0),IF($B387=M$23,M386+PPMT(M$26/12,$B387,M$23,M$235,-M$27,0)-M$27,0)))</f>
        <v/>
      </c>
      <c r="N387" s="280" t="n"/>
      <c r="O387" s="281" t="n"/>
    </row>
    <row r="388" hidden="1" outlineLevel="1">
      <c r="B388" s="2">
        <f>B387+1</f>
        <v/>
      </c>
      <c r="D388" s="279">
        <f>IF(B388&lt;$D$24,(+CALCULETTE!G785/CALCULETTE!$B$612),0)</f>
        <v/>
      </c>
      <c r="E388" s="279">
        <f>IF(E$1=0,"",IF($B388&lt;E$23,E387+PPMT(E$26/12,$B388,E$23,E$235,-E$27,0),IF($B388=E$23,E387+PPMT(E$26/12,$B388,E$23,E$235,-E$27,0)-E$27,0)))</f>
        <v/>
      </c>
      <c r="F388" s="279">
        <f>IF(F$1=0,"",IF($B388&lt;F$23,F387+PPMT(F$26/12,$B388,F$23,F$235,-F$27,0),IF($B388=F$23,F387+PPMT(F$26/12,$B388,F$23,F$235,-F$27,0)-F$27,0)))</f>
        <v/>
      </c>
      <c r="G388" s="279">
        <f>IF(G$1=0,"",IF($B388&lt;G$23,G387+PPMT(G$26/12,$B388,G$23,G$235,-G$27,0),IF($B388=G$23,G387+PPMT(G$26/12,$B388,G$23,G$235,-G$27,0)-G$27,0)))</f>
        <v/>
      </c>
      <c r="H388" s="279">
        <f>IF(H$1=0,"",IF($B388&lt;H$23,H387+PPMT(H$26/12,$B388,H$23,H$235,-H$27,0),IF($B388=H$23,H387+PPMT(H$26/12,$B388,H$23,H$235,-H$27,0)-H$27,0)))</f>
        <v/>
      </c>
      <c r="I388" s="279">
        <f>IF(I$1=0,"",IF($B388&lt;I$23,I387+PPMT(I$26/12,$B388,I$23,I$235,-I$27,0),IF($B388=I$23,I387+PPMT(I$26/12,$B388,I$23,I$235,-I$27,0)-I$27,0)))</f>
        <v/>
      </c>
      <c r="J388" s="279">
        <f>IF(J$1=0,"",IF($B388&lt;J$23,J387+PPMT(J$26/12,$B388,J$23,J$235,-J$27,0),IF($B388=J$23,J387+PPMT(J$26/12,$B388,J$23,J$235,-J$27,0)-J$27,0)))</f>
        <v/>
      </c>
      <c r="K388" s="279">
        <f>IF(K$1=0,"",IF($B388&lt;K$23,K387+PPMT(K$26/12,$B388,K$23,K$235,-K$27,0),IF($B388=K$23,K387+PPMT(K$26/12,$B388,K$23,K$235,-K$27,0)-K$27,0)))</f>
        <v/>
      </c>
      <c r="L388" s="279">
        <f>IF(L$1=0,"",IF($B388&lt;L$23,L387+PPMT(L$26/12,$B388,L$23,L$235,-L$27,0),IF($B388=L$23,L387+PPMT(L$26/12,$B388,L$23,L$235,-L$27,0)-L$27,0)))</f>
        <v/>
      </c>
      <c r="M388" s="279">
        <f>IF(M$1=0,"",IF($B388&lt;M$23,M387+PPMT(M$26/12,$B388,M$23,M$235,-M$27,0),IF($B388=M$23,M387+PPMT(M$26/12,$B388,M$23,M$235,-M$27,0)-M$27,0)))</f>
        <v/>
      </c>
      <c r="N388" s="280" t="n"/>
      <c r="O388" s="281" t="n"/>
    </row>
    <row r="389" hidden="1" outlineLevel="1">
      <c r="B389" s="2">
        <f>B388+1</f>
        <v/>
      </c>
      <c r="D389" s="279">
        <f>IF(B389&lt;$D$24,(+CALCULETTE!G786/CALCULETTE!$B$612),0)</f>
        <v/>
      </c>
      <c r="E389" s="279">
        <f>IF(E$1=0,"",IF($B389&lt;E$23,E388+PPMT(E$26/12,$B389,E$23,E$235,-E$27,0),IF($B389=E$23,E388+PPMT(E$26/12,$B389,E$23,E$235,-E$27,0)-E$27,0)))</f>
        <v/>
      </c>
      <c r="F389" s="279">
        <f>IF(F$1=0,"",IF($B389&lt;F$23,F388+PPMT(F$26/12,$B389,F$23,F$235,-F$27,0),IF($B389=F$23,F388+PPMT(F$26/12,$B389,F$23,F$235,-F$27,0)-F$27,0)))</f>
        <v/>
      </c>
      <c r="G389" s="279">
        <f>IF(G$1=0,"",IF($B389&lt;G$23,G388+PPMT(G$26/12,$B389,G$23,G$235,-G$27,0),IF($B389=G$23,G388+PPMT(G$26/12,$B389,G$23,G$235,-G$27,0)-G$27,0)))</f>
        <v/>
      </c>
      <c r="H389" s="279">
        <f>IF(H$1=0,"",IF($B389&lt;H$23,H388+PPMT(H$26/12,$B389,H$23,H$235,-H$27,0),IF($B389=H$23,H388+PPMT(H$26/12,$B389,H$23,H$235,-H$27,0)-H$27,0)))</f>
        <v/>
      </c>
      <c r="I389" s="279">
        <f>IF(I$1=0,"",IF($B389&lt;I$23,I388+PPMT(I$26/12,$B389,I$23,I$235,-I$27,0),IF($B389=I$23,I388+PPMT(I$26/12,$B389,I$23,I$235,-I$27,0)-I$27,0)))</f>
        <v/>
      </c>
      <c r="J389" s="279">
        <f>IF(J$1=0,"",IF($B389&lt;J$23,J388+PPMT(J$26/12,$B389,J$23,J$235,-J$27,0),IF($B389=J$23,J388+PPMT(J$26/12,$B389,J$23,J$235,-J$27,0)-J$27,0)))</f>
        <v/>
      </c>
      <c r="K389" s="279">
        <f>IF(K$1=0,"",IF($B389&lt;K$23,K388+PPMT(K$26/12,$B389,K$23,K$235,-K$27,0),IF($B389=K$23,K388+PPMT(K$26/12,$B389,K$23,K$235,-K$27,0)-K$27,0)))</f>
        <v/>
      </c>
      <c r="L389" s="279">
        <f>IF(L$1=0,"",IF($B389&lt;L$23,L388+PPMT(L$26/12,$B389,L$23,L$235,-L$27,0),IF($B389=L$23,L388+PPMT(L$26/12,$B389,L$23,L$235,-L$27,0)-L$27,0)))</f>
        <v/>
      </c>
      <c r="M389" s="279">
        <f>IF(M$1=0,"",IF($B389&lt;M$23,M388+PPMT(M$26/12,$B389,M$23,M$235,-M$27,0),IF($B389=M$23,M388+PPMT(M$26/12,$B389,M$23,M$235,-M$27,0)-M$27,0)))</f>
        <v/>
      </c>
      <c r="N389" s="280" t="n"/>
      <c r="O389" s="281" t="n"/>
    </row>
    <row r="390" hidden="1" outlineLevel="1">
      <c r="B390" s="2">
        <f>B389+1</f>
        <v/>
      </c>
      <c r="D390" s="279">
        <f>IF(B390&lt;$D$24,(+CALCULETTE!G787/CALCULETTE!$B$612),0)</f>
        <v/>
      </c>
      <c r="E390" s="279">
        <f>IF(E$1=0,"",IF($B390&lt;E$23,E389+PPMT(E$26/12,$B390,E$23,E$235,-E$27,0),IF($B390=E$23,E389+PPMT(E$26/12,$B390,E$23,E$235,-E$27,0)-E$27,0)))</f>
        <v/>
      </c>
      <c r="F390" s="279">
        <f>IF(F$1=0,"",IF($B390&lt;F$23,F389+PPMT(F$26/12,$B390,F$23,F$235,-F$27,0),IF($B390=F$23,F389+PPMT(F$26/12,$B390,F$23,F$235,-F$27,0)-F$27,0)))</f>
        <v/>
      </c>
      <c r="G390" s="279">
        <f>IF(G$1=0,"",IF($B390&lt;G$23,G389+PPMT(G$26/12,$B390,G$23,G$235,-G$27,0),IF($B390=G$23,G389+PPMT(G$26/12,$B390,G$23,G$235,-G$27,0)-G$27,0)))</f>
        <v/>
      </c>
      <c r="H390" s="279">
        <f>IF(H$1=0,"",IF($B390&lt;H$23,H389+PPMT(H$26/12,$B390,H$23,H$235,-H$27,0),IF($B390=H$23,H389+PPMT(H$26/12,$B390,H$23,H$235,-H$27,0)-H$27,0)))</f>
        <v/>
      </c>
      <c r="I390" s="279">
        <f>IF(I$1=0,"",IF($B390&lt;I$23,I389+PPMT(I$26/12,$B390,I$23,I$235,-I$27,0),IF($B390=I$23,I389+PPMT(I$26/12,$B390,I$23,I$235,-I$27,0)-I$27,0)))</f>
        <v/>
      </c>
      <c r="J390" s="279">
        <f>IF(J$1=0,"",IF($B390&lt;J$23,J389+PPMT(J$26/12,$B390,J$23,J$235,-J$27,0),IF($B390=J$23,J389+PPMT(J$26/12,$B390,J$23,J$235,-J$27,0)-J$27,0)))</f>
        <v/>
      </c>
      <c r="K390" s="279">
        <f>IF(K$1=0,"",IF($B390&lt;K$23,K389+PPMT(K$26/12,$B390,K$23,K$235,-K$27,0),IF($B390=K$23,K389+PPMT(K$26/12,$B390,K$23,K$235,-K$27,0)-K$27,0)))</f>
        <v/>
      </c>
      <c r="L390" s="279">
        <f>IF(L$1=0,"",IF($B390&lt;L$23,L389+PPMT(L$26/12,$B390,L$23,L$235,-L$27,0),IF($B390=L$23,L389+PPMT(L$26/12,$B390,L$23,L$235,-L$27,0)-L$27,0)))</f>
        <v/>
      </c>
      <c r="M390" s="279">
        <f>IF(M$1=0,"",IF($B390&lt;M$23,M389+PPMT(M$26/12,$B390,M$23,M$235,-M$27,0),IF($B390=M$23,M389+PPMT(M$26/12,$B390,M$23,M$235,-M$27,0)-M$27,0)))</f>
        <v/>
      </c>
      <c r="N390" s="280" t="n"/>
      <c r="O390" s="281" t="n"/>
    </row>
    <row r="391" hidden="1" outlineLevel="1">
      <c r="B391" s="2">
        <f>B390+1</f>
        <v/>
      </c>
      <c r="D391" s="279">
        <f>IF(B391&lt;$D$24,(+CALCULETTE!G788/CALCULETTE!$B$612),0)</f>
        <v/>
      </c>
      <c r="E391" s="279">
        <f>IF(E$1=0,"",IF($B391&lt;E$23,E390+PPMT(E$26/12,$B391,E$23,E$235,-E$27,0),IF($B391=E$23,E390+PPMT(E$26/12,$B391,E$23,E$235,-E$27,0)-E$27,0)))</f>
        <v/>
      </c>
      <c r="F391" s="279">
        <f>IF(F$1=0,"",IF($B391&lt;F$23,F390+PPMT(F$26/12,$B391,F$23,F$235,-F$27,0),IF($B391=F$23,F390+PPMT(F$26/12,$B391,F$23,F$235,-F$27,0)-F$27,0)))</f>
        <v/>
      </c>
      <c r="G391" s="279">
        <f>IF(G$1=0,"",IF($B391&lt;G$23,G390+PPMT(G$26/12,$B391,G$23,G$235,-G$27,0),IF($B391=G$23,G390+PPMT(G$26/12,$B391,G$23,G$235,-G$27,0)-G$27,0)))</f>
        <v/>
      </c>
      <c r="H391" s="279">
        <f>IF(H$1=0,"",IF($B391&lt;H$23,H390+PPMT(H$26/12,$B391,H$23,H$235,-H$27,0),IF($B391=H$23,H390+PPMT(H$26/12,$B391,H$23,H$235,-H$27,0)-H$27,0)))</f>
        <v/>
      </c>
      <c r="I391" s="279">
        <f>IF(I$1=0,"",IF($B391&lt;I$23,I390+PPMT(I$26/12,$B391,I$23,I$235,-I$27,0),IF($B391=I$23,I390+PPMT(I$26/12,$B391,I$23,I$235,-I$27,0)-I$27,0)))</f>
        <v/>
      </c>
      <c r="J391" s="279">
        <f>IF(J$1=0,"",IF($B391&lt;J$23,J390+PPMT(J$26/12,$B391,J$23,J$235,-J$27,0),IF($B391=J$23,J390+PPMT(J$26/12,$B391,J$23,J$235,-J$27,0)-J$27,0)))</f>
        <v/>
      </c>
      <c r="K391" s="279">
        <f>IF(K$1=0,"",IF($B391&lt;K$23,K390+PPMT(K$26/12,$B391,K$23,K$235,-K$27,0),IF($B391=K$23,K390+PPMT(K$26/12,$B391,K$23,K$235,-K$27,0)-K$27,0)))</f>
        <v/>
      </c>
      <c r="L391" s="279">
        <f>IF(L$1=0,"",IF($B391&lt;L$23,L390+PPMT(L$26/12,$B391,L$23,L$235,-L$27,0),IF($B391=L$23,L390+PPMT(L$26/12,$B391,L$23,L$235,-L$27,0)-L$27,0)))</f>
        <v/>
      </c>
      <c r="M391" s="279">
        <f>IF(M$1=0,"",IF($B391&lt;M$23,M390+PPMT(M$26/12,$B391,M$23,M$235,-M$27,0),IF($B391=M$23,M390+PPMT(M$26/12,$B391,M$23,M$235,-M$27,0)-M$27,0)))</f>
        <v/>
      </c>
      <c r="N391" s="280" t="n"/>
      <c r="O391" s="281" t="n"/>
    </row>
    <row r="392" hidden="1" outlineLevel="1">
      <c r="B392" s="2">
        <f>B391+1</f>
        <v/>
      </c>
      <c r="D392" s="279">
        <f>IF(B392&lt;$D$24,(+CALCULETTE!G789/CALCULETTE!$B$612),0)</f>
        <v/>
      </c>
      <c r="E392" s="279">
        <f>IF(E$1=0,"",IF($B392&lt;E$23,E391+PPMT(E$26/12,$B392,E$23,E$235,-E$27,0),IF($B392=E$23,E391+PPMT(E$26/12,$B392,E$23,E$235,-E$27,0)-E$27,0)))</f>
        <v/>
      </c>
      <c r="F392" s="279">
        <f>IF(F$1=0,"",IF($B392&lt;F$23,F391+PPMT(F$26/12,$B392,F$23,F$235,-F$27,0),IF($B392=F$23,F391+PPMT(F$26/12,$B392,F$23,F$235,-F$27,0)-F$27,0)))</f>
        <v/>
      </c>
      <c r="G392" s="279">
        <f>IF(G$1=0,"",IF($B392&lt;G$23,G391+PPMT(G$26/12,$B392,G$23,G$235,-G$27,0),IF($B392=G$23,G391+PPMT(G$26/12,$B392,G$23,G$235,-G$27,0)-G$27,0)))</f>
        <v/>
      </c>
      <c r="H392" s="279">
        <f>IF(H$1=0,"",IF($B392&lt;H$23,H391+PPMT(H$26/12,$B392,H$23,H$235,-H$27,0),IF($B392=H$23,H391+PPMT(H$26/12,$B392,H$23,H$235,-H$27,0)-H$27,0)))</f>
        <v/>
      </c>
      <c r="I392" s="279">
        <f>IF(I$1=0,"",IF($B392&lt;I$23,I391+PPMT(I$26/12,$B392,I$23,I$235,-I$27,0),IF($B392=I$23,I391+PPMT(I$26/12,$B392,I$23,I$235,-I$27,0)-I$27,0)))</f>
        <v/>
      </c>
      <c r="J392" s="279">
        <f>IF(J$1=0,"",IF($B392&lt;J$23,J391+PPMT(J$26/12,$B392,J$23,J$235,-J$27,0),IF($B392=J$23,J391+PPMT(J$26/12,$B392,J$23,J$235,-J$27,0)-J$27,0)))</f>
        <v/>
      </c>
      <c r="K392" s="279">
        <f>IF(K$1=0,"",IF($B392&lt;K$23,K391+PPMT(K$26/12,$B392,K$23,K$235,-K$27,0),IF($B392=K$23,K391+PPMT(K$26/12,$B392,K$23,K$235,-K$27,0)-K$27,0)))</f>
        <v/>
      </c>
      <c r="L392" s="279">
        <f>IF(L$1=0,"",IF($B392&lt;L$23,L391+PPMT(L$26/12,$B392,L$23,L$235,-L$27,0),IF($B392=L$23,L391+PPMT(L$26/12,$B392,L$23,L$235,-L$27,0)-L$27,0)))</f>
        <v/>
      </c>
      <c r="M392" s="279">
        <f>IF(M$1=0,"",IF($B392&lt;M$23,M391+PPMT(M$26/12,$B392,M$23,M$235,-M$27,0),IF($B392=M$23,M391+PPMT(M$26/12,$B392,M$23,M$235,-M$27,0)-M$27,0)))</f>
        <v/>
      </c>
      <c r="N392" s="280" t="n"/>
      <c r="O392" s="281" t="n"/>
    </row>
    <row r="393" hidden="1" outlineLevel="1">
      <c r="B393" s="2">
        <f>B392+1</f>
        <v/>
      </c>
      <c r="D393" s="279">
        <f>IF(B393&lt;$D$24,(+CALCULETTE!G790/CALCULETTE!$B$612),0)</f>
        <v/>
      </c>
      <c r="E393" s="279">
        <f>IF(E$1=0,"",IF($B393&lt;E$23,E392+PPMT(E$26/12,$B393,E$23,E$235,-E$27,0),IF($B393=E$23,E392+PPMT(E$26/12,$B393,E$23,E$235,-E$27,0)-E$27,0)))</f>
        <v/>
      </c>
      <c r="F393" s="279">
        <f>IF(F$1=0,"",IF($B393&lt;F$23,F392+PPMT(F$26/12,$B393,F$23,F$235,-F$27,0),IF($B393=F$23,F392+PPMT(F$26/12,$B393,F$23,F$235,-F$27,0)-F$27,0)))</f>
        <v/>
      </c>
      <c r="G393" s="279">
        <f>IF(G$1=0,"",IF($B393&lt;G$23,G392+PPMT(G$26/12,$B393,G$23,G$235,-G$27,0),IF($B393=G$23,G392+PPMT(G$26/12,$B393,G$23,G$235,-G$27,0)-G$27,0)))</f>
        <v/>
      </c>
      <c r="H393" s="279">
        <f>IF(H$1=0,"",IF($B393&lt;H$23,H392+PPMT(H$26/12,$B393,H$23,H$235,-H$27,0),IF($B393=H$23,H392+PPMT(H$26/12,$B393,H$23,H$235,-H$27,0)-H$27,0)))</f>
        <v/>
      </c>
      <c r="I393" s="279">
        <f>IF(I$1=0,"",IF($B393&lt;I$23,I392+PPMT(I$26/12,$B393,I$23,I$235,-I$27,0),IF($B393=I$23,I392+PPMT(I$26/12,$B393,I$23,I$235,-I$27,0)-I$27,0)))</f>
        <v/>
      </c>
      <c r="J393" s="279">
        <f>IF(J$1=0,"",IF($B393&lt;J$23,J392+PPMT(J$26/12,$B393,J$23,J$235,-J$27,0),IF($B393=J$23,J392+PPMT(J$26/12,$B393,J$23,J$235,-J$27,0)-J$27,0)))</f>
        <v/>
      </c>
      <c r="K393" s="279">
        <f>IF(K$1=0,"",IF($B393&lt;K$23,K392+PPMT(K$26/12,$B393,K$23,K$235,-K$27,0),IF($B393=K$23,K392+PPMT(K$26/12,$B393,K$23,K$235,-K$27,0)-K$27,0)))</f>
        <v/>
      </c>
      <c r="L393" s="279">
        <f>IF(L$1=0,"",IF($B393&lt;L$23,L392+PPMT(L$26/12,$B393,L$23,L$235,-L$27,0),IF($B393=L$23,L392+PPMT(L$26/12,$B393,L$23,L$235,-L$27,0)-L$27,0)))</f>
        <v/>
      </c>
      <c r="M393" s="279">
        <f>IF(M$1=0,"",IF($B393&lt;M$23,M392+PPMT(M$26/12,$B393,M$23,M$235,-M$27,0),IF($B393=M$23,M392+PPMT(M$26/12,$B393,M$23,M$235,-M$27,0)-M$27,0)))</f>
        <v/>
      </c>
      <c r="N393" s="280" t="n"/>
      <c r="O393" s="281" t="n"/>
    </row>
    <row r="394" hidden="1" outlineLevel="1">
      <c r="B394" s="2">
        <f>B393+1</f>
        <v/>
      </c>
      <c r="D394" s="279">
        <f>IF(B394&lt;$D$24,(+CALCULETTE!G791/CALCULETTE!$B$612),0)</f>
        <v/>
      </c>
      <c r="E394" s="279">
        <f>IF(E$1=0,"",IF($B394&lt;E$23,E393+PPMT(E$26/12,$B394,E$23,E$235,-E$27,0),IF($B394=E$23,E393+PPMT(E$26/12,$B394,E$23,E$235,-E$27,0)-E$27,0)))</f>
        <v/>
      </c>
      <c r="F394" s="279">
        <f>IF(F$1=0,"",IF($B394&lt;F$23,F393+PPMT(F$26/12,$B394,F$23,F$235,-F$27,0),IF($B394=F$23,F393+PPMT(F$26/12,$B394,F$23,F$235,-F$27,0)-F$27,0)))</f>
        <v/>
      </c>
      <c r="G394" s="279">
        <f>IF(G$1=0,"",IF($B394&lt;G$23,G393+PPMT(G$26/12,$B394,G$23,G$235,-G$27,0),IF($B394=G$23,G393+PPMT(G$26/12,$B394,G$23,G$235,-G$27,0)-G$27,0)))</f>
        <v/>
      </c>
      <c r="H394" s="279">
        <f>IF(H$1=0,"",IF($B394&lt;H$23,H393+PPMT(H$26/12,$B394,H$23,H$235,-H$27,0),IF($B394=H$23,H393+PPMT(H$26/12,$B394,H$23,H$235,-H$27,0)-H$27,0)))</f>
        <v/>
      </c>
      <c r="I394" s="279">
        <f>IF(I$1=0,"",IF($B394&lt;I$23,I393+PPMT(I$26/12,$B394,I$23,I$235,-I$27,0),IF($B394=I$23,I393+PPMT(I$26/12,$B394,I$23,I$235,-I$27,0)-I$27,0)))</f>
        <v/>
      </c>
      <c r="J394" s="279">
        <f>IF(J$1=0,"",IF($B394&lt;J$23,J393+PPMT(J$26/12,$B394,J$23,J$235,-J$27,0),IF($B394=J$23,J393+PPMT(J$26/12,$B394,J$23,J$235,-J$27,0)-J$27,0)))</f>
        <v/>
      </c>
      <c r="K394" s="279">
        <f>IF(K$1=0,"",IF($B394&lt;K$23,K393+PPMT(K$26/12,$B394,K$23,K$235,-K$27,0),IF($B394=K$23,K393+PPMT(K$26/12,$B394,K$23,K$235,-K$27,0)-K$27,0)))</f>
        <v/>
      </c>
      <c r="L394" s="279">
        <f>IF(L$1=0,"",IF($B394&lt;L$23,L393+PPMT(L$26/12,$B394,L$23,L$235,-L$27,0),IF($B394=L$23,L393+PPMT(L$26/12,$B394,L$23,L$235,-L$27,0)-L$27,0)))</f>
        <v/>
      </c>
      <c r="M394" s="279">
        <f>IF(M$1=0,"",IF($B394&lt;M$23,M393+PPMT(M$26/12,$B394,M$23,M$235,-M$27,0),IF($B394=M$23,M393+PPMT(M$26/12,$B394,M$23,M$235,-M$27,0)-M$27,0)))</f>
        <v/>
      </c>
      <c r="N394" s="280" t="n"/>
      <c r="O394" s="281" t="n"/>
    </row>
    <row r="395" hidden="1" outlineLevel="1">
      <c r="B395" s="2">
        <f>B394+1</f>
        <v/>
      </c>
      <c r="D395" s="279">
        <f>IF(B395&lt;$D$24,(+CALCULETTE!G792/CALCULETTE!$B$612),0)</f>
        <v/>
      </c>
      <c r="E395" s="279">
        <f>IF(E$1=0,"",IF($B395&lt;E$23,E394+PPMT(E$26/12,$B395,E$23,E$235,-E$27,0),IF($B395=E$23,E394+PPMT(E$26/12,$B395,E$23,E$235,-E$27,0)-E$27,0)))</f>
        <v/>
      </c>
      <c r="F395" s="279">
        <f>IF(F$1=0,"",IF($B395&lt;F$23,F394+PPMT(F$26/12,$B395,F$23,F$235,-F$27,0),IF($B395=F$23,F394+PPMT(F$26/12,$B395,F$23,F$235,-F$27,0)-F$27,0)))</f>
        <v/>
      </c>
      <c r="G395" s="279">
        <f>IF(G$1=0,"",IF($B395&lt;G$23,G394+PPMT(G$26/12,$B395,G$23,G$235,-G$27,0),IF($B395=G$23,G394+PPMT(G$26/12,$B395,G$23,G$235,-G$27,0)-G$27,0)))</f>
        <v/>
      </c>
      <c r="H395" s="279">
        <f>IF(H$1=0,"",IF($B395&lt;H$23,H394+PPMT(H$26/12,$B395,H$23,H$235,-H$27,0),IF($B395=H$23,H394+PPMT(H$26/12,$B395,H$23,H$235,-H$27,0)-H$27,0)))</f>
        <v/>
      </c>
      <c r="I395" s="279">
        <f>IF(I$1=0,"",IF($B395&lt;I$23,I394+PPMT(I$26/12,$B395,I$23,I$235,-I$27,0),IF($B395=I$23,I394+PPMT(I$26/12,$B395,I$23,I$235,-I$27,0)-I$27,0)))</f>
        <v/>
      </c>
      <c r="J395" s="279">
        <f>IF(J$1=0,"",IF($B395&lt;J$23,J394+PPMT(J$26/12,$B395,J$23,J$235,-J$27,0),IF($B395=J$23,J394+PPMT(J$26/12,$B395,J$23,J$235,-J$27,0)-J$27,0)))</f>
        <v/>
      </c>
      <c r="K395" s="279">
        <f>IF(K$1=0,"",IF($B395&lt;K$23,K394+PPMT(K$26/12,$B395,K$23,K$235,-K$27,0),IF($B395=K$23,K394+PPMT(K$26/12,$B395,K$23,K$235,-K$27,0)-K$27,0)))</f>
        <v/>
      </c>
      <c r="L395" s="279">
        <f>IF(L$1=0,"",IF($B395&lt;L$23,L394+PPMT(L$26/12,$B395,L$23,L$235,-L$27,0),IF($B395=L$23,L394+PPMT(L$26/12,$B395,L$23,L$235,-L$27,0)-L$27,0)))</f>
        <v/>
      </c>
      <c r="M395" s="279">
        <f>IF(M$1=0,"",IF($B395&lt;M$23,M394+PPMT(M$26/12,$B395,M$23,M$235,-M$27,0),IF($B395=M$23,M394+PPMT(M$26/12,$B395,M$23,M$235,-M$27,0)-M$27,0)))</f>
        <v/>
      </c>
      <c r="N395" s="280" t="n"/>
      <c r="O395" s="281" t="n"/>
    </row>
    <row r="396" hidden="1" outlineLevel="1">
      <c r="B396" s="2">
        <f>B395+1</f>
        <v/>
      </c>
      <c r="D396" s="279">
        <f>IF(B396&lt;$D$24,(+CALCULETTE!G793/CALCULETTE!$B$612),0)</f>
        <v/>
      </c>
      <c r="E396" s="279">
        <f>IF(E$1=0,"",IF($B396&lt;E$23,E395+PPMT(E$26/12,$B396,E$23,E$235,-E$27,0),IF($B396=E$23,E395+PPMT(E$26/12,$B396,E$23,E$235,-E$27,0)-E$27,0)))</f>
        <v/>
      </c>
      <c r="F396" s="279">
        <f>IF(F$1=0,"",IF($B396&lt;F$23,F395+PPMT(F$26/12,$B396,F$23,F$235,-F$27,0),IF($B396=F$23,F395+PPMT(F$26/12,$B396,F$23,F$235,-F$27,0)-F$27,0)))</f>
        <v/>
      </c>
      <c r="G396" s="279">
        <f>IF(G$1=0,"",IF($B396&lt;G$23,G395+PPMT(G$26/12,$B396,G$23,G$235,-G$27,0),IF($B396=G$23,G395+PPMT(G$26/12,$B396,G$23,G$235,-G$27,0)-G$27,0)))</f>
        <v/>
      </c>
      <c r="H396" s="279">
        <f>IF(H$1=0,"",IF($B396&lt;H$23,H395+PPMT(H$26/12,$B396,H$23,H$235,-H$27,0),IF($B396=H$23,H395+PPMT(H$26/12,$B396,H$23,H$235,-H$27,0)-H$27,0)))</f>
        <v/>
      </c>
      <c r="I396" s="279">
        <f>IF(I$1=0,"",IF($B396&lt;I$23,I395+PPMT(I$26/12,$B396,I$23,I$235,-I$27,0),IF($B396=I$23,I395+PPMT(I$26/12,$B396,I$23,I$235,-I$27,0)-I$27,0)))</f>
        <v/>
      </c>
      <c r="J396" s="279">
        <f>IF(J$1=0,"",IF($B396&lt;J$23,J395+PPMT(J$26/12,$B396,J$23,J$235,-J$27,0),IF($B396=J$23,J395+PPMT(J$26/12,$B396,J$23,J$235,-J$27,0)-J$27,0)))</f>
        <v/>
      </c>
      <c r="K396" s="279">
        <f>IF(K$1=0,"",IF($B396&lt;K$23,K395+PPMT(K$26/12,$B396,K$23,K$235,-K$27,0),IF($B396=K$23,K395+PPMT(K$26/12,$B396,K$23,K$235,-K$27,0)-K$27,0)))</f>
        <v/>
      </c>
      <c r="L396" s="279">
        <f>IF(L$1=0,"",IF($B396&lt;L$23,L395+PPMT(L$26/12,$B396,L$23,L$235,-L$27,0),IF($B396=L$23,L395+PPMT(L$26/12,$B396,L$23,L$235,-L$27,0)-L$27,0)))</f>
        <v/>
      </c>
      <c r="M396" s="279">
        <f>IF(M$1=0,"",IF($B396&lt;M$23,M395+PPMT(M$26/12,$B396,M$23,M$235,-M$27,0),IF($B396=M$23,M395+PPMT(M$26/12,$B396,M$23,M$235,-M$27,0)-M$27,0)))</f>
        <v/>
      </c>
      <c r="N396" s="280" t="n"/>
      <c r="O396" s="281" t="n"/>
    </row>
    <row r="397" hidden="1" outlineLevel="1">
      <c r="B397" s="2">
        <f>B396+1</f>
        <v/>
      </c>
      <c r="D397" s="279">
        <f>IF(B397&lt;$D$24,(+CALCULETTE!G794/CALCULETTE!$B$612),0)</f>
        <v/>
      </c>
      <c r="E397" s="279">
        <f>IF(E$1=0,"",IF($B397&lt;E$23,E396+PPMT(E$26/12,$B397,E$23,E$235,-E$27,0),IF($B397=E$23,E396+PPMT(E$26/12,$B397,E$23,E$235,-E$27,0)-E$27,0)))</f>
        <v/>
      </c>
      <c r="F397" s="279">
        <f>IF(F$1=0,"",IF($B397&lt;F$23,F396+PPMT(F$26/12,$B397,F$23,F$235,-F$27,0),IF($B397=F$23,F396+PPMT(F$26/12,$B397,F$23,F$235,-F$27,0)-F$27,0)))</f>
        <v/>
      </c>
      <c r="G397" s="279">
        <f>IF(G$1=0,"",IF($B397&lt;G$23,G396+PPMT(G$26/12,$B397,G$23,G$235,-G$27,0),IF($B397=G$23,G396+PPMT(G$26/12,$B397,G$23,G$235,-G$27,0)-G$27,0)))</f>
        <v/>
      </c>
      <c r="H397" s="279">
        <f>IF(H$1=0,"",IF($B397&lt;H$23,H396+PPMT(H$26/12,$B397,H$23,H$235,-H$27,0),IF($B397=H$23,H396+PPMT(H$26/12,$B397,H$23,H$235,-H$27,0)-H$27,0)))</f>
        <v/>
      </c>
      <c r="I397" s="279">
        <f>IF(I$1=0,"",IF($B397&lt;I$23,I396+PPMT(I$26/12,$B397,I$23,I$235,-I$27,0),IF($B397=I$23,I396+PPMT(I$26/12,$B397,I$23,I$235,-I$27,0)-I$27,0)))</f>
        <v/>
      </c>
      <c r="J397" s="279">
        <f>IF(J$1=0,"",IF($B397&lt;J$23,J396+PPMT(J$26/12,$B397,J$23,J$235,-J$27,0),IF($B397=J$23,J396+PPMT(J$26/12,$B397,J$23,J$235,-J$27,0)-J$27,0)))</f>
        <v/>
      </c>
      <c r="K397" s="279">
        <f>IF(K$1=0,"",IF($B397&lt;K$23,K396+PPMT(K$26/12,$B397,K$23,K$235,-K$27,0),IF($B397=K$23,K396+PPMT(K$26/12,$B397,K$23,K$235,-K$27,0)-K$27,0)))</f>
        <v/>
      </c>
      <c r="L397" s="279">
        <f>IF(L$1=0,"",IF($B397&lt;L$23,L396+PPMT(L$26/12,$B397,L$23,L$235,-L$27,0),IF($B397=L$23,L396+PPMT(L$26/12,$B397,L$23,L$235,-L$27,0)-L$27,0)))</f>
        <v/>
      </c>
      <c r="M397" s="279">
        <f>IF(M$1=0,"",IF($B397&lt;M$23,M396+PPMT(M$26/12,$B397,M$23,M$235,-M$27,0),IF($B397=M$23,M396+PPMT(M$26/12,$B397,M$23,M$235,-M$27,0)-M$27,0)))</f>
        <v/>
      </c>
      <c r="N397" s="280" t="n"/>
      <c r="O397" s="281" t="n"/>
    </row>
    <row r="398" hidden="1" outlineLevel="1">
      <c r="B398" s="2">
        <f>B397+1</f>
        <v/>
      </c>
      <c r="D398" s="279">
        <f>IF(B398&lt;$D$24,(+CALCULETTE!G795/CALCULETTE!$B$612),0)</f>
        <v/>
      </c>
      <c r="E398" s="279">
        <f>IF(E$1=0,"",IF($B398&lt;E$23,E397+PPMT(E$26/12,$B398,E$23,E$235,-E$27,0),IF($B398=E$23,E397+PPMT(E$26/12,$B398,E$23,E$235,-E$27,0)-E$27,0)))</f>
        <v/>
      </c>
      <c r="F398" s="279">
        <f>IF(F$1=0,"",IF($B398&lt;F$23,F397+PPMT(F$26/12,$B398,F$23,F$235,-F$27,0),IF($B398=F$23,F397+PPMT(F$26/12,$B398,F$23,F$235,-F$27,0)-F$27,0)))</f>
        <v/>
      </c>
      <c r="G398" s="279">
        <f>IF(G$1=0,"",IF($B398&lt;G$23,G397+PPMT(G$26/12,$B398,G$23,G$235,-G$27,0),IF($B398=G$23,G397+PPMT(G$26/12,$B398,G$23,G$235,-G$27,0)-G$27,0)))</f>
        <v/>
      </c>
      <c r="H398" s="279">
        <f>IF(H$1=0,"",IF($B398&lt;H$23,H397+PPMT(H$26/12,$B398,H$23,H$235,-H$27,0),IF($B398=H$23,H397+PPMT(H$26/12,$B398,H$23,H$235,-H$27,0)-H$27,0)))</f>
        <v/>
      </c>
      <c r="I398" s="279">
        <f>IF(I$1=0,"",IF($B398&lt;I$23,I397+PPMT(I$26/12,$B398,I$23,I$235,-I$27,0),IF($B398=I$23,I397+PPMT(I$26/12,$B398,I$23,I$235,-I$27,0)-I$27,0)))</f>
        <v/>
      </c>
      <c r="J398" s="279">
        <f>IF(J$1=0,"",IF($B398&lt;J$23,J397+PPMT(J$26/12,$B398,J$23,J$235,-J$27,0),IF($B398=J$23,J397+PPMT(J$26/12,$B398,J$23,J$235,-J$27,0)-J$27,0)))</f>
        <v/>
      </c>
      <c r="K398" s="279">
        <f>IF(K$1=0,"",IF($B398&lt;K$23,K397+PPMT(K$26/12,$B398,K$23,K$235,-K$27,0),IF($B398=K$23,K397+PPMT(K$26/12,$B398,K$23,K$235,-K$27,0)-K$27,0)))</f>
        <v/>
      </c>
      <c r="L398" s="279">
        <f>IF(L$1=0,"",IF($B398&lt;L$23,L397+PPMT(L$26/12,$B398,L$23,L$235,-L$27,0),IF($B398=L$23,L397+PPMT(L$26/12,$B398,L$23,L$235,-L$27,0)-L$27,0)))</f>
        <v/>
      </c>
      <c r="M398" s="279">
        <f>IF(M$1=0,"",IF($B398&lt;M$23,M397+PPMT(M$26/12,$B398,M$23,M$235,-M$27,0),IF($B398=M$23,M397+PPMT(M$26/12,$B398,M$23,M$235,-M$27,0)-M$27,0)))</f>
        <v/>
      </c>
      <c r="N398" s="280" t="n"/>
      <c r="O398" s="281" t="n"/>
    </row>
    <row r="399" hidden="1" outlineLevel="1">
      <c r="B399" s="2">
        <f>B398+1</f>
        <v/>
      </c>
      <c r="D399" s="279">
        <f>IF(B399&lt;$D$24,(+CALCULETTE!G796/CALCULETTE!$B$612),0)</f>
        <v/>
      </c>
      <c r="E399" s="279">
        <f>IF(E$1=0,"",IF($B399&lt;E$23,E398+PPMT(E$26/12,$B399,E$23,E$235,-E$27,0),IF($B399=E$23,E398+PPMT(E$26/12,$B399,E$23,E$235,-E$27,0)-E$27,0)))</f>
        <v/>
      </c>
      <c r="F399" s="279">
        <f>IF(F$1=0,"",IF($B399&lt;F$23,F398+PPMT(F$26/12,$B399,F$23,F$235,-F$27,0),IF($B399=F$23,F398+PPMT(F$26/12,$B399,F$23,F$235,-F$27,0)-F$27,0)))</f>
        <v/>
      </c>
      <c r="G399" s="279">
        <f>IF(G$1=0,"",IF($B399&lt;G$23,G398+PPMT(G$26/12,$B399,G$23,G$235,-G$27,0),IF($B399=G$23,G398+PPMT(G$26/12,$B399,G$23,G$235,-G$27,0)-G$27,0)))</f>
        <v/>
      </c>
      <c r="H399" s="279">
        <f>IF(H$1=0,"",IF($B399&lt;H$23,H398+PPMT(H$26/12,$B399,H$23,H$235,-H$27,0),IF($B399=H$23,H398+PPMT(H$26/12,$B399,H$23,H$235,-H$27,0)-H$27,0)))</f>
        <v/>
      </c>
      <c r="I399" s="279">
        <f>IF(I$1=0,"",IF($B399&lt;I$23,I398+PPMT(I$26/12,$B399,I$23,I$235,-I$27,0),IF($B399=I$23,I398+PPMT(I$26/12,$B399,I$23,I$235,-I$27,0)-I$27,0)))</f>
        <v/>
      </c>
      <c r="J399" s="279">
        <f>IF(J$1=0,"",IF($B399&lt;J$23,J398+PPMT(J$26/12,$B399,J$23,J$235,-J$27,0),IF($B399=J$23,J398+PPMT(J$26/12,$B399,J$23,J$235,-J$27,0)-J$27,0)))</f>
        <v/>
      </c>
      <c r="K399" s="279">
        <f>IF(K$1=0,"",IF($B399&lt;K$23,K398+PPMT(K$26/12,$B399,K$23,K$235,-K$27,0),IF($B399=K$23,K398+PPMT(K$26/12,$B399,K$23,K$235,-K$27,0)-K$27,0)))</f>
        <v/>
      </c>
      <c r="L399" s="279">
        <f>IF(L$1=0,"",IF($B399&lt;L$23,L398+PPMT(L$26/12,$B399,L$23,L$235,-L$27,0),IF($B399=L$23,L398+PPMT(L$26/12,$B399,L$23,L$235,-L$27,0)-L$27,0)))</f>
        <v/>
      </c>
      <c r="M399" s="279">
        <f>IF(M$1=0,"",IF($B399&lt;M$23,M398+PPMT(M$26/12,$B399,M$23,M$235,-M$27,0),IF($B399=M$23,M398+PPMT(M$26/12,$B399,M$23,M$235,-M$27,0)-M$27,0)))</f>
        <v/>
      </c>
      <c r="N399" s="280" t="n"/>
      <c r="O399" s="281" t="n"/>
    </row>
    <row r="400" hidden="1" outlineLevel="1">
      <c r="B400" s="2">
        <f>B399+1</f>
        <v/>
      </c>
      <c r="D400" s="279">
        <f>IF(B400&lt;$D$24,(+CALCULETTE!G797/CALCULETTE!$B$612),0)</f>
        <v/>
      </c>
      <c r="E400" s="279">
        <f>IF(E$1=0,"",IF($B400&lt;E$23,E399+PPMT(E$26/12,$B400,E$23,E$235,-E$27,0),IF($B400=E$23,E399+PPMT(E$26/12,$B400,E$23,E$235,-E$27,0)-E$27,0)))</f>
        <v/>
      </c>
      <c r="F400" s="279">
        <f>IF(F$1=0,"",IF($B400&lt;F$23,F399+PPMT(F$26/12,$B400,F$23,F$235,-F$27,0),IF($B400=F$23,F399+PPMT(F$26/12,$B400,F$23,F$235,-F$27,0)-F$27,0)))</f>
        <v/>
      </c>
      <c r="G400" s="279">
        <f>IF(G$1=0,"",IF($B400&lt;G$23,G399+PPMT(G$26/12,$B400,G$23,G$235,-G$27,0),IF($B400=G$23,G399+PPMT(G$26/12,$B400,G$23,G$235,-G$27,0)-G$27,0)))</f>
        <v/>
      </c>
      <c r="H400" s="279">
        <f>IF(H$1=0,"",IF($B400&lt;H$23,H399+PPMT(H$26/12,$B400,H$23,H$235,-H$27,0),IF($B400=H$23,H399+PPMT(H$26/12,$B400,H$23,H$235,-H$27,0)-H$27,0)))</f>
        <v/>
      </c>
      <c r="I400" s="279">
        <f>IF(I$1=0,"",IF($B400&lt;I$23,I399+PPMT(I$26/12,$B400,I$23,I$235,-I$27,0),IF($B400=I$23,I399+PPMT(I$26/12,$B400,I$23,I$235,-I$27,0)-I$27,0)))</f>
        <v/>
      </c>
      <c r="J400" s="279">
        <f>IF(J$1=0,"",IF($B400&lt;J$23,J399+PPMT(J$26/12,$B400,J$23,J$235,-J$27,0),IF($B400=J$23,J399+PPMT(J$26/12,$B400,J$23,J$235,-J$27,0)-J$27,0)))</f>
        <v/>
      </c>
      <c r="K400" s="279">
        <f>IF(K$1=0,"",IF($B400&lt;K$23,K399+PPMT(K$26/12,$B400,K$23,K$235,-K$27,0),IF($B400=K$23,K399+PPMT(K$26/12,$B400,K$23,K$235,-K$27,0)-K$27,0)))</f>
        <v/>
      </c>
      <c r="L400" s="279">
        <f>IF(L$1=0,"",IF($B400&lt;L$23,L399+PPMT(L$26/12,$B400,L$23,L$235,-L$27,0),IF($B400=L$23,L399+PPMT(L$26/12,$B400,L$23,L$235,-L$27,0)-L$27,0)))</f>
        <v/>
      </c>
      <c r="M400" s="279">
        <f>IF(M$1=0,"",IF($B400&lt;M$23,M399+PPMT(M$26/12,$B400,M$23,M$235,-M$27,0),IF($B400=M$23,M399+PPMT(M$26/12,$B400,M$23,M$235,-M$27,0)-M$27,0)))</f>
        <v/>
      </c>
      <c r="N400" s="280" t="n"/>
      <c r="O400" s="281" t="n"/>
    </row>
    <row r="401" hidden="1" outlineLevel="1">
      <c r="B401" s="2">
        <f>B400+1</f>
        <v/>
      </c>
      <c r="D401" s="279">
        <f>IF(B401&lt;$D$24,(+CALCULETTE!G798/CALCULETTE!$B$612),0)</f>
        <v/>
      </c>
      <c r="E401" s="279">
        <f>IF(E$1=0,"",IF($B401&lt;E$23,E400+PPMT(E$26/12,$B401,E$23,E$235,-E$27,0),IF($B401=E$23,E400+PPMT(E$26/12,$B401,E$23,E$235,-E$27,0)-E$27,0)))</f>
        <v/>
      </c>
      <c r="F401" s="279">
        <f>IF(F$1=0,"",IF($B401&lt;F$23,F400+PPMT(F$26/12,$B401,F$23,F$235,-F$27,0),IF($B401=F$23,F400+PPMT(F$26/12,$B401,F$23,F$235,-F$27,0)-F$27,0)))</f>
        <v/>
      </c>
      <c r="G401" s="279">
        <f>IF(G$1=0,"",IF($B401&lt;G$23,G400+PPMT(G$26/12,$B401,G$23,G$235,-G$27,0),IF($B401=G$23,G400+PPMT(G$26/12,$B401,G$23,G$235,-G$27,0)-G$27,0)))</f>
        <v/>
      </c>
      <c r="H401" s="279">
        <f>IF(H$1=0,"",IF($B401&lt;H$23,H400+PPMT(H$26/12,$B401,H$23,H$235,-H$27,0),IF($B401=H$23,H400+PPMT(H$26/12,$B401,H$23,H$235,-H$27,0)-H$27,0)))</f>
        <v/>
      </c>
      <c r="I401" s="279">
        <f>IF(I$1=0,"",IF($B401&lt;I$23,I400+PPMT(I$26/12,$B401,I$23,I$235,-I$27,0),IF($B401=I$23,I400+PPMT(I$26/12,$B401,I$23,I$235,-I$27,0)-I$27,0)))</f>
        <v/>
      </c>
      <c r="J401" s="279">
        <f>IF(J$1=0,"",IF($B401&lt;J$23,J400+PPMT(J$26/12,$B401,J$23,J$235,-J$27,0),IF($B401=J$23,J400+PPMT(J$26/12,$B401,J$23,J$235,-J$27,0)-J$27,0)))</f>
        <v/>
      </c>
      <c r="K401" s="279">
        <f>IF(K$1=0,"",IF($B401&lt;K$23,K400+PPMT(K$26/12,$B401,K$23,K$235,-K$27,0),IF($B401=K$23,K400+PPMT(K$26/12,$B401,K$23,K$235,-K$27,0)-K$27,0)))</f>
        <v/>
      </c>
      <c r="L401" s="279">
        <f>IF(L$1=0,"",IF($B401&lt;L$23,L400+PPMT(L$26/12,$B401,L$23,L$235,-L$27,0),IF($B401=L$23,L400+PPMT(L$26/12,$B401,L$23,L$235,-L$27,0)-L$27,0)))</f>
        <v/>
      </c>
      <c r="M401" s="279">
        <f>IF(M$1=0,"",IF($B401&lt;M$23,M400+PPMT(M$26/12,$B401,M$23,M$235,-M$27,0),IF($B401=M$23,M400+PPMT(M$26/12,$B401,M$23,M$235,-M$27,0)-M$27,0)))</f>
        <v/>
      </c>
      <c r="N401" s="280" t="n"/>
      <c r="O401" s="281" t="n"/>
    </row>
    <row r="402" hidden="1" outlineLevel="1">
      <c r="B402" s="2">
        <f>B401+1</f>
        <v/>
      </c>
      <c r="D402" s="279">
        <f>IF(B402&lt;$D$24,(+CALCULETTE!G799/CALCULETTE!$B$612),0)</f>
        <v/>
      </c>
      <c r="E402" s="279">
        <f>IF(E$1=0,"",IF($B402&lt;E$23,E401+PPMT(E$26/12,$B402,E$23,E$235,-E$27,0),IF($B402=E$23,E401+PPMT(E$26/12,$B402,E$23,E$235,-E$27,0)-E$27,0)))</f>
        <v/>
      </c>
      <c r="F402" s="279">
        <f>IF(F$1=0,"",IF($B402&lt;F$23,F401+PPMT(F$26/12,$B402,F$23,F$235,-F$27,0),IF($B402=F$23,F401+PPMT(F$26/12,$B402,F$23,F$235,-F$27,0)-F$27,0)))</f>
        <v/>
      </c>
      <c r="G402" s="279">
        <f>IF(G$1=0,"",IF($B402&lt;G$23,G401+PPMT(G$26/12,$B402,G$23,G$235,-G$27,0),IF($B402=G$23,G401+PPMT(G$26/12,$B402,G$23,G$235,-G$27,0)-G$27,0)))</f>
        <v/>
      </c>
      <c r="H402" s="279">
        <f>IF(H$1=0,"",IF($B402&lt;H$23,H401+PPMT(H$26/12,$B402,H$23,H$235,-H$27,0),IF($B402=H$23,H401+PPMT(H$26/12,$B402,H$23,H$235,-H$27,0)-H$27,0)))</f>
        <v/>
      </c>
      <c r="I402" s="279">
        <f>IF(I$1=0,"",IF($B402&lt;I$23,I401+PPMT(I$26/12,$B402,I$23,I$235,-I$27,0),IF($B402=I$23,I401+PPMT(I$26/12,$B402,I$23,I$235,-I$27,0)-I$27,0)))</f>
        <v/>
      </c>
      <c r="J402" s="279">
        <f>IF(J$1=0,"",IF($B402&lt;J$23,J401+PPMT(J$26/12,$B402,J$23,J$235,-J$27,0),IF($B402=J$23,J401+PPMT(J$26/12,$B402,J$23,J$235,-J$27,0)-J$27,0)))</f>
        <v/>
      </c>
      <c r="K402" s="279">
        <f>IF(K$1=0,"",IF($B402&lt;K$23,K401+PPMT(K$26/12,$B402,K$23,K$235,-K$27,0),IF($B402=K$23,K401+PPMT(K$26/12,$B402,K$23,K$235,-K$27,0)-K$27,0)))</f>
        <v/>
      </c>
      <c r="L402" s="279">
        <f>IF(L$1=0,"",IF($B402&lt;L$23,L401+PPMT(L$26/12,$B402,L$23,L$235,-L$27,0),IF($B402=L$23,L401+PPMT(L$26/12,$B402,L$23,L$235,-L$27,0)-L$27,0)))</f>
        <v/>
      </c>
      <c r="M402" s="279">
        <f>IF(M$1=0,"",IF($B402&lt;M$23,M401+PPMT(M$26/12,$B402,M$23,M$235,-M$27,0),IF($B402=M$23,M401+PPMT(M$26/12,$B402,M$23,M$235,-M$27,0)-M$27,0)))</f>
        <v/>
      </c>
      <c r="N402" s="280" t="n"/>
      <c r="O402" s="281" t="n"/>
    </row>
    <row r="403" hidden="1" outlineLevel="1">
      <c r="B403" s="2">
        <f>B402+1</f>
        <v/>
      </c>
      <c r="D403" s="279">
        <f>IF(B403&lt;$D$24,(+CALCULETTE!G800/CALCULETTE!$B$612),0)</f>
        <v/>
      </c>
      <c r="E403" s="279">
        <f>IF(E$1=0,"",IF($B403&lt;E$23,E402+PPMT(E$26/12,$B403,E$23,E$235,-E$27,0),IF($B403=E$23,E402+PPMT(E$26/12,$B403,E$23,E$235,-E$27,0)-E$27,0)))</f>
        <v/>
      </c>
      <c r="F403" s="279">
        <f>IF(F$1=0,"",IF($B403&lt;F$23,F402+PPMT(F$26/12,$B403,F$23,F$235,-F$27,0),IF($B403=F$23,F402+PPMT(F$26/12,$B403,F$23,F$235,-F$27,0)-F$27,0)))</f>
        <v/>
      </c>
      <c r="G403" s="279">
        <f>IF(G$1=0,"",IF($B403&lt;G$23,G402+PPMT(G$26/12,$B403,G$23,G$235,-G$27,0),IF($B403=G$23,G402+PPMT(G$26/12,$B403,G$23,G$235,-G$27,0)-G$27,0)))</f>
        <v/>
      </c>
      <c r="H403" s="279">
        <f>IF(H$1=0,"",IF($B403&lt;H$23,H402+PPMT(H$26/12,$B403,H$23,H$235,-H$27,0),IF($B403=H$23,H402+PPMT(H$26/12,$B403,H$23,H$235,-H$27,0)-H$27,0)))</f>
        <v/>
      </c>
      <c r="I403" s="279">
        <f>IF(I$1=0,"",IF($B403&lt;I$23,I402+PPMT(I$26/12,$B403,I$23,I$235,-I$27,0),IF($B403=I$23,I402+PPMT(I$26/12,$B403,I$23,I$235,-I$27,0)-I$27,0)))</f>
        <v/>
      </c>
      <c r="J403" s="279">
        <f>IF(J$1=0,"",IF($B403&lt;J$23,J402+PPMT(J$26/12,$B403,J$23,J$235,-J$27,0),IF($B403=J$23,J402+PPMT(J$26/12,$B403,J$23,J$235,-J$27,0)-J$27,0)))</f>
        <v/>
      </c>
      <c r="K403" s="279">
        <f>IF(K$1=0,"",IF($B403&lt;K$23,K402+PPMT(K$26/12,$B403,K$23,K$235,-K$27,0),IF($B403=K$23,K402+PPMT(K$26/12,$B403,K$23,K$235,-K$27,0)-K$27,0)))</f>
        <v/>
      </c>
      <c r="L403" s="279">
        <f>IF(L$1=0,"",IF($B403&lt;L$23,L402+PPMT(L$26/12,$B403,L$23,L$235,-L$27,0),IF($B403=L$23,L402+PPMT(L$26/12,$B403,L$23,L$235,-L$27,0)-L$27,0)))</f>
        <v/>
      </c>
      <c r="M403" s="279">
        <f>IF(M$1=0,"",IF($B403&lt;M$23,M402+PPMT(M$26/12,$B403,M$23,M$235,-M$27,0),IF($B403=M$23,M402+PPMT(M$26/12,$B403,M$23,M$235,-M$27,0)-M$27,0)))</f>
        <v/>
      </c>
      <c r="N403" s="280" t="n"/>
      <c r="O403" s="281" t="n"/>
    </row>
    <row r="404" hidden="1" outlineLevel="1">
      <c r="B404" s="2">
        <f>B403+1</f>
        <v/>
      </c>
      <c r="D404" s="279">
        <f>IF(B404&lt;$D$24,(+CALCULETTE!G801/CALCULETTE!$B$612),0)</f>
        <v/>
      </c>
      <c r="E404" s="279">
        <f>IF(E$1=0,"",IF($B404&lt;E$23,E403+PPMT(E$26/12,$B404,E$23,E$235,-E$27,0),IF($B404=E$23,E403+PPMT(E$26/12,$B404,E$23,E$235,-E$27,0)-E$27,0)))</f>
        <v/>
      </c>
      <c r="F404" s="279">
        <f>IF(F$1=0,"",IF($B404&lt;F$23,F403+PPMT(F$26/12,$B404,F$23,F$235,-F$27,0),IF($B404=F$23,F403+PPMT(F$26/12,$B404,F$23,F$235,-F$27,0)-F$27,0)))</f>
        <v/>
      </c>
      <c r="G404" s="279">
        <f>IF(G$1=0,"",IF($B404&lt;G$23,G403+PPMT(G$26/12,$B404,G$23,G$235,-G$27,0),IF($B404=G$23,G403+PPMT(G$26/12,$B404,G$23,G$235,-G$27,0)-G$27,0)))</f>
        <v/>
      </c>
      <c r="H404" s="279">
        <f>IF(H$1=0,"",IF($B404&lt;H$23,H403+PPMT(H$26/12,$B404,H$23,H$235,-H$27,0),IF($B404=H$23,H403+PPMT(H$26/12,$B404,H$23,H$235,-H$27,0)-H$27,0)))</f>
        <v/>
      </c>
      <c r="I404" s="279">
        <f>IF(I$1=0,"",IF($B404&lt;I$23,I403+PPMT(I$26/12,$B404,I$23,I$235,-I$27,0),IF($B404=I$23,I403+PPMT(I$26/12,$B404,I$23,I$235,-I$27,0)-I$27,0)))</f>
        <v/>
      </c>
      <c r="J404" s="279">
        <f>IF(J$1=0,"",IF($B404&lt;J$23,J403+PPMT(J$26/12,$B404,J$23,J$235,-J$27,0),IF($B404=J$23,J403+PPMT(J$26/12,$B404,J$23,J$235,-J$27,0)-J$27,0)))</f>
        <v/>
      </c>
      <c r="K404" s="279">
        <f>IF(K$1=0,"",IF($B404&lt;K$23,K403+PPMT(K$26/12,$B404,K$23,K$235,-K$27,0),IF($B404=K$23,K403+PPMT(K$26/12,$B404,K$23,K$235,-K$27,0)-K$27,0)))</f>
        <v/>
      </c>
      <c r="L404" s="279">
        <f>IF(L$1=0,"",IF($B404&lt;L$23,L403+PPMT(L$26/12,$B404,L$23,L$235,-L$27,0),IF($B404=L$23,L403+PPMT(L$26/12,$B404,L$23,L$235,-L$27,0)-L$27,0)))</f>
        <v/>
      </c>
      <c r="M404" s="279">
        <f>IF(M$1=0,"",IF($B404&lt;M$23,M403+PPMT(M$26/12,$B404,M$23,M$235,-M$27,0),IF($B404=M$23,M403+PPMT(M$26/12,$B404,M$23,M$235,-M$27,0)-M$27,0)))</f>
        <v/>
      </c>
      <c r="N404" s="280" t="n"/>
      <c r="O404" s="281" t="n"/>
    </row>
    <row r="405" hidden="1" outlineLevel="1">
      <c r="B405" s="2">
        <f>B404+1</f>
        <v/>
      </c>
      <c r="D405" s="279">
        <f>IF(B405&lt;$D$24,(+CALCULETTE!G802/CALCULETTE!$B$612),0)</f>
        <v/>
      </c>
      <c r="E405" s="279">
        <f>IF(E$1=0,"",IF($B405&lt;E$23,E404+PPMT(E$26/12,$B405,E$23,E$235,-E$27,0),IF($B405=E$23,E404+PPMT(E$26/12,$B405,E$23,E$235,-E$27,0)-E$27,0)))</f>
        <v/>
      </c>
      <c r="F405" s="279">
        <f>IF(F$1=0,"",IF($B405&lt;F$23,F404+PPMT(F$26/12,$B405,F$23,F$235,-F$27,0),IF($B405=F$23,F404+PPMT(F$26/12,$B405,F$23,F$235,-F$27,0)-F$27,0)))</f>
        <v/>
      </c>
      <c r="G405" s="279">
        <f>IF(G$1=0,"",IF($B405&lt;G$23,G404+PPMT(G$26/12,$B405,G$23,G$235,-G$27,0),IF($B405=G$23,G404+PPMT(G$26/12,$B405,G$23,G$235,-G$27,0)-G$27,0)))</f>
        <v/>
      </c>
      <c r="H405" s="279">
        <f>IF(H$1=0,"",IF($B405&lt;H$23,H404+PPMT(H$26/12,$B405,H$23,H$235,-H$27,0),IF($B405=H$23,H404+PPMT(H$26/12,$B405,H$23,H$235,-H$27,0)-H$27,0)))</f>
        <v/>
      </c>
      <c r="I405" s="279">
        <f>IF(I$1=0,"",IF($B405&lt;I$23,I404+PPMT(I$26/12,$B405,I$23,I$235,-I$27,0),IF($B405=I$23,I404+PPMT(I$26/12,$B405,I$23,I$235,-I$27,0)-I$27,0)))</f>
        <v/>
      </c>
      <c r="J405" s="279">
        <f>IF(J$1=0,"",IF($B405&lt;J$23,J404+PPMT(J$26/12,$B405,J$23,J$235,-J$27,0),IF($B405=J$23,J404+PPMT(J$26/12,$B405,J$23,J$235,-J$27,0)-J$27,0)))</f>
        <v/>
      </c>
      <c r="K405" s="279">
        <f>IF(K$1=0,"",IF($B405&lt;K$23,K404+PPMT(K$26/12,$B405,K$23,K$235,-K$27,0),IF($B405=K$23,K404+PPMT(K$26/12,$B405,K$23,K$235,-K$27,0)-K$27,0)))</f>
        <v/>
      </c>
      <c r="L405" s="279">
        <f>IF(L$1=0,"",IF($B405&lt;L$23,L404+PPMT(L$26/12,$B405,L$23,L$235,-L$27,0),IF($B405=L$23,L404+PPMT(L$26/12,$B405,L$23,L$235,-L$27,0)-L$27,0)))</f>
        <v/>
      </c>
      <c r="M405" s="279">
        <f>IF(M$1=0,"",IF($B405&lt;M$23,M404+PPMT(M$26/12,$B405,M$23,M$235,-M$27,0),IF($B405=M$23,M404+PPMT(M$26/12,$B405,M$23,M$235,-M$27,0)-M$27,0)))</f>
        <v/>
      </c>
      <c r="N405" s="280" t="n"/>
      <c r="O405" s="281" t="n"/>
    </row>
    <row r="406" hidden="1" outlineLevel="1">
      <c r="B406" s="2">
        <f>B405+1</f>
        <v/>
      </c>
      <c r="D406" s="279">
        <f>IF(B406&lt;$D$24,(+CALCULETTE!G803/CALCULETTE!$B$612),0)</f>
        <v/>
      </c>
      <c r="E406" s="279">
        <f>IF(E$1=0,"",IF($B406&lt;E$23,E405+PPMT(E$26/12,$B406,E$23,E$235,-E$27,0),IF($B406=E$23,E405+PPMT(E$26/12,$B406,E$23,E$235,-E$27,0)-E$27,0)))</f>
        <v/>
      </c>
      <c r="F406" s="279">
        <f>IF(F$1=0,"",IF($B406&lt;F$23,F405+PPMT(F$26/12,$B406,F$23,F$235,-F$27,0),IF($B406=F$23,F405+PPMT(F$26/12,$B406,F$23,F$235,-F$27,0)-F$27,0)))</f>
        <v/>
      </c>
      <c r="G406" s="279">
        <f>IF(G$1=0,"",IF($B406&lt;G$23,G405+PPMT(G$26/12,$B406,G$23,G$235,-G$27,0),IF($B406=G$23,G405+PPMT(G$26/12,$B406,G$23,G$235,-G$27,0)-G$27,0)))</f>
        <v/>
      </c>
      <c r="H406" s="279">
        <f>IF(H$1=0,"",IF($B406&lt;H$23,H405+PPMT(H$26/12,$B406,H$23,H$235,-H$27,0),IF($B406=H$23,H405+PPMT(H$26/12,$B406,H$23,H$235,-H$27,0)-H$27,0)))</f>
        <v/>
      </c>
      <c r="I406" s="279">
        <f>IF(I$1=0,"",IF($B406&lt;I$23,I405+PPMT(I$26/12,$B406,I$23,I$235,-I$27,0),IF($B406=I$23,I405+PPMT(I$26/12,$B406,I$23,I$235,-I$27,0)-I$27,0)))</f>
        <v/>
      </c>
      <c r="J406" s="279">
        <f>IF(J$1=0,"",IF($B406&lt;J$23,J405+PPMT(J$26/12,$B406,J$23,J$235,-J$27,0),IF($B406=J$23,J405+PPMT(J$26/12,$B406,J$23,J$235,-J$27,0)-J$27,0)))</f>
        <v/>
      </c>
      <c r="K406" s="279">
        <f>IF(K$1=0,"",IF($B406&lt;K$23,K405+PPMT(K$26/12,$B406,K$23,K$235,-K$27,0),IF($B406=K$23,K405+PPMT(K$26/12,$B406,K$23,K$235,-K$27,0)-K$27,0)))</f>
        <v/>
      </c>
      <c r="L406" s="279">
        <f>IF(L$1=0,"",IF($B406&lt;L$23,L405+PPMT(L$26/12,$B406,L$23,L$235,-L$27,0),IF($B406=L$23,L405+PPMT(L$26/12,$B406,L$23,L$235,-L$27,0)-L$27,0)))</f>
        <v/>
      </c>
      <c r="M406" s="279">
        <f>IF(M$1=0,"",IF($B406&lt;M$23,M405+PPMT(M$26/12,$B406,M$23,M$235,-M$27,0),IF($B406=M$23,M405+PPMT(M$26/12,$B406,M$23,M$235,-M$27,0)-M$27,0)))</f>
        <v/>
      </c>
      <c r="N406" s="280" t="n"/>
      <c r="O406" s="281" t="n"/>
    </row>
    <row r="407" hidden="1" outlineLevel="1">
      <c r="B407" s="2">
        <f>B406+1</f>
        <v/>
      </c>
      <c r="D407" s="279">
        <f>IF(B407&lt;$D$24,(+CALCULETTE!G804/CALCULETTE!$B$612),0)</f>
        <v/>
      </c>
      <c r="E407" s="279">
        <f>IF(E$1=0,"",IF($B407&lt;E$23,E406+PPMT(E$26/12,$B407,E$23,E$235,-E$27,0),IF($B407=E$23,E406+PPMT(E$26/12,$B407,E$23,E$235,-E$27,0)-E$27,0)))</f>
        <v/>
      </c>
      <c r="F407" s="279">
        <f>IF(F$1=0,"",IF($B407&lt;F$23,F406+PPMT(F$26/12,$B407,F$23,F$235,-F$27,0),IF($B407=F$23,F406+PPMT(F$26/12,$B407,F$23,F$235,-F$27,0)-F$27,0)))</f>
        <v/>
      </c>
      <c r="G407" s="279">
        <f>IF(G$1=0,"",IF($B407&lt;G$23,G406+PPMT(G$26/12,$B407,G$23,G$235,-G$27,0),IF($B407=G$23,G406+PPMT(G$26/12,$B407,G$23,G$235,-G$27,0)-G$27,0)))</f>
        <v/>
      </c>
      <c r="H407" s="279">
        <f>IF(H$1=0,"",IF($B407&lt;H$23,H406+PPMT(H$26/12,$B407,H$23,H$235,-H$27,0),IF($B407=H$23,H406+PPMT(H$26/12,$B407,H$23,H$235,-H$27,0)-H$27,0)))</f>
        <v/>
      </c>
      <c r="I407" s="279">
        <f>IF(I$1=0,"",IF($B407&lt;I$23,I406+PPMT(I$26/12,$B407,I$23,I$235,-I$27,0),IF($B407=I$23,I406+PPMT(I$26/12,$B407,I$23,I$235,-I$27,0)-I$27,0)))</f>
        <v/>
      </c>
      <c r="J407" s="279">
        <f>IF(J$1=0,"",IF($B407&lt;J$23,J406+PPMT(J$26/12,$B407,J$23,J$235,-J$27,0),IF($B407=J$23,J406+PPMT(J$26/12,$B407,J$23,J$235,-J$27,0)-J$27,0)))</f>
        <v/>
      </c>
      <c r="K407" s="279">
        <f>IF(K$1=0,"",IF($B407&lt;K$23,K406+PPMT(K$26/12,$B407,K$23,K$235,-K$27,0),IF($B407=K$23,K406+PPMT(K$26/12,$B407,K$23,K$235,-K$27,0)-K$27,0)))</f>
        <v/>
      </c>
      <c r="L407" s="279">
        <f>IF(L$1=0,"",IF($B407&lt;L$23,L406+PPMT(L$26/12,$B407,L$23,L$235,-L$27,0),IF($B407=L$23,L406+PPMT(L$26/12,$B407,L$23,L$235,-L$27,0)-L$27,0)))</f>
        <v/>
      </c>
      <c r="M407" s="279">
        <f>IF(M$1=0,"",IF($B407&lt;M$23,M406+PPMT(M$26/12,$B407,M$23,M$235,-M$27,0),IF($B407=M$23,M406+PPMT(M$26/12,$B407,M$23,M$235,-M$27,0)-M$27,0)))</f>
        <v/>
      </c>
      <c r="N407" s="280" t="n"/>
      <c r="O407" s="281" t="n"/>
    </row>
    <row r="408" hidden="1" outlineLevel="1">
      <c r="B408" s="2">
        <f>B407+1</f>
        <v/>
      </c>
      <c r="D408" s="279">
        <f>IF(B408&lt;$D$24,(+#REF!/CALCULETTE!$B$612),0)</f>
        <v/>
      </c>
      <c r="E408" s="279">
        <f>IF(E$1=0,"",IF($B408&lt;E$23,E407+PPMT(E$26/12,$B408,E$23,E$235,-E$27,0),IF($B408=E$23,E407+PPMT(E$26/12,$B408,E$23,E$235,-E$27,0)-E$27,0)))</f>
        <v/>
      </c>
      <c r="F408" s="279">
        <f>IF(F$1=0,"",IF($B408&lt;F$23,F407+PPMT(F$26/12,$B408,F$23,F$235,-F$27,0),IF($B408=F$23,F407+PPMT(F$26/12,$B408,F$23,F$235,-F$27,0)-F$27,0)))</f>
        <v/>
      </c>
      <c r="G408" s="279">
        <f>IF(G$1=0,"",IF($B408&lt;G$23,G407+PPMT(G$26/12,$B408,G$23,G$235,-G$27,0),IF($B408=G$23,G407+PPMT(G$26/12,$B408,G$23,G$235,-G$27,0)-G$27,0)))</f>
        <v/>
      </c>
      <c r="H408" s="279">
        <f>IF(H$1=0,"",IF($B408&lt;H$23,H407+PPMT(H$26/12,$B408,H$23,H$235,-H$27,0),IF($B408=H$23,H407+PPMT(H$26/12,$B408,H$23,H$235,-H$27,0)-H$27,0)))</f>
        <v/>
      </c>
      <c r="I408" s="279">
        <f>IF(I$1=0,"",IF($B408&lt;I$23,I407+PPMT(I$26/12,$B408,I$23,I$235,-I$27,0),IF($B408=I$23,I407+PPMT(I$26/12,$B408,I$23,I$235,-I$27,0)-I$27,0)))</f>
        <v/>
      </c>
      <c r="J408" s="279">
        <f>IF(J$1=0,"",IF($B408&lt;J$23,J407+PPMT(J$26/12,$B408,J$23,J$235,-J$27,0),IF($B408=J$23,J407+PPMT(J$26/12,$B408,J$23,J$235,-J$27,0)-J$27,0)))</f>
        <v/>
      </c>
      <c r="K408" s="279">
        <f>IF(K$1=0,"",IF($B408&lt;K$23,K407+PPMT(K$26/12,$B408,K$23,K$235,-K$27,0),IF($B408=K$23,K407+PPMT(K$26/12,$B408,K$23,K$235,-K$27,0)-K$27,0)))</f>
        <v/>
      </c>
      <c r="L408" s="279">
        <f>IF(L$1=0,"",IF($B408&lt;L$23,L407+PPMT(L$26/12,$B408,L$23,L$235,-L$27,0),IF($B408=L$23,L407+PPMT(L$26/12,$B408,L$23,L$235,-L$27,0)-L$27,0)))</f>
        <v/>
      </c>
      <c r="M408" s="279">
        <f>IF(M$1=0,"",IF($B408&lt;M$23,M407+PPMT(M$26/12,$B408,M$23,M$235,-M$27,0),IF($B408=M$23,M407+PPMT(M$26/12,$B408,M$23,M$235,-M$27,0)-M$27,0)))</f>
        <v/>
      </c>
      <c r="N408" s="280" t="n"/>
      <c r="O408" s="281" t="n"/>
    </row>
    <row r="409" hidden="1" outlineLevel="1">
      <c r="B409" s="2">
        <f>B408+1</f>
        <v/>
      </c>
      <c r="D409" s="279">
        <f>IF(B409&lt;$D$24,(+#REF!/CALCULETTE!$B$612),0)</f>
        <v/>
      </c>
      <c r="E409" s="279">
        <f>IF(E$1=0,"",IF($B409&lt;E$23,E408+PPMT(E$26/12,$B409,E$23,E$235,-E$27,0),IF($B409=E$23,E408+PPMT(E$26/12,$B409,E$23,E$235,-E$27,0)-E$27,0)))</f>
        <v/>
      </c>
      <c r="F409" s="279">
        <f>IF(F$1=0,"",IF($B409&lt;F$23,F408+PPMT(F$26/12,$B409,F$23,F$235,-F$27,0),IF($B409=F$23,F408+PPMT(F$26/12,$B409,F$23,F$235,-F$27,0)-F$27,0)))</f>
        <v/>
      </c>
      <c r="G409" s="279">
        <f>IF(G$1=0,"",IF($B409&lt;G$23,G408+PPMT(G$26/12,$B409,G$23,G$235,-G$27,0),IF($B409=G$23,G408+PPMT(G$26/12,$B409,G$23,G$235,-G$27,0)-G$27,0)))</f>
        <v/>
      </c>
      <c r="H409" s="279">
        <f>IF(H$1=0,"",IF($B409&lt;H$23,H408+PPMT(H$26/12,$B409,H$23,H$235,-H$27,0),IF($B409=H$23,H408+PPMT(H$26/12,$B409,H$23,H$235,-H$27,0)-H$27,0)))</f>
        <v/>
      </c>
      <c r="I409" s="279">
        <f>IF(I$1=0,"",IF($B409&lt;I$23,I408+PPMT(I$26/12,$B409,I$23,I$235,-I$27,0),IF($B409=I$23,I408+PPMT(I$26/12,$B409,I$23,I$235,-I$27,0)-I$27,0)))</f>
        <v/>
      </c>
      <c r="J409" s="279">
        <f>IF(J$1=0,"",IF($B409&lt;J$23,J408+PPMT(J$26/12,$B409,J$23,J$235,-J$27,0),IF($B409=J$23,J408+PPMT(J$26/12,$B409,J$23,J$235,-J$27,0)-J$27,0)))</f>
        <v/>
      </c>
      <c r="K409" s="279">
        <f>IF(K$1=0,"",IF($B409&lt;K$23,K408+PPMT(K$26/12,$B409,K$23,K$235,-K$27,0),IF($B409=K$23,K408+PPMT(K$26/12,$B409,K$23,K$235,-K$27,0)-K$27,0)))</f>
        <v/>
      </c>
      <c r="L409" s="279">
        <f>IF(L$1=0,"",IF($B409&lt;L$23,L408+PPMT(L$26/12,$B409,L$23,L$235,-L$27,0),IF($B409=L$23,L408+PPMT(L$26/12,$B409,L$23,L$235,-L$27,0)-L$27,0)))</f>
        <v/>
      </c>
      <c r="M409" s="279">
        <f>IF(M$1=0,"",IF($B409&lt;M$23,M408+PPMT(M$26/12,$B409,M$23,M$235,-M$27,0),IF($B409=M$23,M408+PPMT(M$26/12,$B409,M$23,M$235,-M$27,0)-M$27,0)))</f>
        <v/>
      </c>
      <c r="N409" s="280" t="n"/>
      <c r="O409" s="281" t="n"/>
    </row>
    <row r="410" hidden="1" outlineLevel="1">
      <c r="B410" s="2">
        <f>B409+1</f>
        <v/>
      </c>
      <c r="D410" s="279">
        <f>IF(B410&lt;$D$24,(+#REF!/CALCULETTE!$B$612),0)</f>
        <v/>
      </c>
      <c r="E410" s="279">
        <f>IF(E$1=0,"",IF($B410&lt;E$23,E409+PPMT(E$26/12,$B410,E$23,E$235,-E$27,0),IF($B410=E$23,E409+PPMT(E$26/12,$B410,E$23,E$235,-E$27,0)-E$27,0)))</f>
        <v/>
      </c>
      <c r="F410" s="279">
        <f>IF(F$1=0,"",IF($B410&lt;F$23,F409+PPMT(F$26/12,$B410,F$23,F$235,-F$27,0),IF($B410=F$23,F409+PPMT(F$26/12,$B410,F$23,F$235,-F$27,0)-F$27,0)))</f>
        <v/>
      </c>
      <c r="G410" s="279">
        <f>IF(G$1=0,"",IF($B410&lt;G$23,G409+PPMT(G$26/12,$B410,G$23,G$235,-G$27,0),IF($B410=G$23,G409+PPMT(G$26/12,$B410,G$23,G$235,-G$27,0)-G$27,0)))</f>
        <v/>
      </c>
      <c r="H410" s="279">
        <f>IF(H$1=0,"",IF($B410&lt;H$23,H409+PPMT(H$26/12,$B410,H$23,H$235,-H$27,0),IF($B410=H$23,H409+PPMT(H$26/12,$B410,H$23,H$235,-H$27,0)-H$27,0)))</f>
        <v/>
      </c>
      <c r="I410" s="279">
        <f>IF(I$1=0,"",IF($B410&lt;I$23,I409+PPMT(I$26/12,$B410,I$23,I$235,-I$27,0),IF($B410=I$23,I409+PPMT(I$26/12,$B410,I$23,I$235,-I$27,0)-I$27,0)))</f>
        <v/>
      </c>
      <c r="J410" s="279">
        <f>IF(J$1=0,"",IF($B410&lt;J$23,J409+PPMT(J$26/12,$B410,J$23,J$235,-J$27,0),IF($B410=J$23,J409+PPMT(J$26/12,$B410,J$23,J$235,-J$27,0)-J$27,0)))</f>
        <v/>
      </c>
      <c r="K410" s="279">
        <f>IF(K$1=0,"",IF($B410&lt;K$23,K409+PPMT(K$26/12,$B410,K$23,K$235,-K$27,0),IF($B410=K$23,K409+PPMT(K$26/12,$B410,K$23,K$235,-K$27,0)-K$27,0)))</f>
        <v/>
      </c>
      <c r="L410" s="279">
        <f>IF(L$1=0,"",IF($B410&lt;L$23,L409+PPMT(L$26/12,$B410,L$23,L$235,-L$27,0),IF($B410=L$23,L409+PPMT(L$26/12,$B410,L$23,L$235,-L$27,0)-L$27,0)))</f>
        <v/>
      </c>
      <c r="M410" s="279">
        <f>IF(M$1=0,"",IF($B410&lt;M$23,M409+PPMT(M$26/12,$B410,M$23,M$235,-M$27,0),IF($B410=M$23,M409+PPMT(M$26/12,$B410,M$23,M$235,-M$27,0)-M$27,0)))</f>
        <v/>
      </c>
      <c r="N410" s="280" t="n"/>
      <c r="O410" s="281" t="n"/>
    </row>
    <row r="411" hidden="1" outlineLevel="1">
      <c r="B411" s="2">
        <f>B410+1</f>
        <v/>
      </c>
      <c r="D411" s="279">
        <f>IF(B411&lt;$D$24,(+#REF!/CALCULETTE!$B$612),0)</f>
        <v/>
      </c>
      <c r="E411" s="279">
        <f>IF(E$1=0,"",IF($B411&lt;E$23,E410+PPMT(E$26/12,$B411,E$23,E$235,-E$27,0),IF($B411=E$23,E410+PPMT(E$26/12,$B411,E$23,E$235,-E$27,0)-E$27,0)))</f>
        <v/>
      </c>
      <c r="F411" s="279">
        <f>IF(F$1=0,"",IF($B411&lt;F$23,F410+PPMT(F$26/12,$B411,F$23,F$235,-F$27,0),IF($B411=F$23,F410+PPMT(F$26/12,$B411,F$23,F$235,-F$27,0)-F$27,0)))</f>
        <v/>
      </c>
      <c r="G411" s="279">
        <f>IF(G$1=0,"",IF($B411&lt;G$23,G410+PPMT(G$26/12,$B411,G$23,G$235,-G$27,0),IF($B411=G$23,G410+PPMT(G$26/12,$B411,G$23,G$235,-G$27,0)-G$27,0)))</f>
        <v/>
      </c>
      <c r="H411" s="279">
        <f>IF(H$1=0,"",IF($B411&lt;H$23,H410+PPMT(H$26/12,$B411,H$23,H$235,-H$27,0),IF($B411=H$23,H410+PPMT(H$26/12,$B411,H$23,H$235,-H$27,0)-H$27,0)))</f>
        <v/>
      </c>
      <c r="I411" s="279">
        <f>IF(I$1=0,"",IF($B411&lt;I$23,I410+PPMT(I$26/12,$B411,I$23,I$235,-I$27,0),IF($B411=I$23,I410+PPMT(I$26/12,$B411,I$23,I$235,-I$27,0)-I$27,0)))</f>
        <v/>
      </c>
      <c r="J411" s="279">
        <f>IF(J$1=0,"",IF($B411&lt;J$23,J410+PPMT(J$26/12,$B411,J$23,J$235,-J$27,0),IF($B411=J$23,J410+PPMT(J$26/12,$B411,J$23,J$235,-J$27,0)-J$27,0)))</f>
        <v/>
      </c>
      <c r="K411" s="279">
        <f>IF(K$1=0,"",IF($B411&lt;K$23,K410+PPMT(K$26/12,$B411,K$23,K$235,-K$27,0),IF($B411=K$23,K410+PPMT(K$26/12,$B411,K$23,K$235,-K$27,0)-K$27,0)))</f>
        <v/>
      </c>
      <c r="L411" s="279">
        <f>IF(L$1=0,"",IF($B411&lt;L$23,L410+PPMT(L$26/12,$B411,L$23,L$235,-L$27,0),IF($B411=L$23,L410+PPMT(L$26/12,$B411,L$23,L$235,-L$27,0)-L$27,0)))</f>
        <v/>
      </c>
      <c r="M411" s="279">
        <f>IF(M$1=0,"",IF($B411&lt;M$23,M410+PPMT(M$26/12,$B411,M$23,M$235,-M$27,0),IF($B411=M$23,M410+PPMT(M$26/12,$B411,M$23,M$235,-M$27,0)-M$27,0)))</f>
        <v/>
      </c>
      <c r="N411" s="280" t="n"/>
      <c r="O411" s="281" t="n"/>
    </row>
    <row r="412" hidden="1" outlineLevel="1">
      <c r="B412" s="2">
        <f>B411+1</f>
        <v/>
      </c>
      <c r="D412" s="279">
        <f>IF(B412&lt;$D$24,(+#REF!/CALCULETTE!$B$612),0)</f>
        <v/>
      </c>
      <c r="E412" s="279">
        <f>IF(E$1=0,"",IF($B412&lt;E$23,E411+PPMT(E$26/12,$B412,E$23,E$235,-E$27,0),IF($B412=E$23,E411+PPMT(E$26/12,$B412,E$23,E$235,-E$27,0)-E$27,0)))</f>
        <v/>
      </c>
      <c r="F412" s="279">
        <f>IF(F$1=0,"",IF($B412&lt;F$23,F411+PPMT(F$26/12,$B412,F$23,F$235,-F$27,0),IF($B412=F$23,F411+PPMT(F$26/12,$B412,F$23,F$235,-F$27,0)-F$27,0)))</f>
        <v/>
      </c>
      <c r="G412" s="279">
        <f>IF(G$1=0,"",IF($B412&lt;G$23,G411+PPMT(G$26/12,$B412,G$23,G$235,-G$27,0),IF($B412=G$23,G411+PPMT(G$26/12,$B412,G$23,G$235,-G$27,0)-G$27,0)))</f>
        <v/>
      </c>
      <c r="H412" s="279">
        <f>IF(H$1=0,"",IF($B412&lt;H$23,H411+PPMT(H$26/12,$B412,H$23,H$235,-H$27,0),IF($B412=H$23,H411+PPMT(H$26/12,$B412,H$23,H$235,-H$27,0)-H$27,0)))</f>
        <v/>
      </c>
      <c r="I412" s="279">
        <f>IF(I$1=0,"",IF($B412&lt;I$23,I411+PPMT(I$26/12,$B412,I$23,I$235,-I$27,0),IF($B412=I$23,I411+PPMT(I$26/12,$B412,I$23,I$235,-I$27,0)-I$27,0)))</f>
        <v/>
      </c>
      <c r="J412" s="279">
        <f>IF(J$1=0,"",IF($B412&lt;J$23,J411+PPMT(J$26/12,$B412,J$23,J$235,-J$27,0),IF($B412=J$23,J411+PPMT(J$26/12,$B412,J$23,J$235,-J$27,0)-J$27,0)))</f>
        <v/>
      </c>
      <c r="K412" s="279">
        <f>IF(K$1=0,"",IF($B412&lt;K$23,K411+PPMT(K$26/12,$B412,K$23,K$235,-K$27,0),IF($B412=K$23,K411+PPMT(K$26/12,$B412,K$23,K$235,-K$27,0)-K$27,0)))</f>
        <v/>
      </c>
      <c r="L412" s="279">
        <f>IF(L$1=0,"",IF($B412&lt;L$23,L411+PPMT(L$26/12,$B412,L$23,L$235,-L$27,0),IF($B412=L$23,L411+PPMT(L$26/12,$B412,L$23,L$235,-L$27,0)-L$27,0)))</f>
        <v/>
      </c>
      <c r="M412" s="279">
        <f>IF(M$1=0,"",IF($B412&lt;M$23,M411+PPMT(M$26/12,$B412,M$23,M$235,-M$27,0),IF($B412=M$23,M411+PPMT(M$26/12,$B412,M$23,M$235,-M$27,0)-M$27,0)))</f>
        <v/>
      </c>
      <c r="N412" s="280" t="n"/>
      <c r="O412" s="281" t="n"/>
    </row>
    <row r="413" hidden="1" outlineLevel="1">
      <c r="B413" s="2">
        <f>B412+1</f>
        <v/>
      </c>
      <c r="D413" s="279">
        <f>IF(B413&lt;$D$24,(+#REF!/CALCULETTE!$B$612),0)</f>
        <v/>
      </c>
      <c r="E413" s="279">
        <f>IF(E$1=0,"",IF($B413&lt;E$23,E412+PPMT(E$26/12,$B413,E$23,E$235,-E$27,0),IF($B413=E$23,E412+PPMT(E$26/12,$B413,E$23,E$235,-E$27,0)-E$27,0)))</f>
        <v/>
      </c>
      <c r="F413" s="279">
        <f>IF(F$1=0,"",IF($B413&lt;F$23,F412+PPMT(F$26/12,$B413,F$23,F$235,-F$27,0),IF($B413=F$23,F412+PPMT(F$26/12,$B413,F$23,F$235,-F$27,0)-F$27,0)))</f>
        <v/>
      </c>
      <c r="G413" s="279">
        <f>IF(G$1=0,"",IF($B413&lt;G$23,G412+PPMT(G$26/12,$B413,G$23,G$235,-G$27,0),IF($B413=G$23,G412+PPMT(G$26/12,$B413,G$23,G$235,-G$27,0)-G$27,0)))</f>
        <v/>
      </c>
      <c r="H413" s="279">
        <f>IF(H$1=0,"",IF($B413&lt;H$23,H412+PPMT(H$26/12,$B413,H$23,H$235,-H$27,0),IF($B413=H$23,H412+PPMT(H$26/12,$B413,H$23,H$235,-H$27,0)-H$27,0)))</f>
        <v/>
      </c>
      <c r="I413" s="279">
        <f>IF(I$1=0,"",IF($B413&lt;I$23,I412+PPMT(I$26/12,$B413,I$23,I$235,-I$27,0),IF($B413=I$23,I412+PPMT(I$26/12,$B413,I$23,I$235,-I$27,0)-I$27,0)))</f>
        <v/>
      </c>
      <c r="J413" s="279">
        <f>IF(J$1=0,"",IF($B413&lt;J$23,J412+PPMT(J$26/12,$B413,J$23,J$235,-J$27,0),IF($B413=J$23,J412+PPMT(J$26/12,$B413,J$23,J$235,-J$27,0)-J$27,0)))</f>
        <v/>
      </c>
      <c r="K413" s="279">
        <f>IF(K$1=0,"",IF($B413&lt;K$23,K412+PPMT(K$26/12,$B413,K$23,K$235,-K$27,0),IF($B413=K$23,K412+PPMT(K$26/12,$B413,K$23,K$235,-K$27,0)-K$27,0)))</f>
        <v/>
      </c>
      <c r="L413" s="279">
        <f>IF(L$1=0,"",IF($B413&lt;L$23,L412+PPMT(L$26/12,$B413,L$23,L$235,-L$27,0),IF($B413=L$23,L412+PPMT(L$26/12,$B413,L$23,L$235,-L$27,0)-L$27,0)))</f>
        <v/>
      </c>
      <c r="M413" s="279">
        <f>IF(M$1=0,"",IF($B413&lt;M$23,M412+PPMT(M$26/12,$B413,M$23,M$235,-M$27,0),IF($B413=M$23,M412+PPMT(M$26/12,$B413,M$23,M$235,-M$27,0)-M$27,0)))</f>
        <v/>
      </c>
      <c r="N413" s="280" t="n"/>
      <c r="O413" s="281" t="n"/>
    </row>
    <row r="414" hidden="1" outlineLevel="1">
      <c r="B414" s="2">
        <f>B413+1</f>
        <v/>
      </c>
      <c r="D414" s="279">
        <f>IF(B414&lt;$D$24,(+#REF!/CALCULETTE!$B$612),0)</f>
        <v/>
      </c>
      <c r="E414" s="279">
        <f>IF(E$1=0,"",IF($B414&lt;E$23,E413+PPMT(E$26/12,$B414,E$23,E$235,-E$27,0),IF($B414=E$23,E413+PPMT(E$26/12,$B414,E$23,E$235,-E$27,0)-E$27,0)))</f>
        <v/>
      </c>
      <c r="F414" s="279">
        <f>IF(F$1=0,"",IF($B414&lt;F$23,F413+PPMT(F$26/12,$B414,F$23,F$235,-F$27,0),IF($B414=F$23,F413+PPMT(F$26/12,$B414,F$23,F$235,-F$27,0)-F$27,0)))</f>
        <v/>
      </c>
      <c r="G414" s="279">
        <f>IF(G$1=0,"",IF($B414&lt;G$23,G413+PPMT(G$26/12,$B414,G$23,G$235,-G$27,0),IF($B414=G$23,G413+PPMT(G$26/12,$B414,G$23,G$235,-G$27,0)-G$27,0)))</f>
        <v/>
      </c>
      <c r="H414" s="279">
        <f>IF(H$1=0,"",IF($B414&lt;H$23,H413+PPMT(H$26/12,$B414,H$23,H$235,-H$27,0),IF($B414=H$23,H413+PPMT(H$26/12,$B414,H$23,H$235,-H$27,0)-H$27,0)))</f>
        <v/>
      </c>
      <c r="I414" s="279">
        <f>IF(I$1=0,"",IF($B414&lt;I$23,I413+PPMT(I$26/12,$B414,I$23,I$235,-I$27,0),IF($B414=I$23,I413+PPMT(I$26/12,$B414,I$23,I$235,-I$27,0)-I$27,0)))</f>
        <v/>
      </c>
      <c r="J414" s="279">
        <f>IF(J$1=0,"",IF($B414&lt;J$23,J413+PPMT(J$26/12,$B414,J$23,J$235,-J$27,0),IF($B414=J$23,J413+PPMT(J$26/12,$B414,J$23,J$235,-J$27,0)-J$27,0)))</f>
        <v/>
      </c>
      <c r="K414" s="279">
        <f>IF(K$1=0,"",IF($B414&lt;K$23,K413+PPMT(K$26/12,$B414,K$23,K$235,-K$27,0),IF($B414=K$23,K413+PPMT(K$26/12,$B414,K$23,K$235,-K$27,0)-K$27,0)))</f>
        <v/>
      </c>
      <c r="L414" s="279">
        <f>IF(L$1=0,"",IF($B414&lt;L$23,L413+PPMT(L$26/12,$B414,L$23,L$235,-L$27,0),IF($B414=L$23,L413+PPMT(L$26/12,$B414,L$23,L$235,-L$27,0)-L$27,0)))</f>
        <v/>
      </c>
      <c r="M414" s="279">
        <f>IF(M$1=0,"",IF($B414&lt;M$23,M413+PPMT(M$26/12,$B414,M$23,M$235,-M$27,0),IF($B414=M$23,M413+PPMT(M$26/12,$B414,M$23,M$235,-M$27,0)-M$27,0)))</f>
        <v/>
      </c>
      <c r="N414" s="280" t="n"/>
      <c r="O414" s="281" t="n"/>
    </row>
    <row r="415" collapsed="1">
      <c r="D415" s="278" t="n"/>
    </row>
    <row r="416">
      <c r="D416" s="278" t="n"/>
    </row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>
      <c r="A608" s="179" t="n"/>
      <c r="B608" s="178" t="n"/>
      <c r="C608" s="179" t="n"/>
      <c r="D608" s="179" t="n"/>
      <c r="E608" s="179" t="n"/>
      <c r="F608" s="179" t="n"/>
      <c r="G608" s="179" t="n"/>
      <c r="H608" s="242" t="inlineStr">
        <is>
          <t>=(SI(A632&lt;$B$613;VPM($B$614/12;$B$613;-$B$612;$B$617;0);SI(A632=$B$613;VPM($B$614/12;$B$613;-$B$612;$B$617;0)+$B$617;0)))</t>
        </is>
      </c>
      <c r="I608" s="179" t="n"/>
      <c r="J608" s="179" t="n"/>
      <c r="K608" s="179" t="n"/>
      <c r="L608" s="179" t="n"/>
      <c r="M608" s="179" t="n"/>
      <c r="N608" s="179" t="n"/>
      <c r="O608" s="179" t="n"/>
      <c r="P608" s="179" t="n"/>
      <c r="Q608" s="179" t="n"/>
      <c r="R608" s="179" t="n"/>
      <c r="S608" s="179" t="n"/>
      <c r="T608" s="179" t="n"/>
      <c r="U608" s="179" t="n"/>
      <c r="V608" s="179" t="n"/>
    </row>
    <row r="609" ht="12.75" customHeight="1" thickBot="1">
      <c r="H609" s="25" t="inlineStr">
        <is>
          <t>=ARRONDI.SUP(SI(A632&lt;$B$613;VPM($B$614/12;$B$613;-$B$612*SI(CALCULETTE!$D$20=0;1;(1+$B$614/12));$B$617;$B$620);SI(A632=$B$613;VPM($B$614/12;$B$613;-$B$612*SI(CALCULETTE!$D$20=0;1;(1+$B$614/12));$B$617;$B$620)+$B$617;0));2)</t>
        </is>
      </c>
    </row>
    <row r="610" ht="15.75" customHeight="1">
      <c r="A610" s="43" t="n"/>
      <c r="B610" s="282" t="n"/>
      <c r="C610" s="44" t="n"/>
      <c r="D610" s="45" t="n"/>
      <c r="E610" s="46">
        <f>+D20*(1+B614/12)</f>
        <v/>
      </c>
      <c r="F610" s="46" t="n"/>
      <c r="G610" s="46" t="n"/>
      <c r="H610" s="243" t="inlineStr">
        <is>
          <t>=SI(A632&lt;$B$613;VPM($B$614/12;SI(SI(ESTVIDE(compensation!$B$4)=VRAI;0;1)&gt;0;+$B$613-1-0;$B$613-0);-$B$612;$B$617;$B$620);SI(A632=$B$613;VPM($B$614/12;$B$613;-$B$612;$B$617;$B$620)+$B$617;0))</t>
        </is>
      </c>
      <c r="I610" s="283" t="n"/>
      <c r="J610" s="46" t="n"/>
      <c r="K610" s="283" t="n"/>
      <c r="L610" s="190" t="n"/>
      <c r="M610" s="123" t="n"/>
      <c r="N610" s="46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190" t="n"/>
      <c r="Z610" s="46" t="n"/>
      <c r="AA610" s="60" t="n"/>
      <c r="AB610" s="284" t="n"/>
      <c r="AC610" s="46" t="n"/>
      <c r="AD610" s="46" t="n"/>
      <c r="AE610" s="46" t="n"/>
    </row>
    <row r="611" ht="12.75" customHeight="1" thickBot="1">
      <c r="A611" s="48" t="n"/>
      <c r="B611" s="285" t="n"/>
      <c r="C611" s="44" t="n"/>
      <c r="D611" s="46" t="n"/>
      <c r="E611" s="46" t="n"/>
      <c r="F611" s="46" t="n"/>
      <c r="G611" s="46" t="n"/>
      <c r="H611" s="46" t="n"/>
      <c r="I611" s="283" t="inlineStr">
        <is>
          <t>monatn fi</t>
        </is>
      </c>
      <c r="J611" s="46" t="inlineStr">
        <is>
          <t>vr</t>
        </is>
      </c>
      <c r="K611" s="283" t="inlineStr">
        <is>
          <t>échu ou à échoir</t>
        </is>
      </c>
      <c r="L611" s="190" t="n"/>
      <c r="M611" s="123" t="n"/>
      <c r="N611" s="46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190" t="n"/>
      <c r="Z611" s="46" t="n"/>
      <c r="AA611" s="60" t="n"/>
      <c r="AB611" s="284" t="n"/>
      <c r="AC611" s="46" t="n"/>
      <c r="AD611" s="46" t="n"/>
      <c r="AE611" s="46" t="n"/>
    </row>
    <row r="612">
      <c r="A612" s="49" t="inlineStr">
        <is>
          <t>Financed Amount</t>
        </is>
      </c>
      <c r="B612" s="286">
        <f>CALCULETTE!D22</f>
        <v/>
      </c>
      <c r="C612" s="46" t="n"/>
      <c r="D612" s="46" t="n"/>
      <c r="E612" s="287" t="n"/>
      <c r="F612" s="46" t="n"/>
      <c r="G612" s="46" t="n"/>
      <c r="H612" s="288">
        <f>PMT($B$614/12,$B$613,-$B$612,$B$617,0)</f>
        <v/>
      </c>
      <c r="I612" s="289">
        <f>-B612</f>
        <v/>
      </c>
      <c r="J612" s="289">
        <f>+B617</f>
        <v/>
      </c>
      <c r="K612" s="46" t="n">
        <v>0</v>
      </c>
      <c r="L612" s="190" t="n"/>
      <c r="M612" s="123" t="n"/>
      <c r="N612" s="46" t="n"/>
      <c r="O612" s="46" t="n"/>
      <c r="P612" s="289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190" t="n"/>
      <c r="Z612" s="46" t="n"/>
      <c r="AA612" s="241" t="n"/>
      <c r="AB612" s="290" t="n"/>
      <c r="AC612" s="46" t="n"/>
      <c r="AD612" s="46" t="n"/>
      <c r="AE612" s="46" t="n"/>
    </row>
    <row r="613">
      <c r="A613" s="87" t="inlineStr">
        <is>
          <t>Duration</t>
        </is>
      </c>
      <c r="B613" s="126">
        <f>CALCULETTE!D23</f>
        <v/>
      </c>
      <c r="C613" s="46" t="n"/>
      <c r="D613" s="241" t="inlineStr">
        <is>
          <t>Hors commissions</t>
        </is>
      </c>
      <c r="F613" s="46" t="n"/>
      <c r="G613" s="46" t="inlineStr">
        <is>
          <t>intérêt 1er mois</t>
        </is>
      </c>
      <c r="H613" s="288">
        <f>PMT($B$614/12,$B$613,-$B$612*IF(CALCULETTE!$D$20=0,1,(1+$B$614/12)),$B$617,$B$620)</f>
        <v/>
      </c>
      <c r="I613" s="288">
        <f>-$B$612*IF(CALCULETTE!$D$20=0,1,(1+$B$614/12))</f>
        <v/>
      </c>
      <c r="J613" s="46" t="n"/>
      <c r="K613" s="46" t="n">
        <v>1</v>
      </c>
      <c r="L613" s="190" t="n"/>
      <c r="M613" s="123" t="n"/>
      <c r="N613" s="46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190" t="n"/>
      <c r="Z613" s="46" t="n"/>
      <c r="AA613" s="193" t="n"/>
      <c r="AB613" s="194" t="n"/>
      <c r="AC613" s="46" t="n"/>
      <c r="AD613" s="46" t="n"/>
      <c r="AE613" s="46" t="n"/>
    </row>
    <row r="614">
      <c r="A614" s="87" t="inlineStr">
        <is>
          <t>Promo Rate (Customer APR)</t>
        </is>
      </c>
      <c r="B614" s="127">
        <f>CALCULETTE!D26</f>
        <v/>
      </c>
      <c r="C614" s="46" t="n"/>
      <c r="D614" s="51" t="inlineStr">
        <is>
          <t>TRI std</t>
        </is>
      </c>
      <c r="E614" s="52">
        <f>V629</f>
        <v/>
      </c>
      <c r="F614" s="46" t="n"/>
      <c r="G614" s="46" t="n"/>
      <c r="H614" s="46" t="n"/>
      <c r="J614" s="46" t="n"/>
      <c r="K614" s="46" t="n"/>
      <c r="L614" s="190" t="n"/>
      <c r="M614" s="123" t="n"/>
      <c r="N614" s="46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190" t="n"/>
      <c r="Z614" s="46" t="n"/>
      <c r="AA614" s="193" t="n"/>
      <c r="AB614" s="195" t="n"/>
      <c r="AC614" s="46" t="n"/>
      <c r="AD614" s="46" t="n"/>
      <c r="AE614" s="46" t="n"/>
    </row>
    <row r="615">
      <c r="A615" s="87" t="inlineStr">
        <is>
          <t>Reference Rate</t>
        </is>
      </c>
      <c r="B615" s="127">
        <f>CALCULETTE!D25</f>
        <v/>
      </c>
      <c r="C615" s="46" t="n"/>
      <c r="D615" s="51" t="inlineStr">
        <is>
          <t>TRI OPS</t>
        </is>
      </c>
      <c r="E615" s="52">
        <f>I629</f>
        <v/>
      </c>
      <c r="F615" s="46" t="n"/>
      <c r="G615" s="46" t="n"/>
      <c r="H615" s="46" t="n"/>
      <c r="I615" s="108" t="n"/>
      <c r="J615" s="46" t="n"/>
      <c r="K615" s="46" t="n"/>
      <c r="L615" s="190" t="n"/>
      <c r="M615" s="123" t="n"/>
      <c r="N615" s="46" t="n"/>
      <c r="O615" s="46" t="n"/>
      <c r="P615" s="46" t="n"/>
      <c r="Q615" s="46" t="n"/>
      <c r="R615" s="46" t="n"/>
      <c r="S615" s="46" t="n"/>
      <c r="T615" s="46" t="n"/>
      <c r="U615" s="46" t="n"/>
      <c r="V615" s="46" t="n"/>
      <c r="W615" s="46" t="n"/>
      <c r="X615" s="46" t="n"/>
      <c r="Y615" s="190" t="n"/>
      <c r="Z615" s="46" t="n"/>
      <c r="AA615" s="193" t="n"/>
      <c r="AB615" s="195" t="n"/>
      <c r="AC615" s="46" t="n"/>
      <c r="AD615" s="46" t="n"/>
      <c r="AE615" s="46" t="n"/>
    </row>
    <row r="616">
      <c r="A616" s="87" t="inlineStr">
        <is>
          <t>RV</t>
        </is>
      </c>
      <c r="B616" s="127">
        <f>CALCULETTE!D27</f>
        <v/>
      </c>
      <c r="C616" s="46" t="n"/>
      <c r="D616" s="128" t="inlineStr">
        <is>
          <t>Ecart</t>
        </is>
      </c>
      <c r="E616" s="53">
        <f>E614-E615</f>
        <v/>
      </c>
      <c r="F616" s="46" t="n"/>
      <c r="G616" s="46" t="n"/>
      <c r="H616" s="46" t="n"/>
      <c r="I616" s="289" t="n"/>
      <c r="J616" s="46" t="n"/>
      <c r="K616" s="46" t="n"/>
      <c r="L616" s="190" t="n"/>
      <c r="M616" s="123" t="n"/>
      <c r="N616" s="46" t="n"/>
      <c r="O616" s="46" t="n"/>
      <c r="P616" s="46" t="n"/>
      <c r="Q616" s="46" t="n"/>
      <c r="R616" s="46" t="n"/>
      <c r="S616" s="46" t="n"/>
      <c r="T616" s="46" t="n"/>
      <c r="U616" s="46" t="n"/>
      <c r="V616" s="46" t="n"/>
      <c r="W616" s="46" t="n"/>
      <c r="X616" s="46" t="n"/>
      <c r="Y616" s="190" t="n"/>
      <c r="Z616" s="46" t="n"/>
      <c r="AA616" s="193" t="n"/>
      <c r="AB616" s="195" t="n"/>
      <c r="AC616" s="46" t="n"/>
      <c r="AD616" s="46" t="n"/>
      <c r="AE616" s="46" t="n"/>
    </row>
    <row r="617">
      <c r="A617" s="87" t="inlineStr">
        <is>
          <t xml:space="preserve">RV </t>
        </is>
      </c>
      <c r="B617" s="291">
        <f>B616*B612</f>
        <v/>
      </c>
      <c r="C617" s="46" t="n"/>
      <c r="D617" s="241" t="inlineStr">
        <is>
          <t>yc commissions</t>
        </is>
      </c>
      <c r="F617" s="46" t="n"/>
      <c r="G617" s="46" t="n"/>
      <c r="H617" s="46" t="n"/>
      <c r="I617" s="46" t="n"/>
      <c r="J617" s="46" t="n"/>
      <c r="K617" s="46" t="n"/>
      <c r="L617" s="190" t="n"/>
      <c r="M617" s="123" t="n"/>
      <c r="N617" s="46" t="n"/>
      <c r="O617" s="46" t="n"/>
      <c r="P617" s="46" t="n"/>
      <c r="Q617" s="46" t="n"/>
      <c r="R617" s="46" t="n"/>
      <c r="S617" s="46" t="n"/>
      <c r="T617" s="46" t="n"/>
      <c r="U617" s="46" t="n"/>
      <c r="V617" s="46" t="n"/>
      <c r="W617" s="46" t="n"/>
      <c r="X617" s="46" t="n"/>
      <c r="Y617" s="190" t="n"/>
      <c r="Z617" s="46" t="n"/>
      <c r="AA617" s="193" t="n"/>
      <c r="AB617" s="292" t="n"/>
      <c r="AC617" s="46" t="n"/>
      <c r="AD617" s="46" t="n"/>
      <c r="AE617" s="46" t="n"/>
    </row>
    <row r="618">
      <c r="A618" s="87" t="inlineStr">
        <is>
          <t>Dealer Commission (Standard)</t>
        </is>
      </c>
      <c r="B618" s="130">
        <f>CALCULETTE!D33</f>
        <v/>
      </c>
      <c r="C618" s="46" t="n"/>
      <c r="D618" s="51" t="inlineStr">
        <is>
          <t>TRI std</t>
        </is>
      </c>
      <c r="E618" s="52">
        <f>X629</f>
        <v/>
      </c>
      <c r="F618" s="46" t="n"/>
      <c r="G618" s="46" t="n"/>
      <c r="H618" s="46" t="n"/>
      <c r="I618" s="46" t="n"/>
      <c r="J618" s="46" t="n"/>
      <c r="K618" s="46" t="n"/>
      <c r="L618" s="190" t="n"/>
      <c r="M618" s="123" t="n"/>
      <c r="N618" s="46" t="n"/>
      <c r="O618" s="46" t="n"/>
      <c r="P618" s="289">
        <f>SUM(D632:D750)</f>
        <v/>
      </c>
      <c r="Q618" s="289">
        <f>SUM(Q632:Q750)</f>
        <v/>
      </c>
      <c r="R618" s="214" t="n"/>
      <c r="S618" s="46" t="n"/>
      <c r="T618" s="46" t="n"/>
      <c r="U618" s="46" t="n"/>
      <c r="V618" s="46" t="n"/>
      <c r="W618" s="46" t="n"/>
      <c r="X618" s="46" t="n"/>
      <c r="Y618" s="190" t="n"/>
      <c r="Z618" s="46" t="n"/>
      <c r="AA618" s="193" t="n"/>
      <c r="AB618" s="197" t="n"/>
      <c r="AC618" s="46" t="n"/>
      <c r="AD618" s="46" t="n"/>
      <c r="AE618" s="46" t="n"/>
    </row>
    <row r="619">
      <c r="A619" s="87" t="inlineStr">
        <is>
          <t>Dealer Commission (Agreed)</t>
        </is>
      </c>
      <c r="B619" s="130">
        <f>CALCULETTE!D34</f>
        <v/>
      </c>
      <c r="C619" s="46" t="n"/>
      <c r="D619" s="51" t="inlineStr">
        <is>
          <t>TRI OPS</t>
        </is>
      </c>
      <c r="E619" s="52">
        <f>K629</f>
        <v/>
      </c>
      <c r="F619" s="46" t="n"/>
      <c r="G619" s="46" t="n"/>
      <c r="H619" s="46" t="n"/>
      <c r="I619" s="46" t="n"/>
      <c r="J619" s="288" t="n"/>
      <c r="K619" s="46" t="n"/>
      <c r="L619" s="190" t="n"/>
      <c r="M619" s="123" t="n"/>
      <c r="N619" s="46" t="n"/>
      <c r="O619" s="46" t="n"/>
      <c r="P619" s="289">
        <f>Q618-P618</f>
        <v/>
      </c>
      <c r="Q619" s="46" t="n"/>
      <c r="R619" s="46" t="n"/>
      <c r="S619" s="46" t="n"/>
      <c r="T619" s="46" t="n"/>
      <c r="U619" s="46" t="n"/>
      <c r="V619" s="46" t="n"/>
      <c r="W619" s="46" t="n"/>
      <c r="X619" s="46" t="n"/>
      <c r="Y619" s="190" t="n"/>
      <c r="Z619" s="46" t="n"/>
      <c r="AA619" s="193" t="n"/>
      <c r="AB619" s="197" t="n"/>
      <c r="AC619" s="46" t="n"/>
      <c r="AD619" s="46" t="n"/>
      <c r="AE619" s="46" t="n"/>
    </row>
    <row r="620" ht="12.75" customHeight="1" thickBot="1">
      <c r="A620" s="131" t="inlineStr">
        <is>
          <t>Echu ou à echoir</t>
        </is>
      </c>
      <c r="B620" s="132" t="n">
        <v>1</v>
      </c>
      <c r="C620" s="46" t="n"/>
      <c r="D620" s="128" t="inlineStr">
        <is>
          <t>Ecart</t>
        </is>
      </c>
      <c r="E620" s="53">
        <f>E618-E619</f>
        <v/>
      </c>
      <c r="F620" s="46" t="n"/>
      <c r="G620" s="46" t="n"/>
      <c r="H620" s="46" t="n"/>
      <c r="I620" s="46" t="n"/>
      <c r="J620" s="46" t="n"/>
      <c r="K620" s="46" t="n"/>
      <c r="L620" s="190" t="n"/>
      <c r="M620" s="123" t="n"/>
      <c r="N620" s="46" t="n"/>
      <c r="O620" s="46" t="n"/>
      <c r="P620" s="46" t="n"/>
      <c r="Q620" s="46" t="n"/>
      <c r="R620" s="46" t="n"/>
      <c r="S620" s="46" t="n"/>
      <c r="T620" s="46" t="n"/>
      <c r="U620" s="46" t="n"/>
      <c r="V620" s="46" t="n"/>
      <c r="W620" s="46" t="n"/>
      <c r="X620" s="46" t="n"/>
      <c r="Y620" s="190" t="n"/>
      <c r="Z620" s="46" t="n"/>
      <c r="AA620" s="198" t="n"/>
      <c r="AB620" s="199" t="n"/>
      <c r="AC620" s="46" t="n"/>
      <c r="AD620" s="46" t="n"/>
      <c r="AE620" s="46" t="n"/>
    </row>
    <row r="621" ht="12.75" customHeight="1" thickBot="1">
      <c r="A621" s="133" t="inlineStr">
        <is>
          <t>Early repayment (by month)</t>
        </is>
      </c>
      <c r="B621" s="293" t="n">
        <v>0.005</v>
      </c>
      <c r="C621" s="46" t="n"/>
      <c r="D621" s="128" t="n"/>
      <c r="E621" s="53" t="n"/>
      <c r="F621" s="46" t="n"/>
      <c r="G621" s="46" t="n"/>
      <c r="H621" s="46" t="n"/>
      <c r="I621" s="46" t="n"/>
      <c r="J621" s="46" t="n"/>
      <c r="K621" s="46" t="n"/>
      <c r="L621" s="190" t="n"/>
      <c r="M621" s="123" t="n"/>
      <c r="N621" s="46" t="n"/>
      <c r="O621" s="46" t="n"/>
      <c r="P621" s="46" t="n"/>
      <c r="Q621" s="46" t="n"/>
      <c r="R621" s="46" t="n"/>
      <c r="S621" s="46" t="n"/>
      <c r="T621" s="46" t="n"/>
      <c r="U621" s="46" t="n"/>
      <c r="V621" s="46" t="n"/>
      <c r="W621" s="46" t="n"/>
      <c r="X621" s="46" t="n"/>
      <c r="Y621" s="190" t="n"/>
      <c r="Z621" s="46" t="n"/>
      <c r="AA621" s="200" t="n"/>
      <c r="AB621" s="201" t="n"/>
      <c r="AC621" s="46" t="n"/>
      <c r="AD621" s="46" t="n"/>
      <c r="AE621" s="46" t="n"/>
    </row>
    <row r="622">
      <c r="A622" s="78" t="inlineStr">
        <is>
          <t>Ecart intérêts</t>
        </is>
      </c>
      <c r="B622" s="294">
        <f>U629-H629</f>
        <v/>
      </c>
      <c r="C622" s="46" t="n"/>
      <c r="D622" s="46" t="n"/>
      <c r="E622" s="46" t="n"/>
      <c r="F622" s="46" t="n"/>
      <c r="G622" s="46" t="n"/>
      <c r="H622" s="46" t="n"/>
      <c r="I622" s="46" t="n"/>
      <c r="J622" s="46" t="n"/>
      <c r="K622" s="46" t="n"/>
      <c r="L622" s="190" t="n"/>
      <c r="M622" s="123" t="n"/>
      <c r="N622" s="46" t="n"/>
      <c r="O622" s="46" t="n"/>
      <c r="P622" s="46" t="n"/>
      <c r="Q622" s="46" t="n"/>
      <c r="R622" s="46" t="n"/>
      <c r="S622" s="46" t="n"/>
      <c r="T622" s="46" t="n"/>
      <c r="U622" s="46" t="n"/>
      <c r="V622" s="46" t="n"/>
      <c r="W622" s="46" t="n"/>
      <c r="X622" s="46" t="n"/>
      <c r="Y622" s="190" t="n"/>
      <c r="Z622" s="46" t="n"/>
      <c r="AA622" s="202" t="n"/>
      <c r="AB622" s="295" t="n"/>
      <c r="AC622" s="46" t="n"/>
      <c r="AD622" s="46" t="n"/>
      <c r="AE622" s="46" t="n"/>
    </row>
    <row r="623">
      <c r="A623" s="79" t="inlineStr">
        <is>
          <t>Ecart commissions</t>
        </is>
      </c>
      <c r="B623" s="296">
        <f>W629-J629</f>
        <v/>
      </c>
      <c r="C623" s="46" t="n"/>
      <c r="D623" s="46" t="n"/>
      <c r="E623" s="99">
        <f>IF(A632&lt;$B$613,PMT($B$614/12,IF(IF(ISBLANK(compensation!$B$4)=TRUE,0,1)&gt;0,+$B$613-1-0,$B$613-0),-$B$612,$B$617,$B$620),IF(A632=$B$613,PMT($B$614/12,$B$613,-$B$612,$B$617,$B$620)+$B$617,0))</f>
        <v/>
      </c>
      <c r="F623" s="99" t="n"/>
      <c r="G623" s="99" t="n"/>
      <c r="H623" s="99" t="n"/>
      <c r="I623" s="297" t="n"/>
      <c r="J623" s="46" t="n"/>
      <c r="K623" s="298" t="n"/>
      <c r="L623" s="190" t="n"/>
      <c r="M623" s="299" t="n"/>
      <c r="N623" s="46" t="n"/>
      <c r="O623" s="46" t="n"/>
      <c r="P623" s="46" t="n"/>
      <c r="Q623" s="46" t="n"/>
      <c r="R623" s="99">
        <f>IF(N632&lt;$B$613,PMT($B$615/12,$B$613,-$B$612,$B$617,$B$620),IF(N632=$B$613,PMT($B$615/12,$B$613,-$B$612,$B$617,$B$620)+$B$617,0))</f>
        <v/>
      </c>
      <c r="S623" s="46" t="n"/>
      <c r="T623" s="99" t="n"/>
      <c r="U623" s="99" t="n"/>
      <c r="V623" s="46" t="n"/>
      <c r="W623" s="46" t="n"/>
      <c r="X623" s="46" t="n"/>
      <c r="Y623" s="190" t="n"/>
      <c r="Z623" s="46" t="n"/>
      <c r="AA623" s="202" t="n"/>
      <c r="AB623" s="295" t="n"/>
      <c r="AC623" s="46" t="n"/>
      <c r="AD623" s="46" t="n"/>
      <c r="AE623" s="46" t="n"/>
    </row>
    <row r="624" ht="15" customHeight="1">
      <c r="A624" s="77" t="inlineStr">
        <is>
          <t>Subisidied amount per unit(€)</t>
        </is>
      </c>
      <c r="B624" s="300">
        <f>(U629+W629)-(H629+J629)</f>
        <v/>
      </c>
      <c r="C624" s="301">
        <f>B624-CALCULETTE!D37</f>
        <v/>
      </c>
      <c r="D624" s="138" t="inlineStr">
        <is>
          <t>VPM</t>
        </is>
      </c>
      <c r="E624" s="99">
        <f>ROUNDUP(IF(A632&lt;$B$613,PMT($B$614/12,$B$613,-$B$612,$B$617,$B$620),IF(A632=$B$613,PMT($B$614/12,$B$613,-$B$612,$B$617,$B$620)+$B$617,0)),2)</f>
        <v/>
      </c>
      <c r="F624" s="99">
        <f>+E623*1.2</f>
        <v/>
      </c>
      <c r="G624" s="99" t="n"/>
      <c r="H624" s="99" t="n"/>
      <c r="I624" s="289" t="n"/>
      <c r="J624" s="139" t="n"/>
      <c r="K624" s="298" t="n"/>
      <c r="L624" s="190" t="n"/>
      <c r="M624" s="123" t="n"/>
      <c r="N624" s="46" t="n"/>
      <c r="O624" s="46" t="n"/>
      <c r="P624" s="46" t="n"/>
      <c r="Q624" s="138" t="inlineStr">
        <is>
          <t>VPM</t>
        </is>
      </c>
      <c r="R624" s="99">
        <f>ROUNDUP(IF(N632&lt;$B$613,PMT($B$615/12,$B$613,-$B$612*IF(CALCULETTE!$D$20=0,1,(1+$B$615/12)),$B$617,$B$620),IF(N632=$B$613,PMT($B$615/12,$B$613,-$B$612*IF(CALCULETTE!$D$20=0,1,(1+$B$615/12)),$B$617,$B$620)+$B$617,0)),2)</f>
        <v/>
      </c>
      <c r="S624" s="99">
        <f>+R624*1.2</f>
        <v/>
      </c>
      <c r="T624" s="99" t="n"/>
      <c r="U624" s="99" t="n"/>
      <c r="V624" s="46" t="n"/>
      <c r="W624" s="46" t="n"/>
      <c r="X624" s="46" t="n"/>
      <c r="Y624" s="190" t="n"/>
      <c r="Z624" s="46" t="n"/>
      <c r="AA624" s="204" t="n"/>
      <c r="AB624" s="302" t="n"/>
      <c r="AC624" s="46" t="n"/>
      <c r="AD624" s="46" t="n"/>
      <c r="AE624" s="46" t="n"/>
    </row>
    <row r="625" ht="15.75" customHeight="1" thickBot="1">
      <c r="A625" s="54" t="inlineStr">
        <is>
          <t xml:space="preserve">Rate /prod </t>
        </is>
      </c>
      <c r="B625" s="80">
        <f>B624/B612</f>
        <v/>
      </c>
      <c r="C625" s="287">
        <f>+B617+C632</f>
        <v/>
      </c>
      <c r="D625" s="138" t="n"/>
      <c r="E625" s="46" t="n"/>
      <c r="F625" s="46" t="n"/>
      <c r="G625" s="46" t="n"/>
      <c r="H625" s="289">
        <f>+U629-H629</f>
        <v/>
      </c>
      <c r="I625" s="289">
        <f>+Q629-D629</f>
        <v/>
      </c>
      <c r="J625" s="46" t="n"/>
      <c r="K625" s="46" t="n"/>
      <c r="L625" s="190" t="n"/>
      <c r="M625" s="123" t="n"/>
      <c r="N625" s="46" t="n"/>
      <c r="O625" s="46" t="n"/>
      <c r="P625" s="46" t="n"/>
      <c r="Q625" s="46" t="n"/>
      <c r="R625" s="46" t="n"/>
      <c r="S625" s="46" t="n"/>
      <c r="T625" s="46" t="n"/>
      <c r="U625" s="46" t="n"/>
      <c r="V625" s="46" t="n"/>
      <c r="W625" s="46" t="n"/>
      <c r="X625" s="46" t="n"/>
      <c r="Y625" s="190" t="n"/>
      <c r="Z625" s="46" t="n"/>
      <c r="AA625" s="206" t="n"/>
      <c r="AB625" s="207" t="n"/>
      <c r="AC625" s="46" t="n"/>
      <c r="AD625" s="46" t="n"/>
      <c r="AE625" s="46" t="n"/>
    </row>
    <row r="626">
      <c r="A626" s="60" t="n"/>
      <c r="B626" s="100" t="n"/>
      <c r="C626" s="46" t="n"/>
      <c r="D626" s="46" t="n"/>
      <c r="E626" s="46" t="n"/>
      <c r="F626" s="303" t="n"/>
      <c r="G626" s="303" t="n"/>
      <c r="H626" s="303" t="n"/>
      <c r="I626" s="46" t="n"/>
      <c r="J626" s="46" t="n"/>
      <c r="K626" s="46" t="n"/>
      <c r="L626" s="190" t="n"/>
      <c r="M626" s="123" t="n"/>
      <c r="N626" s="46" t="n"/>
      <c r="O626" s="46" t="n"/>
      <c r="P626" s="46" t="n"/>
      <c r="Q626" s="46" t="n"/>
      <c r="R626" s="46" t="n"/>
      <c r="S626" s="303" t="n"/>
      <c r="T626" s="303">
        <f>T628-CALCULETTE!D40</f>
        <v/>
      </c>
      <c r="U626" s="303" t="n"/>
      <c r="V626" s="46" t="n"/>
      <c r="W626" s="46" t="n"/>
      <c r="X626" s="46" t="n"/>
      <c r="Y626" s="190" t="n"/>
      <c r="Z626" s="46" t="n"/>
      <c r="AA626" s="46" t="n"/>
      <c r="AB626" s="46" t="n"/>
      <c r="AC626" s="46" t="n"/>
      <c r="AD626" s="46" t="n"/>
      <c r="AE626" s="46" t="n"/>
    </row>
    <row r="627">
      <c r="A627" s="236" t="inlineStr">
        <is>
          <t>AVEC TAUX CLIENT OPS</t>
        </is>
      </c>
      <c r="B627" s="304" t="n"/>
      <c r="C627" s="304" t="n"/>
      <c r="D627" s="304" t="n"/>
      <c r="E627" s="304" t="n"/>
      <c r="F627" s="304" t="n"/>
      <c r="G627" s="304" t="n"/>
      <c r="H627" s="304" t="n"/>
      <c r="I627" s="304" t="n"/>
      <c r="J627" s="304" t="n"/>
      <c r="K627" s="304" t="n"/>
      <c r="L627" s="304" t="n"/>
      <c r="M627" s="123" t="n"/>
      <c r="N627" s="236" t="inlineStr">
        <is>
          <t>AVEC TAUX STANDARD TOTAL</t>
        </is>
      </c>
      <c r="O627" s="304" t="n"/>
      <c r="P627" s="304" t="n"/>
      <c r="Q627" s="304" t="n"/>
      <c r="R627" s="304" t="n"/>
      <c r="S627" s="304" t="n"/>
      <c r="T627" s="304" t="n"/>
      <c r="U627" s="304" t="n"/>
      <c r="V627" s="304" t="n"/>
      <c r="W627" s="304" t="n"/>
      <c r="X627" s="304" t="n"/>
      <c r="Y627" s="304" t="n"/>
      <c r="Z627" s="46" t="n"/>
      <c r="AA627" s="46" t="n"/>
      <c r="AB627" s="46" t="n"/>
      <c r="AC627" s="46" t="n"/>
      <c r="AD627" s="46" t="n"/>
      <c r="AE627" s="46" t="n"/>
    </row>
    <row r="628">
      <c r="A628" s="55" t="n"/>
      <c r="B628" s="305" t="n"/>
      <c r="C628" s="141" t="n"/>
      <c r="D628" s="306">
        <f>+D629/B612</f>
        <v/>
      </c>
      <c r="E628" s="60" t="n"/>
      <c r="F628" s="307">
        <f>+F629/B612</f>
        <v/>
      </c>
      <c r="G628" s="307">
        <f>+G629/B612</f>
        <v/>
      </c>
      <c r="H628" s="307" t="n"/>
      <c r="I628" s="57" t="inlineStr">
        <is>
          <t>TRI hors com</t>
        </is>
      </c>
      <c r="J628" s="307" t="n"/>
      <c r="K628" s="57" t="inlineStr">
        <is>
          <t>TRI avec com</t>
        </is>
      </c>
      <c r="L628" s="143" t="n"/>
      <c r="M628" s="144" t="n"/>
      <c r="N628" s="55" t="n"/>
      <c r="O628" s="305" t="n"/>
      <c r="P628" s="141" t="n"/>
      <c r="Q628" s="306">
        <f>+Q629/B612</f>
        <v/>
      </c>
      <c r="R628" s="60" t="n"/>
      <c r="S628" s="307">
        <f>+S629/B612</f>
        <v/>
      </c>
      <c r="T628" s="307">
        <f>+T629/B612</f>
        <v/>
      </c>
      <c r="U628" s="307" t="n"/>
      <c r="V628" s="57" t="inlineStr">
        <is>
          <t>TRI</t>
        </is>
      </c>
      <c r="W628" s="307" t="n"/>
      <c r="X628" s="57" t="inlineStr">
        <is>
          <t>TRI avec com</t>
        </is>
      </c>
      <c r="Y628" s="143" t="n"/>
      <c r="Z628" s="58" t="n"/>
      <c r="AA628" s="58" t="n"/>
      <c r="AB628" s="58" t="n"/>
      <c r="AC628" s="58" t="n"/>
      <c r="AD628" s="58" t="n"/>
      <c r="AE628" s="58" t="n"/>
    </row>
    <row r="629">
      <c r="A629" s="59" t="n"/>
      <c r="B629" s="308" t="n"/>
      <c r="C629" s="60" t="n"/>
      <c r="D629" s="308">
        <f>SUM(D632:D812)</f>
        <v/>
      </c>
      <c r="E629" s="146" t="n"/>
      <c r="F629" s="309">
        <f>SUM(F631:F812)/12</f>
        <v/>
      </c>
      <c r="G629" s="309">
        <f>SUM(G631:G812)/12</f>
        <v/>
      </c>
      <c r="H629" s="308">
        <f>SUM(H632:H812)</f>
        <v/>
      </c>
      <c r="I629" s="62">
        <f>IRR(I631:I812)*12</f>
        <v/>
      </c>
      <c r="J629" s="308">
        <f>SUM(J631:J812)</f>
        <v/>
      </c>
      <c r="K629" s="62">
        <f>IRR(K631:K812)*12</f>
        <v/>
      </c>
      <c r="L629" s="147" t="n"/>
      <c r="M629" s="148" t="n"/>
      <c r="N629" s="59" t="n"/>
      <c r="O629" s="308" t="n"/>
      <c r="P629" s="60" t="n"/>
      <c r="Q629" s="308">
        <f>SUM(Q632:Q812)</f>
        <v/>
      </c>
      <c r="R629" s="146" t="n"/>
      <c r="S629" s="309">
        <f>SUM(S631:S812)/12</f>
        <v/>
      </c>
      <c r="T629" s="309">
        <f>SUM(T631:T812)/12</f>
        <v/>
      </c>
      <c r="U629" s="308">
        <f>SUM(U632:U812)</f>
        <v/>
      </c>
      <c r="V629" s="63">
        <f>IRR(V631:V812)*12</f>
        <v/>
      </c>
      <c r="W629" s="308">
        <f>SUM(W631:W812)</f>
        <v/>
      </c>
      <c r="X629" s="62">
        <f>IRR(X631:X812)*12</f>
        <v/>
      </c>
      <c r="Y629" s="147" t="n"/>
      <c r="Z629" s="46" t="n"/>
      <c r="AA629" s="46" t="n"/>
      <c r="AB629" s="46" t="n"/>
      <c r="AC629" s="46" t="n"/>
      <c r="AD629" s="46" t="n"/>
      <c r="AE629" s="46" t="n"/>
    </row>
    <row r="630" ht="24" customHeight="1">
      <c r="A630" s="64" t="n"/>
      <c r="B630" s="65" t="inlineStr">
        <is>
          <t>CRD début</t>
        </is>
      </c>
      <c r="C630" s="65" t="inlineStr">
        <is>
          <t>mensu</t>
        </is>
      </c>
      <c r="D630" s="65" t="inlineStr">
        <is>
          <t>interêts</t>
        </is>
      </c>
      <c r="E630" s="65" t="inlineStr">
        <is>
          <t>amort</t>
        </is>
      </c>
      <c r="F630" s="66" t="inlineStr">
        <is>
          <t>CRD fin contractuel</t>
        </is>
      </c>
      <c r="G630" s="66" t="inlineStr">
        <is>
          <t>CRD fin yc RA</t>
        </is>
      </c>
      <c r="H630" s="65" t="inlineStr">
        <is>
          <t>interêts yc RA</t>
        </is>
      </c>
      <c r="I630" s="67" t="n"/>
      <c r="J630" s="66" t="inlineStr">
        <is>
          <t>Com°</t>
        </is>
      </c>
      <c r="K630" s="67" t="n"/>
      <c r="L630" s="149" t="inlineStr">
        <is>
          <t>profil theo</t>
        </is>
      </c>
      <c r="M630" s="150" t="n"/>
      <c r="N630" s="64" t="n"/>
      <c r="O630" s="65" t="inlineStr">
        <is>
          <t>CRD début</t>
        </is>
      </c>
      <c r="P630" s="65" t="inlineStr">
        <is>
          <t>mensu</t>
        </is>
      </c>
      <c r="Q630" s="65" t="inlineStr">
        <is>
          <t>interêts</t>
        </is>
      </c>
      <c r="R630" s="65" t="inlineStr">
        <is>
          <t>amort</t>
        </is>
      </c>
      <c r="S630" s="66" t="inlineStr">
        <is>
          <t>CRD fin</t>
        </is>
      </c>
      <c r="T630" s="66" t="inlineStr">
        <is>
          <t>CRD fin yc RA</t>
        </is>
      </c>
      <c r="U630" s="65" t="inlineStr">
        <is>
          <t>interêts yc RA</t>
        </is>
      </c>
      <c r="V630" s="67" t="n"/>
      <c r="W630" s="66" t="inlineStr">
        <is>
          <t>Com°</t>
        </is>
      </c>
      <c r="X630" s="67" t="n"/>
      <c r="Y630" s="151" t="inlineStr">
        <is>
          <t>profil theo</t>
        </is>
      </c>
      <c r="Z630" s="68" t="n"/>
      <c r="AA630" s="68" t="n"/>
      <c r="AB630" s="68" t="n"/>
      <c r="AC630" s="68" t="n"/>
      <c r="AD630" s="68" t="n"/>
      <c r="AE630" s="68" t="n"/>
    </row>
    <row r="631">
      <c r="A631" s="69" t="n">
        <v>0</v>
      </c>
      <c r="B631" s="152" t="n"/>
      <c r="C631" s="152" t="n"/>
      <c r="D631" s="152" t="n"/>
      <c r="E631" s="152" t="n"/>
      <c r="F631" s="310">
        <f>$B$612</f>
        <v/>
      </c>
      <c r="G631" s="310" t="n"/>
      <c r="H631" s="310" t="n"/>
      <c r="I631" s="311">
        <f>-B612</f>
        <v/>
      </c>
      <c r="J631" s="312">
        <f>-$B$619*$B$612</f>
        <v/>
      </c>
      <c r="K631" s="311">
        <f>I631+J631</f>
        <v/>
      </c>
      <c r="L631" s="153" t="n"/>
      <c r="M631" s="154" t="n"/>
      <c r="N631" s="69" t="n"/>
      <c r="O631" s="152" t="n"/>
      <c r="P631" s="152" t="n"/>
      <c r="Q631" s="152" t="n"/>
      <c r="R631" s="152" t="n"/>
      <c r="S631" s="310">
        <f>$B$612</f>
        <v/>
      </c>
      <c r="T631" s="310" t="n"/>
      <c r="U631" s="310" t="n"/>
      <c r="V631" s="311">
        <f>-B612</f>
        <v/>
      </c>
      <c r="W631" s="312">
        <f>-$B$618*$B$612</f>
        <v/>
      </c>
      <c r="X631" s="311">
        <f>V631+W631</f>
        <v/>
      </c>
      <c r="Y631" s="155" t="n"/>
      <c r="Z631" s="72" t="n"/>
      <c r="AA631" s="313">
        <f>+V631-I631</f>
        <v/>
      </c>
      <c r="AB631" s="72" t="n"/>
      <c r="AC631" s="72" t="n"/>
      <c r="AD631" s="72" t="n"/>
      <c r="AE631" s="72" t="n"/>
    </row>
    <row r="632">
      <c r="A632" s="73" t="n">
        <v>1</v>
      </c>
      <c r="B632" s="289">
        <f>B612</f>
        <v/>
      </c>
      <c r="C632" s="287">
        <f>(IF(A632&lt;$B$613,PMT($B$614/12,$B$613,-$B$612,$B$617,$B$620),IF(A632=$B$613,PMT($B$614/12,$B$613,-$B$612,$B$617,$B$620)+$B$617,0)))</f>
        <v/>
      </c>
      <c r="D632" s="289">
        <f>IF(A632&lt;=$B$613,B632*$B$614/12,0)</f>
        <v/>
      </c>
      <c r="E632" s="289">
        <f>C632-D632</f>
        <v/>
      </c>
      <c r="F632" s="314">
        <f>(B632-E632)</f>
        <v/>
      </c>
      <c r="G632" s="112">
        <f>B632*(1-B$621)^($A632)</f>
        <v/>
      </c>
      <c r="H632" s="112">
        <f>IF(A632&lt;=$B$613,G632*$B$614/12,0)</f>
        <v/>
      </c>
      <c r="I632" s="315">
        <f>C632</f>
        <v/>
      </c>
      <c r="J632" s="314" t="n"/>
      <c r="K632" s="315">
        <f>C632</f>
        <v/>
      </c>
      <c r="L632" s="316">
        <f>F632/$B$612*100</f>
        <v/>
      </c>
      <c r="M632" s="317" t="n"/>
      <c r="N632" s="73" t="n">
        <v>1</v>
      </c>
      <c r="O632" s="289">
        <f>B612</f>
        <v/>
      </c>
      <c r="P632" s="287">
        <f>(IF(N632&lt;$B$613,PMT($B$615/12,$B$613,-$B$612,$B$617,0),IF(N632=$B$613,PMT($B$615/12,$B$613,-$B$612,$B$617,0)+$B$617,0)))</f>
        <v/>
      </c>
      <c r="Q632" s="289">
        <f>IF(N632&lt;=$B$613,O632*$B$615/12,0)</f>
        <v/>
      </c>
      <c r="R632" s="289">
        <f>P632-Q632</f>
        <v/>
      </c>
      <c r="S632" s="314">
        <f>(O632-R632)</f>
        <v/>
      </c>
      <c r="T632" s="112">
        <f>O632*(1-B$621)^($N632)</f>
        <v/>
      </c>
      <c r="U632" s="112">
        <f>IF(N632&lt;=$B$613,T632*$B$615/12,0)</f>
        <v/>
      </c>
      <c r="V632" s="315">
        <f>P632</f>
        <v/>
      </c>
      <c r="W632" s="314" t="n"/>
      <c r="X632" s="315">
        <f>P632</f>
        <v/>
      </c>
      <c r="Y632" s="316">
        <f>S632/$B$612*100</f>
        <v/>
      </c>
      <c r="Z632" s="46" t="n"/>
      <c r="AA632" s="313">
        <f>+V632-I632</f>
        <v/>
      </c>
      <c r="AB632" s="46" t="n"/>
      <c r="AC632" s="46" t="n"/>
      <c r="AD632" s="46" t="n"/>
      <c r="AE632" s="46" t="n"/>
    </row>
    <row r="633">
      <c r="A633" s="73" t="n">
        <v>2</v>
      </c>
      <c r="B633" s="289">
        <f>+F632</f>
        <v/>
      </c>
      <c r="C633" s="287">
        <f>(IF(A633&lt;$B$613,PMT($B$614/12,$B$613,-$B$612,$B$617,$B$620),IF(A633=$B$613,PMT($B$614/12,$B$613,-$B$612,$B$617,$B$620)+$B$617,0)))</f>
        <v/>
      </c>
      <c r="D633" s="289">
        <f>IF(A633&lt;=$B$613,B633*$B$614/12,0)</f>
        <v/>
      </c>
      <c r="E633" s="289">
        <f>C633-D633</f>
        <v/>
      </c>
      <c r="F633" s="314">
        <f>(B633-E633)</f>
        <v/>
      </c>
      <c r="G633" s="112">
        <f>B633*(1-B$621)^($A633)</f>
        <v/>
      </c>
      <c r="H633" s="112">
        <f>IF(A633&lt;=$B$613,G633*$B$614/12,0)</f>
        <v/>
      </c>
      <c r="I633" s="315">
        <f>C633</f>
        <v/>
      </c>
      <c r="J633" s="314" t="n"/>
      <c r="K633" s="315">
        <f>C633</f>
        <v/>
      </c>
      <c r="L633" s="316">
        <f>F633/$B$612*100</f>
        <v/>
      </c>
      <c r="M633" s="317" t="n"/>
      <c r="N633" s="73" t="n">
        <v>2</v>
      </c>
      <c r="O633" s="289">
        <f>+S632</f>
        <v/>
      </c>
      <c r="P633" s="287">
        <f>(IF(N633&lt;$B$613,PMT($B$615/12,$B$613,-$B$612,$B$617,0),IF(N633=$B$613,PMT($B$615/12,$B$613,-$B$612,$B$617,0)+$B$617,0)))</f>
        <v/>
      </c>
      <c r="Q633" s="289">
        <f>IF(N633&lt;=$B$613,O633*$B$615/12,0)</f>
        <v/>
      </c>
      <c r="R633" s="289">
        <f>P633-Q633</f>
        <v/>
      </c>
      <c r="S633" s="314">
        <f>(O633-R633)</f>
        <v/>
      </c>
      <c r="T633" s="112">
        <f>O633*(1-B$621)^($N633)</f>
        <v/>
      </c>
      <c r="U633" s="112">
        <f>IF(N633&lt;=$B$613,T633*$B$615/12,0)</f>
        <v/>
      </c>
      <c r="V633" s="315">
        <f>P633</f>
        <v/>
      </c>
      <c r="W633" s="314" t="n"/>
      <c r="X633" s="315">
        <f>P633</f>
        <v/>
      </c>
      <c r="Y633" s="316">
        <f>S633/$B$612*100</f>
        <v/>
      </c>
      <c r="Z633" s="46" t="n"/>
      <c r="AA633" s="313">
        <f>+V633-I633</f>
        <v/>
      </c>
      <c r="AB633" s="46" t="n"/>
      <c r="AC633" s="46" t="n"/>
      <c r="AD633" s="46" t="n"/>
      <c r="AE633" s="46" t="n"/>
    </row>
    <row r="634">
      <c r="A634" s="73" t="n">
        <v>3</v>
      </c>
      <c r="B634" s="289">
        <f>+F633</f>
        <v/>
      </c>
      <c r="C634" s="287">
        <f>(IF(A634&lt;$B$613,PMT($B$614/12,$B$613,-$B$612,$B$617,$B$620),IF(A634=$B$613,PMT($B$614/12,$B$613,-$B$612,$B$617,$B$620)+$B$617,0)))</f>
        <v/>
      </c>
      <c r="D634" s="289">
        <f>IF(A634&lt;=$B$613,B634*$B$614/12,0)</f>
        <v/>
      </c>
      <c r="E634" s="289">
        <f>C634-D634</f>
        <v/>
      </c>
      <c r="F634" s="314">
        <f>(B634-E634)</f>
        <v/>
      </c>
      <c r="G634" s="112">
        <f>B634*(1-B$621)^($A634)</f>
        <v/>
      </c>
      <c r="H634" s="112">
        <f>IF(A634&lt;=$B$613,G634*$B$614/12,0)</f>
        <v/>
      </c>
      <c r="I634" s="315">
        <f>C634</f>
        <v/>
      </c>
      <c r="J634" s="314" t="n"/>
      <c r="K634" s="315">
        <f>C634</f>
        <v/>
      </c>
      <c r="L634" s="316">
        <f>F634/$B$612*100</f>
        <v/>
      </c>
      <c r="M634" s="317" t="n"/>
      <c r="N634" s="73" t="n">
        <v>3</v>
      </c>
      <c r="O634" s="289">
        <f>+S633</f>
        <v/>
      </c>
      <c r="P634" s="287">
        <f>(IF(N634&lt;$B$613,PMT($B$615/12,$B$613,-$B$612,$B$617,0),IF(N634=$B$613,PMT($B$615/12,$B$613,-$B$612,$B$617,0)+$B$617,0)))</f>
        <v/>
      </c>
      <c r="Q634" s="289">
        <f>IF(N634&lt;=$B$613,O634*$B$615/12,0)</f>
        <v/>
      </c>
      <c r="R634" s="289">
        <f>P634-Q634</f>
        <v/>
      </c>
      <c r="S634" s="314">
        <f>(O634-R634)</f>
        <v/>
      </c>
      <c r="T634" s="112">
        <f>O634*(1-B$621)^($N634)</f>
        <v/>
      </c>
      <c r="U634" s="112">
        <f>IF(N634&lt;=$B$613,T634*$B$615/12,0)</f>
        <v/>
      </c>
      <c r="V634" s="315">
        <f>P634</f>
        <v/>
      </c>
      <c r="W634" s="314" t="n"/>
      <c r="X634" s="315">
        <f>P634</f>
        <v/>
      </c>
      <c r="Y634" s="316">
        <f>S634/$B$612*100</f>
        <v/>
      </c>
      <c r="Z634" s="46" t="n"/>
      <c r="AA634" s="313">
        <f>+V634-I634</f>
        <v/>
      </c>
      <c r="AB634" s="46" t="n"/>
      <c r="AC634" s="46" t="n"/>
      <c r="AD634" s="46" t="n"/>
      <c r="AE634" s="46" t="n"/>
    </row>
    <row r="635">
      <c r="A635" s="73" t="n">
        <v>4</v>
      </c>
      <c r="B635" s="289">
        <f>+F634</f>
        <v/>
      </c>
      <c r="C635" s="287">
        <f>(IF(A635&lt;$B$613,PMT($B$614/12,$B$613,-$B$612,$B$617,$B$620),IF(A635=$B$613,PMT($B$614/12,$B$613,-$B$612,$B$617,$B$620)+$B$617,0)))</f>
        <v/>
      </c>
      <c r="D635" s="289">
        <f>IF(A635&lt;=$B$613,B635*$B$614/12,0)</f>
        <v/>
      </c>
      <c r="E635" s="289">
        <f>C635-D635</f>
        <v/>
      </c>
      <c r="F635" s="314">
        <f>(B635-E635)</f>
        <v/>
      </c>
      <c r="G635" s="112">
        <f>B635*(1-B$621)^($A635)</f>
        <v/>
      </c>
      <c r="H635" s="112">
        <f>IF(A635&lt;=$B$613,G635*$B$614/12,0)</f>
        <v/>
      </c>
      <c r="I635" s="315">
        <f>C635</f>
        <v/>
      </c>
      <c r="J635" s="314" t="n"/>
      <c r="K635" s="315">
        <f>C635</f>
        <v/>
      </c>
      <c r="L635" s="316">
        <f>F635/$B$612*100</f>
        <v/>
      </c>
      <c r="M635" s="317" t="n"/>
      <c r="N635" s="73" t="n">
        <v>4</v>
      </c>
      <c r="O635" s="289">
        <f>+S634</f>
        <v/>
      </c>
      <c r="P635" s="287">
        <f>(IF(N635&lt;$B$613,PMT($B$615/12,$B$613,-$B$612,$B$617,0),IF(N635=$B$613,PMT($B$615/12,$B$613,-$B$612,$B$617,0)+$B$617,0)))</f>
        <v/>
      </c>
      <c r="Q635" s="289">
        <f>IF(N635&lt;=$B$613,O635*$B$615/12,0)</f>
        <v/>
      </c>
      <c r="R635" s="289">
        <f>P635-Q635</f>
        <v/>
      </c>
      <c r="S635" s="314">
        <f>(O635-R635)</f>
        <v/>
      </c>
      <c r="T635" s="112">
        <f>O635*(1-B$621)^($N635)</f>
        <v/>
      </c>
      <c r="U635" s="112">
        <f>IF(N635&lt;=$B$613,T635*$B$615/12,0)</f>
        <v/>
      </c>
      <c r="V635" s="315">
        <f>P635</f>
        <v/>
      </c>
      <c r="W635" s="314" t="n"/>
      <c r="X635" s="315">
        <f>P635</f>
        <v/>
      </c>
      <c r="Y635" s="316">
        <f>S635/$B$612*100</f>
        <v/>
      </c>
      <c r="Z635" s="46" t="n"/>
      <c r="AA635" s="313">
        <f>+V635-I635</f>
        <v/>
      </c>
      <c r="AB635" s="46" t="n"/>
      <c r="AC635" s="46" t="n"/>
      <c r="AD635" s="46" t="n"/>
      <c r="AE635" s="46" t="n"/>
    </row>
    <row r="636">
      <c r="A636" s="73" t="n">
        <v>5</v>
      </c>
      <c r="B636" s="289">
        <f>+F635</f>
        <v/>
      </c>
      <c r="C636" s="287">
        <f>(IF(A636&lt;$B$613,PMT($B$614/12,$B$613,-$B$612,$B$617,$B$620),IF(A636=$B$613,PMT($B$614/12,$B$613,-$B$612,$B$617,$B$620)+$B$617,0)))</f>
        <v/>
      </c>
      <c r="D636" s="289">
        <f>IF(A636&lt;=$B$613,B636*$B$614/12,0)</f>
        <v/>
      </c>
      <c r="E636" s="289">
        <f>C636-D636</f>
        <v/>
      </c>
      <c r="F636" s="314">
        <f>(B636-E636)</f>
        <v/>
      </c>
      <c r="G636" s="112">
        <f>B636*(1-B$621)^($A636)</f>
        <v/>
      </c>
      <c r="H636" s="112">
        <f>IF(A636&lt;=$B$613,G636*$B$614/12,0)</f>
        <v/>
      </c>
      <c r="I636" s="315">
        <f>C636</f>
        <v/>
      </c>
      <c r="J636" s="314" t="n"/>
      <c r="K636" s="315">
        <f>C636</f>
        <v/>
      </c>
      <c r="L636" s="316">
        <f>F636/$B$612*100</f>
        <v/>
      </c>
      <c r="M636" s="317" t="n"/>
      <c r="N636" s="73" t="n">
        <v>5</v>
      </c>
      <c r="O636" s="289">
        <f>+S635</f>
        <v/>
      </c>
      <c r="P636" s="287">
        <f>(IF(N636&lt;$B$613,PMT($B$615/12,$B$613,-$B$612,$B$617,0),IF(N636=$B$613,PMT($B$615/12,$B$613,-$B$612,$B$617,0)+$B$617,0)))</f>
        <v/>
      </c>
      <c r="Q636" s="289">
        <f>IF(N636&lt;=$B$613,O636*$B$615/12,0)</f>
        <v/>
      </c>
      <c r="R636" s="289">
        <f>P636-Q636</f>
        <v/>
      </c>
      <c r="S636" s="314">
        <f>(O636-R636)</f>
        <v/>
      </c>
      <c r="T636" s="112">
        <f>O636*(1-B$621)^($N636)</f>
        <v/>
      </c>
      <c r="U636" s="112">
        <f>IF(N636&lt;=$B$613,T636*$B$615/12,0)</f>
        <v/>
      </c>
      <c r="V636" s="315">
        <f>P636</f>
        <v/>
      </c>
      <c r="W636" s="314" t="n"/>
      <c r="X636" s="315">
        <f>P636</f>
        <v/>
      </c>
      <c r="Y636" s="316">
        <f>S636/$B$612*100</f>
        <v/>
      </c>
      <c r="Z636" s="46" t="n"/>
      <c r="AA636" s="313">
        <f>+V636-I636</f>
        <v/>
      </c>
      <c r="AB636" s="46" t="n"/>
      <c r="AC636" s="46" t="n"/>
      <c r="AD636" s="46" t="n"/>
      <c r="AE636" s="46" t="n"/>
    </row>
    <row r="637">
      <c r="A637" s="73" t="n">
        <v>6</v>
      </c>
      <c r="B637" s="289">
        <f>+F636</f>
        <v/>
      </c>
      <c r="C637" s="287">
        <f>(IF(A637&lt;$B$613,PMT($B$614/12,$B$613,-$B$612,$B$617,$B$620),IF(A637=$B$613,PMT($B$614/12,$B$613,-$B$612,$B$617,$B$620)+$B$617,0)))</f>
        <v/>
      </c>
      <c r="D637" s="289">
        <f>IF(A637&lt;=$B$613,B637*$B$614/12,0)</f>
        <v/>
      </c>
      <c r="E637" s="289">
        <f>C637-D637</f>
        <v/>
      </c>
      <c r="F637" s="314">
        <f>(B637-E637)</f>
        <v/>
      </c>
      <c r="G637" s="112">
        <f>B637*(1-B$621)^($A637)</f>
        <v/>
      </c>
      <c r="H637" s="112">
        <f>IF(A637&lt;=$B$613,G637*$B$614/12,0)</f>
        <v/>
      </c>
      <c r="I637" s="315">
        <f>C637</f>
        <v/>
      </c>
      <c r="J637" s="314" t="n"/>
      <c r="K637" s="315">
        <f>C637</f>
        <v/>
      </c>
      <c r="L637" s="316">
        <f>F637/$B$612*100</f>
        <v/>
      </c>
      <c r="M637" s="317" t="n"/>
      <c r="N637" s="73" t="n">
        <v>6</v>
      </c>
      <c r="O637" s="289">
        <f>+S636</f>
        <v/>
      </c>
      <c r="P637" s="287">
        <f>(IF(N637&lt;$B$613,PMT($B$615/12,$B$613,-$B$612,$B$617,0),IF(N637=$B$613,PMT($B$615/12,$B$613,-$B$612,$B$617,0)+$B$617,0)))</f>
        <v/>
      </c>
      <c r="Q637" s="289">
        <f>IF(N637&lt;=$B$613,O637*$B$615/12,0)</f>
        <v/>
      </c>
      <c r="R637" s="289">
        <f>P637-Q637</f>
        <v/>
      </c>
      <c r="S637" s="314">
        <f>(O637-R637)</f>
        <v/>
      </c>
      <c r="T637" s="112">
        <f>O637*(1-B$621)^($N637)</f>
        <v/>
      </c>
      <c r="U637" s="112">
        <f>IF(N637&lt;=$B$613,T637*$B$615/12,0)</f>
        <v/>
      </c>
      <c r="V637" s="315">
        <f>P637</f>
        <v/>
      </c>
      <c r="W637" s="314" t="n"/>
      <c r="X637" s="315">
        <f>P637</f>
        <v/>
      </c>
      <c r="Y637" s="316">
        <f>S637/$B$612*100</f>
        <v/>
      </c>
      <c r="Z637" s="46" t="n"/>
      <c r="AA637" s="313">
        <f>+V637-I637</f>
        <v/>
      </c>
      <c r="AB637" s="46" t="n"/>
      <c r="AC637" s="46" t="n"/>
      <c r="AD637" s="46" t="n"/>
      <c r="AE637" s="46" t="n"/>
    </row>
    <row r="638">
      <c r="A638" s="73" t="n">
        <v>7</v>
      </c>
      <c r="B638" s="289">
        <f>+F637</f>
        <v/>
      </c>
      <c r="C638" s="287">
        <f>(IF(A638&lt;$B$613,PMT($B$614/12,$B$613,-$B$612,$B$617,$B$620),IF(A638=$B$613,PMT($B$614/12,$B$613,-$B$612,$B$617,$B$620)+$B$617,0)))</f>
        <v/>
      </c>
      <c r="D638" s="289">
        <f>IF(A638&lt;=$B$613,B638*$B$614/12,0)</f>
        <v/>
      </c>
      <c r="E638" s="289">
        <f>C638-D638</f>
        <v/>
      </c>
      <c r="F638" s="314">
        <f>(B638-E638)</f>
        <v/>
      </c>
      <c r="G638" s="112">
        <f>B638*(1-B$621)^($A638)</f>
        <v/>
      </c>
      <c r="H638" s="112">
        <f>IF(A638&lt;=$B$613,G638*$B$614/12,0)</f>
        <v/>
      </c>
      <c r="I638" s="315">
        <f>C638</f>
        <v/>
      </c>
      <c r="J638" s="314" t="n"/>
      <c r="K638" s="315">
        <f>C638</f>
        <v/>
      </c>
      <c r="L638" s="316">
        <f>F638/$B$612*100</f>
        <v/>
      </c>
      <c r="M638" s="317" t="n"/>
      <c r="N638" s="73" t="n">
        <v>7</v>
      </c>
      <c r="O638" s="289">
        <f>+S637</f>
        <v/>
      </c>
      <c r="P638" s="287">
        <f>(IF(N638&lt;$B$613,PMT($B$615/12,$B$613,-$B$612,$B$617,0),IF(N638=$B$613,PMT($B$615/12,$B$613,-$B$612,$B$617,0)+$B$617,0)))</f>
        <v/>
      </c>
      <c r="Q638" s="289">
        <f>IF(N638&lt;=$B$613,O638*$B$615/12,0)</f>
        <v/>
      </c>
      <c r="R638" s="289">
        <f>P638-Q638</f>
        <v/>
      </c>
      <c r="S638" s="314">
        <f>(O638-R638)</f>
        <v/>
      </c>
      <c r="T638" s="112">
        <f>O638*(1-B$621)^($N638)</f>
        <v/>
      </c>
      <c r="U638" s="112">
        <f>IF(N638&lt;=$B$613,T638*$B$615/12,0)</f>
        <v/>
      </c>
      <c r="V638" s="315">
        <f>P638</f>
        <v/>
      </c>
      <c r="W638" s="314" t="n"/>
      <c r="X638" s="315">
        <f>P638</f>
        <v/>
      </c>
      <c r="Y638" s="316">
        <f>S638/$B$612*100</f>
        <v/>
      </c>
      <c r="Z638" s="46" t="n"/>
      <c r="AA638" s="313">
        <f>+V638-I638</f>
        <v/>
      </c>
      <c r="AB638" s="46" t="n"/>
      <c r="AC638" s="46" t="n"/>
      <c r="AD638" s="46" t="n"/>
      <c r="AE638" s="46" t="n"/>
    </row>
    <row r="639">
      <c r="A639" s="73" t="n">
        <v>8</v>
      </c>
      <c r="B639" s="289">
        <f>+F638</f>
        <v/>
      </c>
      <c r="C639" s="287">
        <f>(IF(A639&lt;$B$613,PMT($B$614/12,$B$613,-$B$612,$B$617,$B$620),IF(A639=$B$613,PMT($B$614/12,$B$613,-$B$612,$B$617,$B$620)+$B$617,0)))</f>
        <v/>
      </c>
      <c r="D639" s="289">
        <f>IF(A639&lt;=$B$613,B639*$B$614/12,0)</f>
        <v/>
      </c>
      <c r="E639" s="289">
        <f>C639-D639</f>
        <v/>
      </c>
      <c r="F639" s="314">
        <f>(B639-E639)</f>
        <v/>
      </c>
      <c r="G639" s="112">
        <f>B639*(1-B$621)^($A639)</f>
        <v/>
      </c>
      <c r="H639" s="112">
        <f>IF(A639&lt;=$B$613,G639*$B$614/12,0)</f>
        <v/>
      </c>
      <c r="I639" s="315">
        <f>C639</f>
        <v/>
      </c>
      <c r="J639" s="314" t="n"/>
      <c r="K639" s="315">
        <f>C639</f>
        <v/>
      </c>
      <c r="L639" s="316">
        <f>F639/$B$612*100</f>
        <v/>
      </c>
      <c r="M639" s="317" t="n"/>
      <c r="N639" s="73" t="n">
        <v>8</v>
      </c>
      <c r="O639" s="289">
        <f>+S638</f>
        <v/>
      </c>
      <c r="P639" s="287">
        <f>(IF(N639&lt;$B$613,PMT($B$615/12,$B$613,-$B$612,$B$617,0),IF(N639=$B$613,PMT($B$615/12,$B$613,-$B$612,$B$617,0)+$B$617,0)))</f>
        <v/>
      </c>
      <c r="Q639" s="289">
        <f>IF(N639&lt;=$B$613,O639*$B$615/12,0)</f>
        <v/>
      </c>
      <c r="R639" s="289">
        <f>P639-Q639</f>
        <v/>
      </c>
      <c r="S639" s="314">
        <f>(O639-R639)</f>
        <v/>
      </c>
      <c r="T639" s="112">
        <f>O639*(1-B$621)^($N639)</f>
        <v/>
      </c>
      <c r="U639" s="112">
        <f>IF(N639&lt;=$B$613,T639*$B$615/12,0)</f>
        <v/>
      </c>
      <c r="V639" s="315">
        <f>P639</f>
        <v/>
      </c>
      <c r="W639" s="314" t="n"/>
      <c r="X639" s="315">
        <f>P639</f>
        <v/>
      </c>
      <c r="Y639" s="316">
        <f>S639/$B$612*100</f>
        <v/>
      </c>
      <c r="Z639" s="46" t="n"/>
      <c r="AA639" s="313">
        <f>+V639-I639</f>
        <v/>
      </c>
      <c r="AB639" s="46" t="n"/>
      <c r="AC639" s="46" t="n"/>
      <c r="AD639" s="46" t="n"/>
      <c r="AE639" s="46" t="n"/>
    </row>
    <row r="640">
      <c r="A640" s="73" t="n">
        <v>9</v>
      </c>
      <c r="B640" s="289">
        <f>+F639</f>
        <v/>
      </c>
      <c r="C640" s="287">
        <f>(IF(A640&lt;$B$613,PMT($B$614/12,$B$613,-$B$612,$B$617,$B$620),IF(A640=$B$613,PMT($B$614/12,$B$613,-$B$612,$B$617,$B$620)+$B$617,0)))</f>
        <v/>
      </c>
      <c r="D640" s="289">
        <f>IF(A640&lt;=$B$613,B640*$B$614/12,0)</f>
        <v/>
      </c>
      <c r="E640" s="289">
        <f>C640-D640</f>
        <v/>
      </c>
      <c r="F640" s="314">
        <f>(B640-E640)</f>
        <v/>
      </c>
      <c r="G640" s="112">
        <f>B640*(1-B$621)^($A640)</f>
        <v/>
      </c>
      <c r="H640" s="112">
        <f>IF(A640&lt;=$B$613,G640*$B$614/12,0)</f>
        <v/>
      </c>
      <c r="I640" s="315">
        <f>C640</f>
        <v/>
      </c>
      <c r="J640" s="314" t="n"/>
      <c r="K640" s="315">
        <f>C640</f>
        <v/>
      </c>
      <c r="L640" s="316">
        <f>F640/$B$612*100</f>
        <v/>
      </c>
      <c r="M640" s="317" t="n"/>
      <c r="N640" s="73" t="n">
        <v>9</v>
      </c>
      <c r="O640" s="289">
        <f>+S639</f>
        <v/>
      </c>
      <c r="P640" s="287">
        <f>(IF(N640&lt;$B$613,PMT($B$615/12,$B$613,-$B$612,$B$617,0),IF(N640=$B$613,PMT($B$615/12,$B$613,-$B$612,$B$617,0)+$B$617,0)))</f>
        <v/>
      </c>
      <c r="Q640" s="289">
        <f>IF(N640&lt;=$B$613,O640*$B$615/12,0)</f>
        <v/>
      </c>
      <c r="R640" s="289">
        <f>P640-Q640</f>
        <v/>
      </c>
      <c r="S640" s="314">
        <f>(O640-R640)</f>
        <v/>
      </c>
      <c r="T640" s="112">
        <f>O640*(1-B$621)^($N640)</f>
        <v/>
      </c>
      <c r="U640" s="112">
        <f>IF(N640&lt;=$B$613,T640*$B$615/12,0)</f>
        <v/>
      </c>
      <c r="V640" s="315">
        <f>P640</f>
        <v/>
      </c>
      <c r="W640" s="314" t="n"/>
      <c r="X640" s="315">
        <f>P640</f>
        <v/>
      </c>
      <c r="Y640" s="316">
        <f>S640/$B$612*100</f>
        <v/>
      </c>
      <c r="Z640" s="46" t="n"/>
      <c r="AA640" s="313">
        <f>+V640-I640</f>
        <v/>
      </c>
      <c r="AB640" s="46" t="n"/>
      <c r="AC640" s="46" t="n"/>
      <c r="AD640" s="46" t="n"/>
      <c r="AE640" s="46" t="n"/>
    </row>
    <row r="641">
      <c r="A641" s="73" t="n">
        <v>10</v>
      </c>
      <c r="B641" s="289">
        <f>+F640</f>
        <v/>
      </c>
      <c r="C641" s="287">
        <f>(IF(A641&lt;$B$613,PMT($B$614/12,$B$613,-$B$612,$B$617,$B$620),IF(A641=$B$613,PMT($B$614/12,$B$613,-$B$612,$B$617,$B$620)+$B$617,0)))</f>
        <v/>
      </c>
      <c r="D641" s="289">
        <f>IF(A641&lt;=$B$613,B641*$B$614/12,0)</f>
        <v/>
      </c>
      <c r="E641" s="289">
        <f>C641-D641</f>
        <v/>
      </c>
      <c r="F641" s="314">
        <f>(B641-E641)</f>
        <v/>
      </c>
      <c r="G641" s="112">
        <f>B641*(1-B$621)^($A641)</f>
        <v/>
      </c>
      <c r="H641" s="112">
        <f>IF(A641&lt;=$B$613,G641*$B$614/12,0)</f>
        <v/>
      </c>
      <c r="I641" s="315">
        <f>C641</f>
        <v/>
      </c>
      <c r="J641" s="314" t="n"/>
      <c r="K641" s="315">
        <f>C641</f>
        <v/>
      </c>
      <c r="L641" s="316">
        <f>F641/$B$612*100</f>
        <v/>
      </c>
      <c r="M641" s="317" t="n"/>
      <c r="N641" s="73" t="n">
        <v>10</v>
      </c>
      <c r="O641" s="289">
        <f>+S640</f>
        <v/>
      </c>
      <c r="P641" s="287">
        <f>(IF(N641&lt;$B$613,PMT($B$615/12,$B$613,-$B$612,$B$617,0),IF(N641=$B$613,PMT($B$615/12,$B$613,-$B$612,$B$617,0)+$B$617,0)))</f>
        <v/>
      </c>
      <c r="Q641" s="289">
        <f>IF(N641&lt;=$B$613,O641*$B$615/12,0)</f>
        <v/>
      </c>
      <c r="R641" s="289">
        <f>P641-Q641</f>
        <v/>
      </c>
      <c r="S641" s="314">
        <f>(O641-R641)</f>
        <v/>
      </c>
      <c r="T641" s="112">
        <f>O641*(1-B$621)^($N641)</f>
        <v/>
      </c>
      <c r="U641" s="112">
        <f>IF(N641&lt;=$B$613,T641*$B$615/12,0)</f>
        <v/>
      </c>
      <c r="V641" s="315">
        <f>P641</f>
        <v/>
      </c>
      <c r="W641" s="314" t="n"/>
      <c r="X641" s="315">
        <f>P641</f>
        <v/>
      </c>
      <c r="Y641" s="316">
        <f>S641/$B$612*100</f>
        <v/>
      </c>
      <c r="Z641" s="46" t="n"/>
      <c r="AA641" s="313">
        <f>+V641-I641</f>
        <v/>
      </c>
      <c r="AB641" s="46" t="n"/>
      <c r="AC641" s="46" t="n"/>
      <c r="AD641" s="46" t="n"/>
      <c r="AE641" s="46" t="n"/>
    </row>
    <row r="642">
      <c r="A642" s="73" t="n">
        <v>11</v>
      </c>
      <c r="B642" s="289">
        <f>+F641</f>
        <v/>
      </c>
      <c r="C642" s="287">
        <f>(IF(A642&lt;$B$613,PMT($B$614/12,$B$613,-$B$612,$B$617,$B$620),IF(A642=$B$613,PMT($B$614/12,$B$613,-$B$612,$B$617,$B$620)+$B$617,0)))</f>
        <v/>
      </c>
      <c r="D642" s="289">
        <f>IF(A642&lt;=$B$613,B642*$B$614/12,0)</f>
        <v/>
      </c>
      <c r="E642" s="289">
        <f>C642-D642</f>
        <v/>
      </c>
      <c r="F642" s="314">
        <f>(B642-E642)</f>
        <v/>
      </c>
      <c r="G642" s="112">
        <f>B642*(1-B$621)^($A642)</f>
        <v/>
      </c>
      <c r="H642" s="112">
        <f>IF(A642&lt;=$B$613,G642*$B$614/12,0)</f>
        <v/>
      </c>
      <c r="I642" s="315">
        <f>C642</f>
        <v/>
      </c>
      <c r="J642" s="314" t="n"/>
      <c r="K642" s="315">
        <f>C642</f>
        <v/>
      </c>
      <c r="L642" s="316">
        <f>F642/$B$612*100</f>
        <v/>
      </c>
      <c r="M642" s="317" t="n"/>
      <c r="N642" s="73" t="n">
        <v>11</v>
      </c>
      <c r="O642" s="289">
        <f>+S641</f>
        <v/>
      </c>
      <c r="P642" s="287">
        <f>(IF(N642&lt;$B$613,PMT($B$615/12,$B$613,-$B$612,$B$617,0),IF(N642=$B$613,PMT($B$615/12,$B$613,-$B$612,$B$617,0)+$B$617,0)))</f>
        <v/>
      </c>
      <c r="Q642" s="289">
        <f>IF(N642&lt;=$B$613,O642*$B$615/12,0)</f>
        <v/>
      </c>
      <c r="R642" s="289">
        <f>P642-Q642</f>
        <v/>
      </c>
      <c r="S642" s="314">
        <f>(O642-R642)</f>
        <v/>
      </c>
      <c r="T642" s="112">
        <f>O642*(1-B$621)^($N642)</f>
        <v/>
      </c>
      <c r="U642" s="112">
        <f>IF(N642&lt;=$B$613,T642*$B$615/12,0)</f>
        <v/>
      </c>
      <c r="V642" s="315">
        <f>P642</f>
        <v/>
      </c>
      <c r="W642" s="314" t="n"/>
      <c r="X642" s="315">
        <f>P642</f>
        <v/>
      </c>
      <c r="Y642" s="316">
        <f>S642/$B$612*100</f>
        <v/>
      </c>
      <c r="Z642" s="46" t="n"/>
      <c r="AA642" s="313">
        <f>+V642-I642</f>
        <v/>
      </c>
      <c r="AB642" s="46" t="n"/>
      <c r="AC642" s="46" t="n"/>
      <c r="AD642" s="46" t="n"/>
      <c r="AE642" s="46" t="n"/>
    </row>
    <row r="643">
      <c r="A643" s="73" t="n">
        <v>12</v>
      </c>
      <c r="B643" s="289">
        <f>+F642</f>
        <v/>
      </c>
      <c r="C643" s="287">
        <f>(IF(A643&lt;$B$613,PMT($B$614/12,$B$613,-$B$612,$B$617,$B$620),IF(A643=$B$613,PMT($B$614/12,$B$613,-$B$612,$B$617,$B$620)+$B$617,0)))</f>
        <v/>
      </c>
      <c r="D643" s="289">
        <f>IF(A643&lt;=$B$613,B643*$B$614/12,0)</f>
        <v/>
      </c>
      <c r="E643" s="289">
        <f>C643-D643</f>
        <v/>
      </c>
      <c r="F643" s="314">
        <f>(B643-E643)</f>
        <v/>
      </c>
      <c r="G643" s="112">
        <f>B643*(1-B$621)^($A643)</f>
        <v/>
      </c>
      <c r="H643" s="112">
        <f>IF(A643&lt;=$B$613,G643*$B$614/12,0)</f>
        <v/>
      </c>
      <c r="I643" s="315">
        <f>C643</f>
        <v/>
      </c>
      <c r="J643" s="314" t="n"/>
      <c r="K643" s="315">
        <f>C643</f>
        <v/>
      </c>
      <c r="L643" s="316">
        <f>F643/$B$612*100</f>
        <v/>
      </c>
      <c r="M643" s="317" t="n"/>
      <c r="N643" s="73" t="n">
        <v>12</v>
      </c>
      <c r="O643" s="289">
        <f>+S642</f>
        <v/>
      </c>
      <c r="P643" s="287">
        <f>(IF(N643&lt;$B$613,PMT($B$615/12,$B$613,-$B$612,$B$617,0),IF(N643=$B$613,PMT($B$615/12,$B$613,-$B$612,$B$617,0)+$B$617,0)))</f>
        <v/>
      </c>
      <c r="Q643" s="289">
        <f>IF(N643&lt;=$B$613,O643*$B$615/12,0)</f>
        <v/>
      </c>
      <c r="R643" s="289">
        <f>P643-Q643</f>
        <v/>
      </c>
      <c r="S643" s="314">
        <f>(O643-R643)</f>
        <v/>
      </c>
      <c r="T643" s="112">
        <f>O643*(1-B$621)^($N643)</f>
        <v/>
      </c>
      <c r="U643" s="112">
        <f>IF(N643&lt;=$B$613,T643*$B$615/12,0)</f>
        <v/>
      </c>
      <c r="V643" s="315">
        <f>P643</f>
        <v/>
      </c>
      <c r="W643" s="314" t="n"/>
      <c r="X643" s="315">
        <f>P643</f>
        <v/>
      </c>
      <c r="Y643" s="316">
        <f>S643/$B$612*100</f>
        <v/>
      </c>
      <c r="Z643" s="46" t="n"/>
      <c r="AA643" s="313">
        <f>+V643-I643</f>
        <v/>
      </c>
      <c r="AB643" s="46" t="n"/>
      <c r="AC643" s="46" t="n"/>
      <c r="AD643" s="46" t="n"/>
      <c r="AE643" s="46" t="n"/>
    </row>
    <row r="644">
      <c r="A644" s="73" t="n">
        <v>13</v>
      </c>
      <c r="B644" s="289">
        <f>+F643</f>
        <v/>
      </c>
      <c r="C644" s="287">
        <f>(IF(A644&lt;$B$613,PMT($B$614/12,$B$613,-$B$612,$B$617,$B$620),IF(A644=$B$613,PMT($B$614/12,$B$613,-$B$612,$B$617,$B$620)+$B$617,0)))</f>
        <v/>
      </c>
      <c r="D644" s="289">
        <f>IF(A644&lt;=$B$613,B644*$B$614/12,0)</f>
        <v/>
      </c>
      <c r="E644" s="289">
        <f>C644-D644</f>
        <v/>
      </c>
      <c r="F644" s="314">
        <f>(B644-E644)</f>
        <v/>
      </c>
      <c r="G644" s="112">
        <f>B644*(1-B$621)^($A644)</f>
        <v/>
      </c>
      <c r="H644" s="112">
        <f>IF(A644&lt;=$B$613,G644*$B$614/12,0)</f>
        <v/>
      </c>
      <c r="I644" s="315">
        <f>C644</f>
        <v/>
      </c>
      <c r="J644" s="314" t="n"/>
      <c r="K644" s="315">
        <f>C644</f>
        <v/>
      </c>
      <c r="L644" s="316">
        <f>F644/$B$612*100</f>
        <v/>
      </c>
      <c r="M644" s="317" t="n"/>
      <c r="N644" s="73" t="n">
        <v>13</v>
      </c>
      <c r="O644" s="289">
        <f>+S643</f>
        <v/>
      </c>
      <c r="P644" s="287">
        <f>(IF(N644&lt;$B$613,PMT($B$615/12,$B$613,-$B$612,$B$617,0),IF(N644=$B$613,PMT($B$615/12,$B$613,-$B$612,$B$617,0)+$B$617,0)))</f>
        <v/>
      </c>
      <c r="Q644" s="289">
        <f>IF(N644&lt;=$B$613,O644*$B$615/12,0)</f>
        <v/>
      </c>
      <c r="R644" s="289">
        <f>P644-Q644</f>
        <v/>
      </c>
      <c r="S644" s="314">
        <f>(O644-R644)</f>
        <v/>
      </c>
      <c r="T644" s="112">
        <f>O644*(1-B$621)^($N644)</f>
        <v/>
      </c>
      <c r="U644" s="112">
        <f>IF(N644&lt;=$B$613,T644*$B$615/12,0)</f>
        <v/>
      </c>
      <c r="V644" s="315">
        <f>P644</f>
        <v/>
      </c>
      <c r="W644" s="314" t="n"/>
      <c r="X644" s="315">
        <f>P644</f>
        <v/>
      </c>
      <c r="Y644" s="316">
        <f>S644/$B$612*100</f>
        <v/>
      </c>
      <c r="Z644" s="46" t="n"/>
      <c r="AA644" s="313">
        <f>+V644-I644</f>
        <v/>
      </c>
      <c r="AB644" s="46" t="n"/>
      <c r="AC644" s="46" t="n"/>
      <c r="AD644" s="46" t="n"/>
      <c r="AE644" s="46" t="n"/>
    </row>
    <row r="645">
      <c r="A645" s="73" t="n">
        <v>14</v>
      </c>
      <c r="B645" s="289">
        <f>+F644</f>
        <v/>
      </c>
      <c r="C645" s="287">
        <f>(IF(A645&lt;$B$613,PMT($B$614/12,$B$613,-$B$612,$B$617,$B$620),IF(A645=$B$613,PMT($B$614/12,$B$613,-$B$612,$B$617,$B$620)+$B$617,0)))</f>
        <v/>
      </c>
      <c r="D645" s="289">
        <f>IF(A645&lt;=$B$613,B645*$B$614/12,0)</f>
        <v/>
      </c>
      <c r="E645" s="289">
        <f>C645-D645</f>
        <v/>
      </c>
      <c r="F645" s="314">
        <f>(B645-E645)</f>
        <v/>
      </c>
      <c r="G645" s="112">
        <f>B645*(1-B$621)^($A645)</f>
        <v/>
      </c>
      <c r="H645" s="112">
        <f>IF(A645&lt;=$B$613,G645*$B$614/12,0)</f>
        <v/>
      </c>
      <c r="I645" s="315">
        <f>C645</f>
        <v/>
      </c>
      <c r="J645" s="314" t="n"/>
      <c r="K645" s="315">
        <f>C645</f>
        <v/>
      </c>
      <c r="L645" s="316">
        <f>F645/$B$612*100</f>
        <v/>
      </c>
      <c r="M645" s="317" t="n"/>
      <c r="N645" s="73" t="n">
        <v>14</v>
      </c>
      <c r="O645" s="289">
        <f>+S644</f>
        <v/>
      </c>
      <c r="P645" s="287">
        <f>(IF(N645&lt;$B$613,PMT($B$615/12,$B$613,-$B$612,$B$617,0),IF(N645=$B$613,PMT($B$615/12,$B$613,-$B$612,$B$617,0)+$B$617,0)))</f>
        <v/>
      </c>
      <c r="Q645" s="289">
        <f>IF(N645&lt;=$B$613,O645*$B$615/12,0)</f>
        <v/>
      </c>
      <c r="R645" s="289">
        <f>P645-Q645</f>
        <v/>
      </c>
      <c r="S645" s="314">
        <f>(O645-R645)</f>
        <v/>
      </c>
      <c r="T645" s="112">
        <f>O645*(1-B$621)^($N645)</f>
        <v/>
      </c>
      <c r="U645" s="112">
        <f>IF(N645&lt;=$B$613,T645*$B$615/12,0)</f>
        <v/>
      </c>
      <c r="V645" s="315">
        <f>P645</f>
        <v/>
      </c>
      <c r="W645" s="314" t="n"/>
      <c r="X645" s="315">
        <f>P645</f>
        <v/>
      </c>
      <c r="Y645" s="316">
        <f>S645/$B$612*100</f>
        <v/>
      </c>
      <c r="Z645" s="46" t="n"/>
      <c r="AA645" s="313">
        <f>+V645-I645</f>
        <v/>
      </c>
      <c r="AB645" s="46" t="n"/>
      <c r="AC645" s="46" t="n"/>
      <c r="AD645" s="46" t="n"/>
      <c r="AE645" s="46" t="n"/>
    </row>
    <row r="646">
      <c r="A646" s="73" t="n">
        <v>15</v>
      </c>
      <c r="B646" s="289">
        <f>+F645</f>
        <v/>
      </c>
      <c r="C646" s="287">
        <f>(IF(A646&lt;$B$613,PMT($B$614/12,$B$613,-$B$612,$B$617,$B$620),IF(A646=$B$613,PMT($B$614/12,$B$613,-$B$612,$B$617,$B$620)+$B$617,0)))</f>
        <v/>
      </c>
      <c r="D646" s="289">
        <f>IF(A646&lt;=$B$613,B646*$B$614/12,0)</f>
        <v/>
      </c>
      <c r="E646" s="289">
        <f>C646-D646</f>
        <v/>
      </c>
      <c r="F646" s="314">
        <f>(B646-E646)</f>
        <v/>
      </c>
      <c r="G646" s="112">
        <f>B646*(1-B$621)^($A646)</f>
        <v/>
      </c>
      <c r="H646" s="112">
        <f>IF(A646&lt;=$B$613,G646*$B$614/12,0)</f>
        <v/>
      </c>
      <c r="I646" s="315">
        <f>C646</f>
        <v/>
      </c>
      <c r="J646" s="314" t="n"/>
      <c r="K646" s="315">
        <f>C646</f>
        <v/>
      </c>
      <c r="L646" s="316">
        <f>F646/$B$612*100</f>
        <v/>
      </c>
      <c r="M646" s="317" t="n"/>
      <c r="N646" s="73" t="n">
        <v>15</v>
      </c>
      <c r="O646" s="289">
        <f>+S645</f>
        <v/>
      </c>
      <c r="P646" s="287">
        <f>(IF(N646&lt;$B$613,PMT($B$615/12,$B$613,-$B$612,$B$617,0),IF(N646=$B$613,PMT($B$615/12,$B$613,-$B$612,$B$617,0)+$B$617,0)))</f>
        <v/>
      </c>
      <c r="Q646" s="289">
        <f>IF(N646&lt;=$B$613,O646*$B$615/12,0)</f>
        <v/>
      </c>
      <c r="R646" s="289">
        <f>P646-Q646</f>
        <v/>
      </c>
      <c r="S646" s="314">
        <f>(O646-R646)</f>
        <v/>
      </c>
      <c r="T646" s="112">
        <f>O646*(1-B$621)^($N646)</f>
        <v/>
      </c>
      <c r="U646" s="112">
        <f>IF(N646&lt;=$B$613,T646*$B$615/12,0)</f>
        <v/>
      </c>
      <c r="V646" s="315">
        <f>P646</f>
        <v/>
      </c>
      <c r="W646" s="314" t="n"/>
      <c r="X646" s="315">
        <f>P646</f>
        <v/>
      </c>
      <c r="Y646" s="316">
        <f>S646/$B$612*100</f>
        <v/>
      </c>
      <c r="Z646" s="46" t="n"/>
      <c r="AA646" s="313">
        <f>+V646-I646</f>
        <v/>
      </c>
      <c r="AB646" s="46" t="n"/>
      <c r="AC646" s="46" t="n"/>
      <c r="AD646" s="46" t="n"/>
      <c r="AE646" s="46" t="n"/>
    </row>
    <row r="647">
      <c r="A647" s="73" t="n">
        <v>16</v>
      </c>
      <c r="B647" s="289">
        <f>+F646</f>
        <v/>
      </c>
      <c r="C647" s="287">
        <f>(IF(A647&lt;$B$613,PMT($B$614/12,$B$613,-$B$612,$B$617,$B$620),IF(A647=$B$613,PMT($B$614/12,$B$613,-$B$612,$B$617,$B$620)+$B$617,0)))</f>
        <v/>
      </c>
      <c r="D647" s="289">
        <f>IF(A647&lt;=$B$613,B647*$B$614/12,0)</f>
        <v/>
      </c>
      <c r="E647" s="289">
        <f>C647-D647</f>
        <v/>
      </c>
      <c r="F647" s="314">
        <f>(B647-E647)</f>
        <v/>
      </c>
      <c r="G647" s="112">
        <f>B647*(1-B$621)^($A647)</f>
        <v/>
      </c>
      <c r="H647" s="112">
        <f>IF(A647&lt;=$B$613,G647*$B$614/12,0)</f>
        <v/>
      </c>
      <c r="I647" s="315">
        <f>C647</f>
        <v/>
      </c>
      <c r="J647" s="314" t="n"/>
      <c r="K647" s="315">
        <f>C647</f>
        <v/>
      </c>
      <c r="L647" s="316">
        <f>F647/$B$612*100</f>
        <v/>
      </c>
      <c r="M647" s="317" t="n"/>
      <c r="N647" s="73" t="n">
        <v>16</v>
      </c>
      <c r="O647" s="289">
        <f>+S646</f>
        <v/>
      </c>
      <c r="P647" s="287">
        <f>(IF(N647&lt;$B$613,PMT($B$615/12,$B$613,-$B$612,$B$617,0),IF(N647=$B$613,PMT($B$615/12,$B$613,-$B$612,$B$617,0)+$B$617,0)))</f>
        <v/>
      </c>
      <c r="Q647" s="289">
        <f>IF(N647&lt;=$B$613,O647*$B$615/12,0)</f>
        <v/>
      </c>
      <c r="R647" s="289">
        <f>P647-Q647</f>
        <v/>
      </c>
      <c r="S647" s="314">
        <f>(O647-R647)</f>
        <v/>
      </c>
      <c r="T647" s="112">
        <f>O647*(1-B$621)^($N647)</f>
        <v/>
      </c>
      <c r="U647" s="112">
        <f>IF(N647&lt;=$B$613,T647*$B$615/12,0)</f>
        <v/>
      </c>
      <c r="V647" s="315">
        <f>P647</f>
        <v/>
      </c>
      <c r="W647" s="314" t="n"/>
      <c r="X647" s="315">
        <f>P647</f>
        <v/>
      </c>
      <c r="Y647" s="316">
        <f>S647/$B$612*100</f>
        <v/>
      </c>
      <c r="Z647" s="46" t="n"/>
      <c r="AA647" s="313">
        <f>+V647-I647</f>
        <v/>
      </c>
      <c r="AB647" s="46" t="n"/>
      <c r="AC647" s="46" t="n"/>
      <c r="AD647" s="46" t="n"/>
      <c r="AE647" s="46" t="n"/>
    </row>
    <row r="648">
      <c r="A648" s="73" t="n">
        <v>17</v>
      </c>
      <c r="B648" s="289">
        <f>+F647</f>
        <v/>
      </c>
      <c r="C648" s="287">
        <f>(IF(A648&lt;$B$613,PMT($B$614/12,$B$613,-$B$612,$B$617,$B$620),IF(A648=$B$613,PMT($B$614/12,$B$613,-$B$612,$B$617,$B$620)+$B$617,0)))</f>
        <v/>
      </c>
      <c r="D648" s="289">
        <f>IF(A648&lt;=$B$613,B648*$B$614/12,0)</f>
        <v/>
      </c>
      <c r="E648" s="289">
        <f>C648-D648</f>
        <v/>
      </c>
      <c r="F648" s="314">
        <f>(B648-E648)</f>
        <v/>
      </c>
      <c r="G648" s="112">
        <f>B648*(1-B$621)^($A648)</f>
        <v/>
      </c>
      <c r="H648" s="112">
        <f>IF(A648&lt;=$B$613,G648*$B$614/12,0)</f>
        <v/>
      </c>
      <c r="I648" s="315">
        <f>C648</f>
        <v/>
      </c>
      <c r="J648" s="314" t="n"/>
      <c r="K648" s="315">
        <f>C648</f>
        <v/>
      </c>
      <c r="L648" s="316">
        <f>F648/$B$612*100</f>
        <v/>
      </c>
      <c r="M648" s="317" t="n"/>
      <c r="N648" s="73" t="n">
        <v>17</v>
      </c>
      <c r="O648" s="289">
        <f>+S647</f>
        <v/>
      </c>
      <c r="P648" s="287">
        <f>(IF(N648&lt;$B$613,PMT($B$615/12,$B$613,-$B$612,$B$617,0),IF(N648=$B$613,PMT($B$615/12,$B$613,-$B$612,$B$617,0)+$B$617,0)))</f>
        <v/>
      </c>
      <c r="Q648" s="289">
        <f>IF(N648&lt;=$B$613,O648*$B$615/12,0)</f>
        <v/>
      </c>
      <c r="R648" s="289">
        <f>P648-Q648</f>
        <v/>
      </c>
      <c r="S648" s="314">
        <f>(O648-R648)</f>
        <v/>
      </c>
      <c r="T648" s="112">
        <f>O648*(1-B$621)^($N648)</f>
        <v/>
      </c>
      <c r="U648" s="112">
        <f>IF(N648&lt;=$B$613,T648*$B$615/12,0)</f>
        <v/>
      </c>
      <c r="V648" s="315">
        <f>P648</f>
        <v/>
      </c>
      <c r="W648" s="314" t="n"/>
      <c r="X648" s="315">
        <f>P648</f>
        <v/>
      </c>
      <c r="Y648" s="316">
        <f>S648/$B$612*100</f>
        <v/>
      </c>
      <c r="Z648" s="46" t="n"/>
      <c r="AA648" s="313">
        <f>+V648-I648</f>
        <v/>
      </c>
      <c r="AB648" s="46" t="n"/>
      <c r="AC648" s="46" t="n"/>
      <c r="AD648" s="46" t="n"/>
      <c r="AE648" s="46" t="n"/>
    </row>
    <row r="649">
      <c r="A649" s="73" t="n">
        <v>18</v>
      </c>
      <c r="B649" s="289">
        <f>+F648</f>
        <v/>
      </c>
      <c r="C649" s="287">
        <f>(IF(A649&lt;$B$613,PMT($B$614/12,$B$613,-$B$612,$B$617,$B$620),IF(A649=$B$613,PMT($B$614/12,$B$613,-$B$612,$B$617,$B$620)+$B$617,0)))</f>
        <v/>
      </c>
      <c r="D649" s="289">
        <f>IF(A649&lt;=$B$613,B649*$B$614/12,0)</f>
        <v/>
      </c>
      <c r="E649" s="289">
        <f>C649-D649</f>
        <v/>
      </c>
      <c r="F649" s="314">
        <f>(B649-E649)</f>
        <v/>
      </c>
      <c r="G649" s="112">
        <f>B649*(1-B$621)^($A649)</f>
        <v/>
      </c>
      <c r="H649" s="112">
        <f>IF(A649&lt;=$B$613,G649*$B$614/12,0)</f>
        <v/>
      </c>
      <c r="I649" s="315">
        <f>C649</f>
        <v/>
      </c>
      <c r="J649" s="314" t="n"/>
      <c r="K649" s="315">
        <f>C649</f>
        <v/>
      </c>
      <c r="L649" s="316">
        <f>F649/$B$612*100</f>
        <v/>
      </c>
      <c r="M649" s="317" t="n"/>
      <c r="N649" s="73" t="n">
        <v>18</v>
      </c>
      <c r="O649" s="289">
        <f>+S648</f>
        <v/>
      </c>
      <c r="P649" s="287">
        <f>(IF(N649&lt;$B$613,PMT($B$615/12,$B$613,-$B$612,$B$617,0),IF(N649=$B$613,PMT($B$615/12,$B$613,-$B$612,$B$617,0)+$B$617,0)))</f>
        <v/>
      </c>
      <c r="Q649" s="289">
        <f>IF(N649&lt;=$B$613,O649*$B$615/12,0)</f>
        <v/>
      </c>
      <c r="R649" s="289">
        <f>P649-Q649</f>
        <v/>
      </c>
      <c r="S649" s="314">
        <f>(O649-R649)</f>
        <v/>
      </c>
      <c r="T649" s="112">
        <f>O649*(1-B$621)^($N649)</f>
        <v/>
      </c>
      <c r="U649" s="112">
        <f>IF(N649&lt;=$B$613,T649*$B$615/12,0)</f>
        <v/>
      </c>
      <c r="V649" s="315">
        <f>P649</f>
        <v/>
      </c>
      <c r="W649" s="314" t="n"/>
      <c r="X649" s="315">
        <f>P649</f>
        <v/>
      </c>
      <c r="Y649" s="316">
        <f>S649/$B$612*100</f>
        <v/>
      </c>
      <c r="Z649" s="46" t="n"/>
      <c r="AA649" s="313">
        <f>+V649-I649</f>
        <v/>
      </c>
      <c r="AB649" s="46" t="n"/>
      <c r="AC649" s="46" t="n"/>
      <c r="AD649" s="46" t="n"/>
      <c r="AE649" s="46" t="n"/>
    </row>
    <row r="650">
      <c r="A650" s="73" t="n">
        <v>19</v>
      </c>
      <c r="B650" s="289">
        <f>+F649</f>
        <v/>
      </c>
      <c r="C650" s="287">
        <f>(IF(A650&lt;$B$613,PMT($B$614/12,$B$613,-$B$612,$B$617,$B$620),IF(A650=$B$613,PMT($B$614/12,$B$613,-$B$612,$B$617,$B$620)+$B$617,0)))</f>
        <v/>
      </c>
      <c r="D650" s="289">
        <f>IF(A650&lt;=$B$613,B650*$B$614/12,0)</f>
        <v/>
      </c>
      <c r="E650" s="289">
        <f>C650-D650</f>
        <v/>
      </c>
      <c r="F650" s="314">
        <f>(B650-E650)</f>
        <v/>
      </c>
      <c r="G650" s="112">
        <f>B650*(1-B$621)^($A650)</f>
        <v/>
      </c>
      <c r="H650" s="112">
        <f>IF(A650&lt;=$B$613,G650*$B$614/12,0)</f>
        <v/>
      </c>
      <c r="I650" s="315">
        <f>C650</f>
        <v/>
      </c>
      <c r="J650" s="314" t="n"/>
      <c r="K650" s="315">
        <f>C650</f>
        <v/>
      </c>
      <c r="L650" s="316">
        <f>F650/$B$612*100</f>
        <v/>
      </c>
      <c r="M650" s="317" t="n"/>
      <c r="N650" s="73" t="n">
        <v>19</v>
      </c>
      <c r="O650" s="289">
        <f>+S649</f>
        <v/>
      </c>
      <c r="P650" s="287">
        <f>(IF(N650&lt;$B$613,PMT($B$615/12,$B$613,-$B$612,$B$617,0),IF(N650=$B$613,PMT($B$615/12,$B$613,-$B$612,$B$617,0)+$B$617,0)))</f>
        <v/>
      </c>
      <c r="Q650" s="289">
        <f>IF(N650&lt;=$B$613,O650*$B$615/12,0)</f>
        <v/>
      </c>
      <c r="R650" s="289">
        <f>P650-Q650</f>
        <v/>
      </c>
      <c r="S650" s="314">
        <f>(O650-R650)</f>
        <v/>
      </c>
      <c r="T650" s="112">
        <f>O650*(1-B$621)^($N650)</f>
        <v/>
      </c>
      <c r="U650" s="112">
        <f>IF(N650&lt;=$B$613,T650*$B$615/12,0)</f>
        <v/>
      </c>
      <c r="V650" s="315">
        <f>P650</f>
        <v/>
      </c>
      <c r="W650" s="314" t="n"/>
      <c r="X650" s="315">
        <f>P650</f>
        <v/>
      </c>
      <c r="Y650" s="316">
        <f>S650/$B$612*100</f>
        <v/>
      </c>
      <c r="Z650" s="46" t="n"/>
      <c r="AA650" s="313">
        <f>+V650-I650</f>
        <v/>
      </c>
      <c r="AB650" s="46" t="n"/>
      <c r="AC650" s="46" t="n"/>
      <c r="AD650" s="46" t="n"/>
      <c r="AE650" s="46" t="n"/>
    </row>
    <row r="651">
      <c r="A651" s="73" t="n">
        <v>20</v>
      </c>
      <c r="B651" s="289">
        <f>+F650</f>
        <v/>
      </c>
      <c r="C651" s="287">
        <f>(IF(A651&lt;$B$613,PMT($B$614/12,$B$613,-$B$612,$B$617,$B$620),IF(A651=$B$613,PMT($B$614/12,$B$613,-$B$612,$B$617,$B$620)+$B$617,0)))</f>
        <v/>
      </c>
      <c r="D651" s="289">
        <f>IF(A651&lt;=$B$613,B651*$B$614/12,0)</f>
        <v/>
      </c>
      <c r="E651" s="289">
        <f>C651-D651</f>
        <v/>
      </c>
      <c r="F651" s="314">
        <f>(B651-E651)</f>
        <v/>
      </c>
      <c r="G651" s="112">
        <f>B651*(1-B$621)^($A651)</f>
        <v/>
      </c>
      <c r="H651" s="112">
        <f>IF(A651&lt;=$B$613,G651*$B$614/12,0)</f>
        <v/>
      </c>
      <c r="I651" s="315">
        <f>C651</f>
        <v/>
      </c>
      <c r="J651" s="314" t="n"/>
      <c r="K651" s="315">
        <f>C651</f>
        <v/>
      </c>
      <c r="L651" s="316">
        <f>F651/$B$612*100</f>
        <v/>
      </c>
      <c r="M651" s="317" t="n"/>
      <c r="N651" s="73" t="n">
        <v>20</v>
      </c>
      <c r="O651" s="289">
        <f>+S650</f>
        <v/>
      </c>
      <c r="P651" s="287">
        <f>(IF(N651&lt;$B$613,PMT($B$615/12,$B$613,-$B$612,$B$617,0),IF(N651=$B$613,PMT($B$615/12,$B$613,-$B$612,$B$617,0)+$B$617,0)))</f>
        <v/>
      </c>
      <c r="Q651" s="289">
        <f>IF(N651&lt;=$B$613,O651*$B$615/12,0)</f>
        <v/>
      </c>
      <c r="R651" s="289">
        <f>P651-Q651</f>
        <v/>
      </c>
      <c r="S651" s="314">
        <f>(O651-R651)</f>
        <v/>
      </c>
      <c r="T651" s="112">
        <f>O651*(1-B$621)^($N651)</f>
        <v/>
      </c>
      <c r="U651" s="112">
        <f>IF(N651&lt;=$B$613,T651*$B$615/12,0)</f>
        <v/>
      </c>
      <c r="V651" s="315">
        <f>P651</f>
        <v/>
      </c>
      <c r="W651" s="314" t="n"/>
      <c r="X651" s="315">
        <f>P651</f>
        <v/>
      </c>
      <c r="Y651" s="316">
        <f>S651/$B$612*100</f>
        <v/>
      </c>
      <c r="Z651" s="46" t="n"/>
      <c r="AA651" s="313">
        <f>+V651-I651</f>
        <v/>
      </c>
      <c r="AB651" s="46" t="n"/>
      <c r="AC651" s="46" t="n"/>
      <c r="AD651" s="46" t="n"/>
      <c r="AE651" s="46" t="n"/>
    </row>
    <row r="652">
      <c r="A652" s="73" t="n">
        <v>21</v>
      </c>
      <c r="B652" s="289">
        <f>+F651</f>
        <v/>
      </c>
      <c r="C652" s="287">
        <f>(IF(A652&lt;$B$613,PMT($B$614/12,$B$613,-$B$612,$B$617,$B$620),IF(A652=$B$613,PMT($B$614/12,$B$613,-$B$612,$B$617,$B$620)+$B$617,0)))</f>
        <v/>
      </c>
      <c r="D652" s="289">
        <f>IF(A652&lt;=$B$613,B652*$B$614/12,0)</f>
        <v/>
      </c>
      <c r="E652" s="289">
        <f>C652-D652</f>
        <v/>
      </c>
      <c r="F652" s="314">
        <f>(B652-E652)</f>
        <v/>
      </c>
      <c r="G652" s="112">
        <f>B652*(1-B$621)^($A652)</f>
        <v/>
      </c>
      <c r="H652" s="112">
        <f>IF(A652&lt;=$B$613,G652*$B$614/12,0)</f>
        <v/>
      </c>
      <c r="I652" s="315">
        <f>C652</f>
        <v/>
      </c>
      <c r="J652" s="314" t="n"/>
      <c r="K652" s="315">
        <f>C652</f>
        <v/>
      </c>
      <c r="L652" s="316">
        <f>F652/$B$612*100</f>
        <v/>
      </c>
      <c r="M652" s="317" t="n"/>
      <c r="N652" s="73" t="n">
        <v>21</v>
      </c>
      <c r="O652" s="289">
        <f>+S651</f>
        <v/>
      </c>
      <c r="P652" s="287">
        <f>(IF(N652&lt;$B$613,PMT($B$615/12,$B$613,-$B$612,$B$617,0),IF(N652=$B$613,PMT($B$615/12,$B$613,-$B$612,$B$617,0)+$B$617,0)))</f>
        <v/>
      </c>
      <c r="Q652" s="289">
        <f>IF(N652&lt;=$B$613,O652*$B$615/12,0)</f>
        <v/>
      </c>
      <c r="R652" s="289">
        <f>P652-Q652</f>
        <v/>
      </c>
      <c r="S652" s="314">
        <f>(O652-R652)</f>
        <v/>
      </c>
      <c r="T652" s="112">
        <f>O652*(1-B$621)^($N652)</f>
        <v/>
      </c>
      <c r="U652" s="112">
        <f>IF(N652&lt;=$B$613,T652*$B$615/12,0)</f>
        <v/>
      </c>
      <c r="V652" s="315">
        <f>P652</f>
        <v/>
      </c>
      <c r="W652" s="314" t="n"/>
      <c r="X652" s="315">
        <f>P652</f>
        <v/>
      </c>
      <c r="Y652" s="316">
        <f>S652/$B$612*100</f>
        <v/>
      </c>
      <c r="Z652" s="46" t="n"/>
      <c r="AA652" s="313">
        <f>+V652-I652</f>
        <v/>
      </c>
      <c r="AB652" s="46" t="n"/>
      <c r="AC652" s="46" t="n"/>
      <c r="AD652" s="46" t="n"/>
      <c r="AE652" s="46" t="n"/>
    </row>
    <row r="653">
      <c r="A653" s="73" t="n">
        <v>22</v>
      </c>
      <c r="B653" s="289">
        <f>+F652</f>
        <v/>
      </c>
      <c r="C653" s="287">
        <f>(IF(A653&lt;$B$613,PMT($B$614/12,$B$613,-$B$612,$B$617,$B$620),IF(A653=$B$613,PMT($B$614/12,$B$613,-$B$612,$B$617,$B$620)+$B$617,0)))</f>
        <v/>
      </c>
      <c r="D653" s="289">
        <f>IF(A653&lt;=$B$613,B653*$B$614/12,0)</f>
        <v/>
      </c>
      <c r="E653" s="289">
        <f>C653-D653</f>
        <v/>
      </c>
      <c r="F653" s="314">
        <f>(B653-E653)</f>
        <v/>
      </c>
      <c r="G653" s="112">
        <f>B653*(1-B$621)^($A653)</f>
        <v/>
      </c>
      <c r="H653" s="112">
        <f>IF(A653&lt;=$B$613,G653*$B$614/12,0)</f>
        <v/>
      </c>
      <c r="I653" s="315">
        <f>C653</f>
        <v/>
      </c>
      <c r="J653" s="314" t="n"/>
      <c r="K653" s="315">
        <f>C653</f>
        <v/>
      </c>
      <c r="L653" s="316">
        <f>F653/$B$612*100</f>
        <v/>
      </c>
      <c r="M653" s="317" t="n"/>
      <c r="N653" s="73" t="n">
        <v>22</v>
      </c>
      <c r="O653" s="289">
        <f>+S652</f>
        <v/>
      </c>
      <c r="P653" s="287">
        <f>(IF(N653&lt;$B$613,PMT($B$615/12,$B$613,-$B$612,$B$617,0),IF(N653=$B$613,PMT($B$615/12,$B$613,-$B$612,$B$617,0)+$B$617,0)))</f>
        <v/>
      </c>
      <c r="Q653" s="289">
        <f>IF(N653&lt;=$B$613,O653*$B$615/12,0)</f>
        <v/>
      </c>
      <c r="R653" s="289">
        <f>P653-Q653</f>
        <v/>
      </c>
      <c r="S653" s="314">
        <f>(O653-R653)</f>
        <v/>
      </c>
      <c r="T653" s="112">
        <f>O653*(1-B$621)^($N653)</f>
        <v/>
      </c>
      <c r="U653" s="112">
        <f>IF(N653&lt;=$B$613,T653*$B$615/12,0)</f>
        <v/>
      </c>
      <c r="V653" s="315">
        <f>P653</f>
        <v/>
      </c>
      <c r="W653" s="314" t="n"/>
      <c r="X653" s="315">
        <f>P653</f>
        <v/>
      </c>
      <c r="Y653" s="316">
        <f>S653/$B$612*100</f>
        <v/>
      </c>
      <c r="Z653" s="46" t="n"/>
      <c r="AA653" s="313">
        <f>+V653-I653</f>
        <v/>
      </c>
      <c r="AB653" s="46" t="n"/>
      <c r="AC653" s="46" t="n"/>
      <c r="AD653" s="46" t="n"/>
      <c r="AE653" s="46" t="n"/>
    </row>
    <row r="654">
      <c r="A654" s="73" t="n">
        <v>23</v>
      </c>
      <c r="B654" s="289">
        <f>+F653</f>
        <v/>
      </c>
      <c r="C654" s="287">
        <f>(IF(A654&lt;$B$613,PMT($B$614/12,$B$613,-$B$612,$B$617,$B$620),IF(A654=$B$613,PMT($B$614/12,$B$613,-$B$612,$B$617,$B$620)+$B$617,0)))</f>
        <v/>
      </c>
      <c r="D654" s="289">
        <f>IF(A654&lt;=$B$613,B654*$B$614/12,0)</f>
        <v/>
      </c>
      <c r="E654" s="289">
        <f>C654-D654</f>
        <v/>
      </c>
      <c r="F654" s="314">
        <f>(B654-E654)</f>
        <v/>
      </c>
      <c r="G654" s="112">
        <f>B654*(1-B$621)^($A654)</f>
        <v/>
      </c>
      <c r="H654" s="112">
        <f>IF(A654&lt;=$B$613,G654*$B$614/12,0)</f>
        <v/>
      </c>
      <c r="I654" s="315">
        <f>C654</f>
        <v/>
      </c>
      <c r="J654" s="314" t="n"/>
      <c r="K654" s="315">
        <f>C654</f>
        <v/>
      </c>
      <c r="L654" s="316">
        <f>F654/$B$612*100</f>
        <v/>
      </c>
      <c r="M654" s="317" t="n"/>
      <c r="N654" s="73" t="n">
        <v>23</v>
      </c>
      <c r="O654" s="289">
        <f>+S653</f>
        <v/>
      </c>
      <c r="P654" s="287">
        <f>(IF(N654&lt;$B$613,PMT($B$615/12,$B$613,-$B$612,$B$617,0),IF(N654=$B$613,PMT($B$615/12,$B$613,-$B$612,$B$617,0)+$B$617,0)))</f>
        <v/>
      </c>
      <c r="Q654" s="289">
        <f>IF(N654&lt;=$B$613,O654*$B$615/12,0)</f>
        <v/>
      </c>
      <c r="R654" s="289">
        <f>P654-Q654</f>
        <v/>
      </c>
      <c r="S654" s="314">
        <f>(O654-R654)</f>
        <v/>
      </c>
      <c r="T654" s="112">
        <f>O654*(1-B$621)^($N654)</f>
        <v/>
      </c>
      <c r="U654" s="112">
        <f>IF(N654&lt;=$B$613,T654*$B$615/12,0)</f>
        <v/>
      </c>
      <c r="V654" s="315">
        <f>P654</f>
        <v/>
      </c>
      <c r="W654" s="314" t="n"/>
      <c r="X654" s="315">
        <f>P654</f>
        <v/>
      </c>
      <c r="Y654" s="316">
        <f>S654/$B$612*100</f>
        <v/>
      </c>
      <c r="Z654" s="46" t="n"/>
      <c r="AA654" s="313">
        <f>+V654-I654</f>
        <v/>
      </c>
      <c r="AB654" s="46" t="n"/>
      <c r="AC654" s="46" t="n"/>
      <c r="AD654" s="46" t="n"/>
      <c r="AE654" s="46" t="n"/>
    </row>
    <row r="655">
      <c r="A655" s="73" t="n">
        <v>24</v>
      </c>
      <c r="B655" s="289">
        <f>+F654</f>
        <v/>
      </c>
      <c r="C655" s="287">
        <f>(IF(A655&lt;$B$613,PMT($B$614/12,$B$613,-$B$612,$B$617,$B$620),IF(A655=$B$613,PMT($B$614/12,$B$613,-$B$612,$B$617,$B$620)+$B$617,0)))</f>
        <v/>
      </c>
      <c r="D655" s="289">
        <f>IF(A655&lt;=$B$613,B655*$B$614/12,0)</f>
        <v/>
      </c>
      <c r="E655" s="289">
        <f>C655-D655</f>
        <v/>
      </c>
      <c r="F655" s="314">
        <f>(B655-E655)</f>
        <v/>
      </c>
      <c r="G655" s="112">
        <f>B655*(1-B$621)^($A655)</f>
        <v/>
      </c>
      <c r="H655" s="112">
        <f>IF(A655&lt;=$B$613,G655*$B$614/12,0)</f>
        <v/>
      </c>
      <c r="I655" s="315">
        <f>C655</f>
        <v/>
      </c>
      <c r="J655" s="314" t="n"/>
      <c r="K655" s="315">
        <f>C655</f>
        <v/>
      </c>
      <c r="L655" s="316">
        <f>F655/$B$612*100</f>
        <v/>
      </c>
      <c r="M655" s="317" t="n"/>
      <c r="N655" s="73" t="n">
        <v>24</v>
      </c>
      <c r="O655" s="289">
        <f>+S654</f>
        <v/>
      </c>
      <c r="P655" s="287">
        <f>(IF(N655&lt;$B$613,PMT($B$615/12,$B$613,-$B$612,$B$617,0),IF(N655=$B$613,PMT($B$615/12,$B$613,-$B$612,$B$617,0)+$B$617,0)))</f>
        <v/>
      </c>
      <c r="Q655" s="289">
        <f>IF(N655&lt;=$B$613,O655*$B$615/12,0)</f>
        <v/>
      </c>
      <c r="R655" s="289">
        <f>P655-Q655</f>
        <v/>
      </c>
      <c r="S655" s="314">
        <f>(O655-R655)</f>
        <v/>
      </c>
      <c r="T655" s="112">
        <f>O655*(1-B$621)^($N655)</f>
        <v/>
      </c>
      <c r="U655" s="112">
        <f>IF(N655&lt;=$B$613,T655*$B$615/12,0)</f>
        <v/>
      </c>
      <c r="V655" s="315">
        <f>P655</f>
        <v/>
      </c>
      <c r="W655" s="314" t="n"/>
      <c r="X655" s="315">
        <f>P655</f>
        <v/>
      </c>
      <c r="Y655" s="316">
        <f>S655/$B$612*100</f>
        <v/>
      </c>
      <c r="Z655" s="46" t="n"/>
      <c r="AA655" s="313">
        <f>+V655-I655</f>
        <v/>
      </c>
      <c r="AB655" s="46" t="n"/>
      <c r="AC655" s="46" t="n"/>
      <c r="AD655" s="46" t="n"/>
      <c r="AE655" s="46" t="n"/>
    </row>
    <row r="656">
      <c r="A656" s="73" t="n">
        <v>25</v>
      </c>
      <c r="B656" s="289">
        <f>+F655</f>
        <v/>
      </c>
      <c r="C656" s="287">
        <f>(IF(A656&lt;$B$613,PMT($B$614/12,$B$613,-$B$612,$B$617,$B$620),IF(A656=$B$613,PMT($B$614/12,$B$613,-$B$612,$B$617,$B$620)+$B$617,0)))</f>
        <v/>
      </c>
      <c r="D656" s="289">
        <f>IF(A656&lt;=$B$613,B656*$B$614/12,0)</f>
        <v/>
      </c>
      <c r="E656" s="289">
        <f>C656-D656</f>
        <v/>
      </c>
      <c r="F656" s="314">
        <f>(B656-E656)</f>
        <v/>
      </c>
      <c r="G656" s="112">
        <f>B656*(1-B$621)^($A656)</f>
        <v/>
      </c>
      <c r="H656" s="112">
        <f>IF(A656&lt;=$B$613,G656*$B$614/12,0)</f>
        <v/>
      </c>
      <c r="I656" s="315">
        <f>C656</f>
        <v/>
      </c>
      <c r="J656" s="314" t="n"/>
      <c r="K656" s="315">
        <f>C656</f>
        <v/>
      </c>
      <c r="L656" s="316">
        <f>F656/$B$612*100</f>
        <v/>
      </c>
      <c r="M656" s="317" t="n"/>
      <c r="N656" s="73" t="n">
        <v>25</v>
      </c>
      <c r="O656" s="289">
        <f>+S655</f>
        <v/>
      </c>
      <c r="P656" s="287">
        <f>(IF(N656&lt;$B$613,PMT($B$615/12,$B$613,-$B$612,$B$617,0),IF(N656=$B$613,PMT($B$615/12,$B$613,-$B$612,$B$617,0)+$B$617,0)))</f>
        <v/>
      </c>
      <c r="Q656" s="289">
        <f>IF(N656&lt;=$B$613,O656*$B$615/12,0)</f>
        <v/>
      </c>
      <c r="R656" s="289">
        <f>P656-Q656</f>
        <v/>
      </c>
      <c r="S656" s="314">
        <f>(O656-R656)</f>
        <v/>
      </c>
      <c r="T656" s="112">
        <f>O656*(1-B$621)^($N656)</f>
        <v/>
      </c>
      <c r="U656" s="112">
        <f>IF(N656&lt;=$B$613,T656*$B$615/12,0)</f>
        <v/>
      </c>
      <c r="V656" s="315">
        <f>P656</f>
        <v/>
      </c>
      <c r="W656" s="314" t="n"/>
      <c r="X656" s="315">
        <f>P656</f>
        <v/>
      </c>
      <c r="Y656" s="316">
        <f>S656/$B$612*100</f>
        <v/>
      </c>
      <c r="Z656" s="46" t="n"/>
      <c r="AA656" s="313">
        <f>+V656-I656</f>
        <v/>
      </c>
      <c r="AB656" s="46" t="n"/>
      <c r="AC656" s="46" t="n"/>
      <c r="AD656" s="46" t="n"/>
      <c r="AE656" s="46" t="n"/>
    </row>
    <row r="657">
      <c r="A657" s="73" t="n">
        <v>26</v>
      </c>
      <c r="B657" s="289">
        <f>+F656</f>
        <v/>
      </c>
      <c r="C657" s="287">
        <f>(IF(A657&lt;$B$613,PMT($B$614/12,$B$613,-$B$612,$B$617,$B$620),IF(A657=$B$613,PMT($B$614/12,$B$613,-$B$612,$B$617,$B$620)+$B$617,0)))</f>
        <v/>
      </c>
      <c r="D657" s="289">
        <f>IF(A657&lt;=$B$613,B657*$B$614/12,0)</f>
        <v/>
      </c>
      <c r="E657" s="289">
        <f>C657-D657</f>
        <v/>
      </c>
      <c r="F657" s="314">
        <f>(B657-E657)</f>
        <v/>
      </c>
      <c r="G657" s="112">
        <f>B657*(1-B$621)^($A657)</f>
        <v/>
      </c>
      <c r="H657" s="112">
        <f>IF(A657&lt;=$B$613,G657*$B$614/12,0)</f>
        <v/>
      </c>
      <c r="I657" s="315">
        <f>C657</f>
        <v/>
      </c>
      <c r="J657" s="314" t="n"/>
      <c r="K657" s="315">
        <f>C657</f>
        <v/>
      </c>
      <c r="L657" s="316">
        <f>F657/$B$612*100</f>
        <v/>
      </c>
      <c r="M657" s="317" t="n"/>
      <c r="N657" s="73" t="n">
        <v>26</v>
      </c>
      <c r="O657" s="289">
        <f>+S656</f>
        <v/>
      </c>
      <c r="P657" s="287">
        <f>(IF(N657&lt;$B$613,PMT($B$615/12,$B$613,-$B$612,$B$617,0),IF(N657=$B$613,PMT($B$615/12,$B$613,-$B$612,$B$617,0)+$B$617,0)))</f>
        <v/>
      </c>
      <c r="Q657" s="289">
        <f>IF(N657&lt;=$B$613,O657*$B$615/12,0)</f>
        <v/>
      </c>
      <c r="R657" s="289">
        <f>P657-Q657</f>
        <v/>
      </c>
      <c r="S657" s="314">
        <f>(O657-R657)</f>
        <v/>
      </c>
      <c r="T657" s="112">
        <f>O657*(1-B$621)^($N657)</f>
        <v/>
      </c>
      <c r="U657" s="112">
        <f>IF(N657&lt;=$B$613,T657*$B$615/12,0)</f>
        <v/>
      </c>
      <c r="V657" s="315">
        <f>P657</f>
        <v/>
      </c>
      <c r="W657" s="314" t="n"/>
      <c r="X657" s="315">
        <f>P657</f>
        <v/>
      </c>
      <c r="Y657" s="316">
        <f>S657/$B$612*100</f>
        <v/>
      </c>
      <c r="Z657" s="46" t="n"/>
      <c r="AA657" s="313">
        <f>+V657-I657</f>
        <v/>
      </c>
      <c r="AB657" s="46" t="n"/>
      <c r="AC657" s="46" t="n"/>
      <c r="AD657" s="46" t="n"/>
      <c r="AE657" s="46" t="n"/>
    </row>
    <row r="658">
      <c r="A658" s="73" t="n">
        <v>27</v>
      </c>
      <c r="B658" s="289">
        <f>+F657</f>
        <v/>
      </c>
      <c r="C658" s="287">
        <f>(IF(A658&lt;$B$613,PMT($B$614/12,$B$613,-$B$612,$B$617,$B$620),IF(A658=$B$613,PMT($B$614/12,$B$613,-$B$612,$B$617,$B$620)+$B$617,0)))</f>
        <v/>
      </c>
      <c r="D658" s="289">
        <f>IF(A658&lt;=$B$613,B658*$B$614/12,0)</f>
        <v/>
      </c>
      <c r="E658" s="289">
        <f>C658-D658</f>
        <v/>
      </c>
      <c r="F658" s="314">
        <f>(B658-E658)</f>
        <v/>
      </c>
      <c r="G658" s="112">
        <f>B658*(1-B$621)^($A658)</f>
        <v/>
      </c>
      <c r="H658" s="112">
        <f>IF(A658&lt;=$B$613,G658*$B$614/12,0)</f>
        <v/>
      </c>
      <c r="I658" s="315">
        <f>C658</f>
        <v/>
      </c>
      <c r="J658" s="314" t="n"/>
      <c r="K658" s="315">
        <f>C658</f>
        <v/>
      </c>
      <c r="L658" s="316">
        <f>F658/$B$612*100</f>
        <v/>
      </c>
      <c r="M658" s="317" t="n"/>
      <c r="N658" s="73" t="n">
        <v>27</v>
      </c>
      <c r="O658" s="289">
        <f>+S657</f>
        <v/>
      </c>
      <c r="P658" s="287">
        <f>(IF(N658&lt;$B$613,PMT($B$615/12,$B$613,-$B$612,$B$617,0),IF(N658=$B$613,PMT($B$615/12,$B$613,-$B$612,$B$617,0)+$B$617,0)))</f>
        <v/>
      </c>
      <c r="Q658" s="289">
        <f>IF(N658&lt;=$B$613,O658*$B$615/12,0)</f>
        <v/>
      </c>
      <c r="R658" s="289">
        <f>P658-Q658</f>
        <v/>
      </c>
      <c r="S658" s="314">
        <f>(O658-R658)</f>
        <v/>
      </c>
      <c r="T658" s="112">
        <f>O658*(1-B$621)^($N658)</f>
        <v/>
      </c>
      <c r="U658" s="112">
        <f>IF(N658&lt;=$B$613,T658*$B$615/12,0)</f>
        <v/>
      </c>
      <c r="V658" s="315">
        <f>P658</f>
        <v/>
      </c>
      <c r="W658" s="314" t="n"/>
      <c r="X658" s="315">
        <f>P658</f>
        <v/>
      </c>
      <c r="Y658" s="316">
        <f>S658/$B$612*100</f>
        <v/>
      </c>
      <c r="Z658" s="46" t="n"/>
      <c r="AA658" s="313">
        <f>+V658-I658</f>
        <v/>
      </c>
      <c r="AB658" s="46" t="n"/>
      <c r="AC658" s="46" t="n"/>
      <c r="AD658" s="46" t="n"/>
      <c r="AE658" s="46" t="n"/>
    </row>
    <row r="659">
      <c r="A659" s="73" t="n">
        <v>28</v>
      </c>
      <c r="B659" s="289">
        <f>+F658</f>
        <v/>
      </c>
      <c r="C659" s="287">
        <f>(IF(A659&lt;$B$613,PMT($B$614/12,$B$613,-$B$612,$B$617,$B$620),IF(A659=$B$613,PMT($B$614/12,$B$613,-$B$612,$B$617,$B$620)+$B$617,0)))</f>
        <v/>
      </c>
      <c r="D659" s="289">
        <f>IF(A659&lt;=$B$613,B659*$B$614/12,0)</f>
        <v/>
      </c>
      <c r="E659" s="289">
        <f>C659-D659</f>
        <v/>
      </c>
      <c r="F659" s="314">
        <f>(B659-E659)</f>
        <v/>
      </c>
      <c r="G659" s="112">
        <f>B659*(1-B$621)^($A659)</f>
        <v/>
      </c>
      <c r="H659" s="112">
        <f>IF(A659&lt;=$B$613,G659*$B$614/12,0)</f>
        <v/>
      </c>
      <c r="I659" s="315">
        <f>C659</f>
        <v/>
      </c>
      <c r="J659" s="314" t="n"/>
      <c r="K659" s="315">
        <f>C659</f>
        <v/>
      </c>
      <c r="L659" s="316">
        <f>F659/$B$612*100</f>
        <v/>
      </c>
      <c r="M659" s="317" t="n"/>
      <c r="N659" s="73" t="n">
        <v>28</v>
      </c>
      <c r="O659" s="289">
        <f>+S658</f>
        <v/>
      </c>
      <c r="P659" s="287">
        <f>(IF(N659&lt;$B$613,PMT($B$615/12,$B$613,-$B$612,$B$617,0),IF(N659=$B$613,PMT($B$615/12,$B$613,-$B$612,$B$617,0)+$B$617,0)))</f>
        <v/>
      </c>
      <c r="Q659" s="289">
        <f>IF(N659&lt;=$B$613,O659*$B$615/12,0)</f>
        <v/>
      </c>
      <c r="R659" s="289">
        <f>P659-Q659</f>
        <v/>
      </c>
      <c r="S659" s="314">
        <f>(O659-R659)</f>
        <v/>
      </c>
      <c r="T659" s="112">
        <f>O659*(1-B$621)^($N659)</f>
        <v/>
      </c>
      <c r="U659" s="112">
        <f>IF(N659&lt;=$B$613,T659*$B$615/12,0)</f>
        <v/>
      </c>
      <c r="V659" s="315">
        <f>P659</f>
        <v/>
      </c>
      <c r="W659" s="314" t="n"/>
      <c r="X659" s="315">
        <f>P659</f>
        <v/>
      </c>
      <c r="Y659" s="316">
        <f>S659/$B$612*100</f>
        <v/>
      </c>
      <c r="Z659" s="46" t="n"/>
      <c r="AA659" s="313">
        <f>+V659-I659</f>
        <v/>
      </c>
      <c r="AB659" s="46" t="n"/>
      <c r="AC659" s="46" t="n"/>
      <c r="AD659" s="46" t="n"/>
      <c r="AE659" s="46" t="n"/>
    </row>
    <row r="660">
      <c r="A660" s="73" t="n">
        <v>29</v>
      </c>
      <c r="B660" s="289">
        <f>+F659</f>
        <v/>
      </c>
      <c r="C660" s="287">
        <f>(IF(A660&lt;$B$613,PMT($B$614/12,$B$613,-$B$612,$B$617,$B$620),IF(A660=$B$613,PMT($B$614/12,$B$613,-$B$612,$B$617,$B$620)+$B$617,0)))</f>
        <v/>
      </c>
      <c r="D660" s="289">
        <f>IF(A660&lt;=$B$613,B660*$B$614/12,0)</f>
        <v/>
      </c>
      <c r="E660" s="289">
        <f>C660-D660</f>
        <v/>
      </c>
      <c r="F660" s="314">
        <f>(B660-E660)</f>
        <v/>
      </c>
      <c r="G660" s="112">
        <f>B660*(1-B$621)^($A660)</f>
        <v/>
      </c>
      <c r="H660" s="112">
        <f>IF(A660&lt;=$B$613,G660*$B$614/12,0)</f>
        <v/>
      </c>
      <c r="I660" s="315">
        <f>C660</f>
        <v/>
      </c>
      <c r="J660" s="314" t="n"/>
      <c r="K660" s="315">
        <f>C660</f>
        <v/>
      </c>
      <c r="L660" s="316">
        <f>F660/$B$612*100</f>
        <v/>
      </c>
      <c r="M660" s="317" t="n"/>
      <c r="N660" s="73" t="n">
        <v>29</v>
      </c>
      <c r="O660" s="289">
        <f>+S659</f>
        <v/>
      </c>
      <c r="P660" s="287">
        <f>(IF(N660&lt;$B$613,PMT($B$615/12,$B$613,-$B$612,$B$617,0),IF(N660=$B$613,PMT($B$615/12,$B$613,-$B$612,$B$617,0)+$B$617,0)))</f>
        <v/>
      </c>
      <c r="Q660" s="289">
        <f>IF(N660&lt;=$B$613,O660*$B$615/12,0)</f>
        <v/>
      </c>
      <c r="R660" s="289">
        <f>P660-Q660</f>
        <v/>
      </c>
      <c r="S660" s="314">
        <f>(O660-R660)</f>
        <v/>
      </c>
      <c r="T660" s="112">
        <f>O660*(1-B$621)^($N660)</f>
        <v/>
      </c>
      <c r="U660" s="112">
        <f>IF(N660&lt;=$B$613,T660*$B$615/12,0)</f>
        <v/>
      </c>
      <c r="V660" s="315">
        <f>P660</f>
        <v/>
      </c>
      <c r="W660" s="314" t="n"/>
      <c r="X660" s="315">
        <f>P660</f>
        <v/>
      </c>
      <c r="Y660" s="316">
        <f>S660/$B$612*100</f>
        <v/>
      </c>
      <c r="Z660" s="46" t="n"/>
      <c r="AA660" s="313">
        <f>+V660-I660</f>
        <v/>
      </c>
      <c r="AB660" s="46" t="n"/>
      <c r="AC660" s="46" t="n"/>
      <c r="AD660" s="46" t="n"/>
      <c r="AE660" s="46" t="n"/>
    </row>
    <row r="661">
      <c r="A661" s="73" t="n">
        <v>30</v>
      </c>
      <c r="B661" s="289">
        <f>+F660</f>
        <v/>
      </c>
      <c r="C661" s="287">
        <f>(IF(A661&lt;$B$613,PMT($B$614/12,$B$613,-$B$612,$B$617,$B$620),IF(A661=$B$613,PMT($B$614/12,$B$613,-$B$612,$B$617,$B$620)+$B$617,0)))</f>
        <v/>
      </c>
      <c r="D661" s="289">
        <f>IF(A661&lt;=$B$613,B661*$B$614/12,0)</f>
        <v/>
      </c>
      <c r="E661" s="289">
        <f>C661-D661</f>
        <v/>
      </c>
      <c r="F661" s="314">
        <f>(B661-E661)</f>
        <v/>
      </c>
      <c r="G661" s="112">
        <f>B661*(1-B$621)^($A661)</f>
        <v/>
      </c>
      <c r="H661" s="112">
        <f>IF(A661&lt;=$B$613,G661*$B$614/12,0)</f>
        <v/>
      </c>
      <c r="I661" s="315">
        <f>C661</f>
        <v/>
      </c>
      <c r="J661" s="314" t="n"/>
      <c r="K661" s="315">
        <f>C661</f>
        <v/>
      </c>
      <c r="L661" s="316">
        <f>F661/$B$612*100</f>
        <v/>
      </c>
      <c r="M661" s="317" t="n"/>
      <c r="N661" s="73" t="n">
        <v>30</v>
      </c>
      <c r="O661" s="289">
        <f>+S660</f>
        <v/>
      </c>
      <c r="P661" s="287">
        <f>(IF(N661&lt;$B$613,PMT($B$615/12,$B$613,-$B$612,$B$617,0),IF(N661=$B$613,PMT($B$615/12,$B$613,-$B$612,$B$617,0)+$B$617,0)))</f>
        <v/>
      </c>
      <c r="Q661" s="289">
        <f>IF(N661&lt;=$B$613,O661*$B$615/12,0)</f>
        <v/>
      </c>
      <c r="R661" s="289">
        <f>P661-Q661</f>
        <v/>
      </c>
      <c r="S661" s="314">
        <f>(O661-R661)</f>
        <v/>
      </c>
      <c r="T661" s="112">
        <f>O661*(1-B$621)^($N661)</f>
        <v/>
      </c>
      <c r="U661" s="112">
        <f>IF(N661&lt;=$B$613,T661*$B$615/12,0)</f>
        <v/>
      </c>
      <c r="V661" s="315">
        <f>P661</f>
        <v/>
      </c>
      <c r="W661" s="314" t="n"/>
      <c r="X661" s="315">
        <f>P661</f>
        <v/>
      </c>
      <c r="Y661" s="316">
        <f>S661/$B$612*100</f>
        <v/>
      </c>
      <c r="Z661" s="46" t="n"/>
      <c r="AA661" s="313">
        <f>+V661-I661</f>
        <v/>
      </c>
      <c r="AB661" s="46" t="n"/>
      <c r="AC661" s="46" t="n"/>
      <c r="AD661" s="46" t="n"/>
      <c r="AE661" s="46" t="n"/>
    </row>
    <row r="662">
      <c r="A662" s="73" t="n">
        <v>31</v>
      </c>
      <c r="B662" s="289">
        <f>+F661</f>
        <v/>
      </c>
      <c r="C662" s="287">
        <f>(IF(A662&lt;$B$613,PMT($B$614/12,$B$613,-$B$612,$B$617,$B$620),IF(A662=$B$613,PMT($B$614/12,$B$613,-$B$612,$B$617,$B$620)+$B$617,0)))</f>
        <v/>
      </c>
      <c r="D662" s="289">
        <f>IF(A662&lt;=$B$613,B662*$B$614/12,0)</f>
        <v/>
      </c>
      <c r="E662" s="289">
        <f>C662-D662</f>
        <v/>
      </c>
      <c r="F662" s="314">
        <f>(B662-E662)</f>
        <v/>
      </c>
      <c r="G662" s="112">
        <f>B662*(1-B$621)^($A662)</f>
        <v/>
      </c>
      <c r="H662" s="112">
        <f>IF(A662&lt;=$B$613,G662*$B$614/12,0)</f>
        <v/>
      </c>
      <c r="I662" s="315">
        <f>C662</f>
        <v/>
      </c>
      <c r="J662" s="314" t="n"/>
      <c r="K662" s="315">
        <f>C662</f>
        <v/>
      </c>
      <c r="L662" s="316">
        <f>F662/$B$612*100</f>
        <v/>
      </c>
      <c r="M662" s="317" t="n"/>
      <c r="N662" s="73" t="n">
        <v>31</v>
      </c>
      <c r="O662" s="289">
        <f>+S661</f>
        <v/>
      </c>
      <c r="P662" s="287">
        <f>(IF(N662&lt;$B$613,PMT($B$615/12,$B$613,-$B$612,$B$617,0),IF(N662=$B$613,PMT($B$615/12,$B$613,-$B$612,$B$617,0)+$B$617,0)))</f>
        <v/>
      </c>
      <c r="Q662" s="289">
        <f>IF(N662&lt;=$B$613,O662*$B$615/12,0)</f>
        <v/>
      </c>
      <c r="R662" s="289">
        <f>P662-Q662</f>
        <v/>
      </c>
      <c r="S662" s="314">
        <f>(O662-R662)</f>
        <v/>
      </c>
      <c r="T662" s="112">
        <f>O662*(1-B$621)^($N662)</f>
        <v/>
      </c>
      <c r="U662" s="112">
        <f>IF(N662&lt;=$B$613,T662*$B$615/12,0)</f>
        <v/>
      </c>
      <c r="V662" s="315">
        <f>P662</f>
        <v/>
      </c>
      <c r="W662" s="314" t="n"/>
      <c r="X662" s="315">
        <f>P662</f>
        <v/>
      </c>
      <c r="Y662" s="316">
        <f>S662/$B$612*100</f>
        <v/>
      </c>
      <c r="Z662" s="46" t="n"/>
      <c r="AA662" s="313">
        <f>+V662-I662</f>
        <v/>
      </c>
      <c r="AB662" s="46" t="n"/>
      <c r="AC662" s="46" t="n"/>
      <c r="AD662" s="46" t="n"/>
      <c r="AE662" s="46" t="n"/>
    </row>
    <row r="663">
      <c r="A663" s="73" t="n">
        <v>32</v>
      </c>
      <c r="B663" s="289">
        <f>+F662</f>
        <v/>
      </c>
      <c r="C663" s="287">
        <f>(IF(A663&lt;$B$613,PMT($B$614/12,$B$613,-$B$612,$B$617,$B$620),IF(A663=$B$613,PMT($B$614/12,$B$613,-$B$612,$B$617,$B$620)+$B$617,0)))</f>
        <v/>
      </c>
      <c r="D663" s="289">
        <f>IF(A663&lt;=$B$613,B663*$B$614/12,0)</f>
        <v/>
      </c>
      <c r="E663" s="289">
        <f>C663-D663</f>
        <v/>
      </c>
      <c r="F663" s="314">
        <f>(B663-E663)</f>
        <v/>
      </c>
      <c r="G663" s="112">
        <f>B663*(1-B$621)^($A663)</f>
        <v/>
      </c>
      <c r="H663" s="112">
        <f>IF(A663&lt;=$B$613,G663*$B$614/12,0)</f>
        <v/>
      </c>
      <c r="I663" s="315">
        <f>C663</f>
        <v/>
      </c>
      <c r="J663" s="314" t="n"/>
      <c r="K663" s="315">
        <f>C663</f>
        <v/>
      </c>
      <c r="L663" s="316">
        <f>F663/$B$612*100</f>
        <v/>
      </c>
      <c r="M663" s="317" t="n"/>
      <c r="N663" s="73" t="n">
        <v>32</v>
      </c>
      <c r="O663" s="289">
        <f>+S662</f>
        <v/>
      </c>
      <c r="P663" s="287">
        <f>(IF(N663&lt;$B$613,PMT($B$615/12,$B$613,-$B$612,$B$617,0),IF(N663=$B$613,PMT($B$615/12,$B$613,-$B$612,$B$617,0)+$B$617,0)))</f>
        <v/>
      </c>
      <c r="Q663" s="289">
        <f>IF(N663&lt;=$B$613,O663*$B$615/12,0)</f>
        <v/>
      </c>
      <c r="R663" s="289">
        <f>P663-Q663</f>
        <v/>
      </c>
      <c r="S663" s="314">
        <f>(O663-R663)</f>
        <v/>
      </c>
      <c r="T663" s="112">
        <f>O663*(1-B$621)^($N663)</f>
        <v/>
      </c>
      <c r="U663" s="112">
        <f>IF(N663&lt;=$B$613,T663*$B$615/12,0)</f>
        <v/>
      </c>
      <c r="V663" s="315">
        <f>P663</f>
        <v/>
      </c>
      <c r="W663" s="314" t="n"/>
      <c r="X663" s="315">
        <f>P663</f>
        <v/>
      </c>
      <c r="Y663" s="316">
        <f>S663/$B$612*100</f>
        <v/>
      </c>
      <c r="Z663" s="46" t="n"/>
      <c r="AA663" s="313">
        <f>+V663-I663</f>
        <v/>
      </c>
      <c r="AB663" s="46" t="n"/>
      <c r="AC663" s="46" t="n"/>
      <c r="AD663" s="46" t="n"/>
      <c r="AE663" s="46" t="n"/>
    </row>
    <row r="664">
      <c r="A664" s="73" t="n">
        <v>33</v>
      </c>
      <c r="B664" s="289">
        <f>+F663</f>
        <v/>
      </c>
      <c r="C664" s="287">
        <f>(IF(A664&lt;$B$613,PMT($B$614/12,$B$613,-$B$612,$B$617,$B$620),IF(A664=$B$613,PMT($B$614/12,$B$613,-$B$612,$B$617,$B$620)+$B$617,0)))</f>
        <v/>
      </c>
      <c r="D664" s="289">
        <f>IF(A664&lt;=$B$613,B664*$B$614/12,0)</f>
        <v/>
      </c>
      <c r="E664" s="289">
        <f>C664-D664</f>
        <v/>
      </c>
      <c r="F664" s="314">
        <f>(B664-E664)</f>
        <v/>
      </c>
      <c r="G664" s="112">
        <f>B664*(1-B$621)^($A664)</f>
        <v/>
      </c>
      <c r="H664" s="112">
        <f>IF(A664&lt;=$B$613,G664*$B$614/12,0)</f>
        <v/>
      </c>
      <c r="I664" s="315">
        <f>C664</f>
        <v/>
      </c>
      <c r="J664" s="314" t="n"/>
      <c r="K664" s="315">
        <f>C664</f>
        <v/>
      </c>
      <c r="L664" s="316">
        <f>F664/$B$612*100</f>
        <v/>
      </c>
      <c r="M664" s="317" t="n"/>
      <c r="N664" s="73" t="n">
        <v>33</v>
      </c>
      <c r="O664" s="289">
        <f>+S663</f>
        <v/>
      </c>
      <c r="P664" s="287">
        <f>(IF(N664&lt;$B$613,PMT($B$615/12,$B$613,-$B$612,$B$617,0),IF(N664=$B$613,PMT($B$615/12,$B$613,-$B$612,$B$617,0)+$B$617,0)))</f>
        <v/>
      </c>
      <c r="Q664" s="289">
        <f>IF(N664&lt;=$B$613,O664*$B$615/12,0)</f>
        <v/>
      </c>
      <c r="R664" s="289">
        <f>P664-Q664</f>
        <v/>
      </c>
      <c r="S664" s="314">
        <f>(O664-R664)</f>
        <v/>
      </c>
      <c r="T664" s="112">
        <f>O664*(1-B$621)^($N664)</f>
        <v/>
      </c>
      <c r="U664" s="112">
        <f>IF(N664&lt;=$B$613,T664*$B$615/12,0)</f>
        <v/>
      </c>
      <c r="V664" s="315">
        <f>P664</f>
        <v/>
      </c>
      <c r="W664" s="314" t="n"/>
      <c r="X664" s="315">
        <f>P664</f>
        <v/>
      </c>
      <c r="Y664" s="316">
        <f>S664/$B$612*100</f>
        <v/>
      </c>
      <c r="Z664" s="46" t="n"/>
      <c r="AA664" s="313">
        <f>+V664-I664</f>
        <v/>
      </c>
      <c r="AB664" s="46" t="n"/>
      <c r="AC664" s="46" t="n"/>
      <c r="AD664" s="46" t="n"/>
      <c r="AE664" s="46" t="n"/>
    </row>
    <row r="665">
      <c r="A665" s="73" t="n">
        <v>34</v>
      </c>
      <c r="B665" s="289">
        <f>+F664</f>
        <v/>
      </c>
      <c r="C665" s="287">
        <f>(IF(A665&lt;$B$613,PMT($B$614/12,$B$613,-$B$612,$B$617,$B$620),IF(A665=$B$613,PMT($B$614/12,$B$613,-$B$612,$B$617,$B$620)+$B$617,0)))</f>
        <v/>
      </c>
      <c r="D665" s="289">
        <f>IF(A665&lt;=$B$613,B665*$B$614/12,0)</f>
        <v/>
      </c>
      <c r="E665" s="289">
        <f>C665-D665</f>
        <v/>
      </c>
      <c r="F665" s="314">
        <f>(B665-E665)</f>
        <v/>
      </c>
      <c r="G665" s="112">
        <f>B665*(1-B$621)^($A665)</f>
        <v/>
      </c>
      <c r="H665" s="112">
        <f>IF(A665&lt;=$B$613,G665*$B$614/12,0)</f>
        <v/>
      </c>
      <c r="I665" s="315">
        <f>C665</f>
        <v/>
      </c>
      <c r="J665" s="314" t="n"/>
      <c r="K665" s="315">
        <f>C665</f>
        <v/>
      </c>
      <c r="L665" s="316">
        <f>F665/$B$612*100</f>
        <v/>
      </c>
      <c r="M665" s="317" t="n"/>
      <c r="N665" s="73" t="n">
        <v>34</v>
      </c>
      <c r="O665" s="289">
        <f>+S664</f>
        <v/>
      </c>
      <c r="P665" s="287">
        <f>(IF(N665&lt;$B$613,PMT($B$615/12,$B$613,-$B$612,$B$617,0),IF(N665=$B$613,PMT($B$615/12,$B$613,-$B$612,$B$617,0)+$B$617,0)))</f>
        <v/>
      </c>
      <c r="Q665" s="289">
        <f>IF(N665&lt;=$B$613,O665*$B$615/12,0)</f>
        <v/>
      </c>
      <c r="R665" s="289">
        <f>P665-Q665</f>
        <v/>
      </c>
      <c r="S665" s="314">
        <f>(O665-R665)</f>
        <v/>
      </c>
      <c r="T665" s="112">
        <f>O665*(1-B$621)^($N665)</f>
        <v/>
      </c>
      <c r="U665" s="112">
        <f>IF(N665&lt;=$B$613,T665*$B$615/12,0)</f>
        <v/>
      </c>
      <c r="V665" s="315">
        <f>P665</f>
        <v/>
      </c>
      <c r="W665" s="314" t="n"/>
      <c r="X665" s="315">
        <f>P665</f>
        <v/>
      </c>
      <c r="Y665" s="316">
        <f>S665/$B$612*100</f>
        <v/>
      </c>
      <c r="Z665" s="46" t="n"/>
      <c r="AA665" s="313">
        <f>+V665-I665</f>
        <v/>
      </c>
      <c r="AB665" s="46" t="n"/>
      <c r="AC665" s="46" t="n"/>
      <c r="AD665" s="46" t="n"/>
      <c r="AE665" s="46" t="n"/>
    </row>
    <row r="666">
      <c r="A666" s="73" t="n">
        <v>35</v>
      </c>
      <c r="B666" s="289">
        <f>+F665</f>
        <v/>
      </c>
      <c r="C666" s="287">
        <f>(IF(A666&lt;$B$613,PMT($B$614/12,$B$613,-$B$612,$B$617,$B$620),IF(A666=$B$613,PMT($B$614/12,$B$613,-$B$612,$B$617,$B$620)+$B$617,0)))</f>
        <v/>
      </c>
      <c r="D666" s="289">
        <f>IF(A666&lt;=$B$613,B666*$B$614/12,0)</f>
        <v/>
      </c>
      <c r="E666" s="289">
        <f>C666-D666</f>
        <v/>
      </c>
      <c r="F666" s="314">
        <f>(B666-E666)</f>
        <v/>
      </c>
      <c r="G666" s="112">
        <f>B666*(1-B$621)^($A666)</f>
        <v/>
      </c>
      <c r="H666" s="112">
        <f>IF(A666&lt;=$B$613,G666*$B$614/12,0)</f>
        <v/>
      </c>
      <c r="I666" s="315">
        <f>C666</f>
        <v/>
      </c>
      <c r="J666" s="314" t="n"/>
      <c r="K666" s="315">
        <f>C666</f>
        <v/>
      </c>
      <c r="L666" s="316">
        <f>F666/$B$612*100</f>
        <v/>
      </c>
      <c r="M666" s="317" t="n"/>
      <c r="N666" s="73" t="n">
        <v>35</v>
      </c>
      <c r="O666" s="289">
        <f>+S665</f>
        <v/>
      </c>
      <c r="P666" s="287">
        <f>(IF(N666&lt;$B$613,PMT($B$615/12,$B$613,-$B$612,$B$617,0),IF(N666=$B$613,PMT($B$615/12,$B$613,-$B$612,$B$617,0)+$B$617,0)))</f>
        <v/>
      </c>
      <c r="Q666" s="289">
        <f>IF(N666&lt;=$B$613,O666*$B$615/12,0)</f>
        <v/>
      </c>
      <c r="R666" s="289">
        <f>P666-Q666</f>
        <v/>
      </c>
      <c r="S666" s="314">
        <f>(O666-R666)</f>
        <v/>
      </c>
      <c r="T666" s="112">
        <f>O666*(1-B$621)^($N666)</f>
        <v/>
      </c>
      <c r="U666" s="112">
        <f>IF(N666&lt;=$B$613,T666*$B$615/12,0)</f>
        <v/>
      </c>
      <c r="V666" s="315">
        <f>P666</f>
        <v/>
      </c>
      <c r="W666" s="314" t="n"/>
      <c r="X666" s="315">
        <f>P666</f>
        <v/>
      </c>
      <c r="Y666" s="316">
        <f>S666/$B$612*100</f>
        <v/>
      </c>
      <c r="Z666" s="46" t="n"/>
      <c r="AA666" s="313">
        <f>+V666-I666</f>
        <v/>
      </c>
      <c r="AB666" s="46" t="n"/>
      <c r="AC666" s="46" t="n"/>
      <c r="AD666" s="46" t="n"/>
      <c r="AE666" s="46" t="n"/>
    </row>
    <row r="667">
      <c r="A667" s="73" t="n">
        <v>36</v>
      </c>
      <c r="B667" s="289">
        <f>+F666</f>
        <v/>
      </c>
      <c r="C667" s="287">
        <f>(IF(A667&lt;$B$613,PMT($B$614/12,$B$613,-$B$612,$B$617,$B$620),IF(A667=$B$613,PMT($B$614/12,$B$613,-$B$612,$B$617,$B$620)+$B$617,0)))</f>
        <v/>
      </c>
      <c r="D667" s="289">
        <f>IF(A667&lt;=$B$613,B667*$B$614/12,0)</f>
        <v/>
      </c>
      <c r="E667" s="289">
        <f>C667-D667</f>
        <v/>
      </c>
      <c r="F667" s="314">
        <f>(B667-E667)</f>
        <v/>
      </c>
      <c r="G667" s="112">
        <f>B667*(1-B$621)^($A667)</f>
        <v/>
      </c>
      <c r="H667" s="112">
        <f>IF(A667&lt;=$B$613,G667*$B$614/12,0)</f>
        <v/>
      </c>
      <c r="I667" s="315">
        <f>C667</f>
        <v/>
      </c>
      <c r="J667" s="314" t="n"/>
      <c r="K667" s="315">
        <f>C667</f>
        <v/>
      </c>
      <c r="L667" s="316">
        <f>F667/$B$612*100</f>
        <v/>
      </c>
      <c r="M667" s="317" t="n"/>
      <c r="N667" s="73" t="n">
        <v>36</v>
      </c>
      <c r="O667" s="289">
        <f>+S666</f>
        <v/>
      </c>
      <c r="P667" s="287">
        <f>(IF(N667&lt;$B$613,PMT($B$615/12,$B$613,-$B$612,$B$617,0),IF(N667=$B$613,PMT($B$615/12,$B$613,-$B$612,$B$617,0)+$B$617,0)))</f>
        <v/>
      </c>
      <c r="Q667" s="289">
        <f>IF(N667&lt;=$B$613,O667*$B$615/12,0)</f>
        <v/>
      </c>
      <c r="R667" s="289">
        <f>P667-Q667</f>
        <v/>
      </c>
      <c r="S667" s="314">
        <f>(O667-R667)</f>
        <v/>
      </c>
      <c r="T667" s="112">
        <f>O667*(1-B$621)^($N667)</f>
        <v/>
      </c>
      <c r="U667" s="112">
        <f>IF(N667&lt;=$B$613,T667*$B$615/12,0)</f>
        <v/>
      </c>
      <c r="V667" s="315">
        <f>P667</f>
        <v/>
      </c>
      <c r="W667" s="314" t="n"/>
      <c r="X667" s="315">
        <f>P667</f>
        <v/>
      </c>
      <c r="Y667" s="316">
        <f>S667/$B$612*100</f>
        <v/>
      </c>
      <c r="Z667" s="46" t="n"/>
      <c r="AA667" s="313">
        <f>+V667-I667</f>
        <v/>
      </c>
      <c r="AB667" s="46" t="n"/>
      <c r="AC667" s="46" t="n"/>
      <c r="AD667" s="46" t="n"/>
      <c r="AE667" s="46" t="n"/>
    </row>
    <row r="668">
      <c r="A668" s="73" t="n">
        <v>37</v>
      </c>
      <c r="B668" s="289">
        <f>+F667</f>
        <v/>
      </c>
      <c r="C668" s="287">
        <f>(IF(A668&lt;$B$613,PMT($B$614/12,$B$613,-$B$612,$B$617,$B$620),IF(A668=$B$613,PMT($B$614/12,$B$613,-$B$612,$B$617,$B$620)+$B$617,0)))</f>
        <v/>
      </c>
      <c r="D668" s="289">
        <f>IF(A668&lt;=$B$613,B668*$B$614/12,0)</f>
        <v/>
      </c>
      <c r="E668" s="289">
        <f>C668-D668</f>
        <v/>
      </c>
      <c r="F668" s="314">
        <f>(B668-E668)</f>
        <v/>
      </c>
      <c r="G668" s="112">
        <f>B668*(1-B$621)^($A668)</f>
        <v/>
      </c>
      <c r="H668" s="112">
        <f>IF(A668&lt;=$B$613,G668*$B$614/12,0)</f>
        <v/>
      </c>
      <c r="I668" s="315">
        <f>C668</f>
        <v/>
      </c>
      <c r="J668" s="314" t="n"/>
      <c r="K668" s="315">
        <f>C668</f>
        <v/>
      </c>
      <c r="L668" s="316">
        <f>F668/$B$612*100</f>
        <v/>
      </c>
      <c r="M668" s="317" t="n"/>
      <c r="N668" s="73" t="n">
        <v>37</v>
      </c>
      <c r="O668" s="289">
        <f>+S667</f>
        <v/>
      </c>
      <c r="P668" s="287">
        <f>(IF(N668&lt;$B$613,PMT($B$615/12,$B$613,-$B$612,$B$617,0),IF(N668=$B$613,PMT($B$615/12,$B$613,-$B$612,$B$617,0)+$B$617,0)))</f>
        <v/>
      </c>
      <c r="Q668" s="289">
        <f>IF(N668&lt;=$B$613,O668*$B$615/12,0)</f>
        <v/>
      </c>
      <c r="R668" s="289">
        <f>P668-Q668</f>
        <v/>
      </c>
      <c r="S668" s="314">
        <f>(O668-R668)</f>
        <v/>
      </c>
      <c r="T668" s="112">
        <f>O668*(1-B$621)^($N668)</f>
        <v/>
      </c>
      <c r="U668" s="112">
        <f>IF(N668&lt;=$B$613,T668*$B$615/12,0)</f>
        <v/>
      </c>
      <c r="V668" s="315">
        <f>P668</f>
        <v/>
      </c>
      <c r="W668" s="314" t="n"/>
      <c r="X668" s="315">
        <f>P668</f>
        <v/>
      </c>
      <c r="Y668" s="316">
        <f>S668/$B$612*100</f>
        <v/>
      </c>
      <c r="Z668" s="46" t="n"/>
      <c r="AA668" s="313">
        <f>+V668-I668</f>
        <v/>
      </c>
      <c r="AB668" s="46" t="n"/>
      <c r="AC668" s="46" t="n"/>
      <c r="AD668" s="46" t="n"/>
      <c r="AE668" s="46" t="n"/>
    </row>
    <row r="669">
      <c r="A669" s="73" t="n">
        <v>38</v>
      </c>
      <c r="B669" s="289">
        <f>+F668</f>
        <v/>
      </c>
      <c r="C669" s="287">
        <f>(IF(A669&lt;$B$613,PMT($B$614/12,$B$613,-$B$612,$B$617,$B$620),IF(A669=$B$613,PMT($B$614/12,$B$613,-$B$612,$B$617,$B$620)+$B$617,0)))</f>
        <v/>
      </c>
      <c r="D669" s="289">
        <f>IF(A669&lt;=$B$613,B669*$B$614/12,0)</f>
        <v/>
      </c>
      <c r="E669" s="289">
        <f>C669-D669</f>
        <v/>
      </c>
      <c r="F669" s="314">
        <f>(B669-E669)</f>
        <v/>
      </c>
      <c r="G669" s="112">
        <f>B669*(1-B$621)^($A669)</f>
        <v/>
      </c>
      <c r="H669" s="112">
        <f>IF(A669&lt;=$B$613,G669*$B$614/12,0)</f>
        <v/>
      </c>
      <c r="I669" s="315">
        <f>C669</f>
        <v/>
      </c>
      <c r="J669" s="314" t="n"/>
      <c r="K669" s="315">
        <f>C669</f>
        <v/>
      </c>
      <c r="L669" s="316">
        <f>F669/$B$612*100</f>
        <v/>
      </c>
      <c r="M669" s="317" t="n"/>
      <c r="N669" s="73" t="n">
        <v>38</v>
      </c>
      <c r="O669" s="289">
        <f>+S668</f>
        <v/>
      </c>
      <c r="P669" s="287">
        <f>(IF(N669&lt;$B$613,PMT($B$615/12,$B$613,-$B$612,$B$617,0),IF(N669=$B$613,PMT($B$615/12,$B$613,-$B$612,$B$617,0)+$B$617,0)))</f>
        <v/>
      </c>
      <c r="Q669" s="289">
        <f>IF(N669&lt;=$B$613,O669*$B$615/12,0)</f>
        <v/>
      </c>
      <c r="R669" s="289">
        <f>P669-Q669</f>
        <v/>
      </c>
      <c r="S669" s="314">
        <f>(O669-R669)</f>
        <v/>
      </c>
      <c r="T669" s="112">
        <f>O669*(1-B$621)^($N669)</f>
        <v/>
      </c>
      <c r="U669" s="112">
        <f>IF(N669&lt;=$B$613,T669*$B$615/12,0)</f>
        <v/>
      </c>
      <c r="V669" s="315">
        <f>P669</f>
        <v/>
      </c>
      <c r="W669" s="314" t="n"/>
      <c r="X669" s="315">
        <f>P669</f>
        <v/>
      </c>
      <c r="Y669" s="316">
        <f>S669/$B$612*100</f>
        <v/>
      </c>
      <c r="Z669" s="46" t="n"/>
      <c r="AA669" s="313">
        <f>+V669-I669</f>
        <v/>
      </c>
      <c r="AB669" s="46" t="n"/>
      <c r="AC669" s="46" t="n"/>
      <c r="AD669" s="46" t="n"/>
      <c r="AE669" s="46" t="n"/>
    </row>
    <row r="670">
      <c r="A670" s="73" t="n">
        <v>39</v>
      </c>
      <c r="B670" s="289">
        <f>+F669</f>
        <v/>
      </c>
      <c r="C670" s="287">
        <f>(IF(A670&lt;$B$613,PMT($B$614/12,$B$613,-$B$612,$B$617,$B$620),IF(A670=$B$613,PMT($B$614/12,$B$613,-$B$612,$B$617,$B$620)+$B$617,0)))</f>
        <v/>
      </c>
      <c r="D670" s="289">
        <f>IF(A670&lt;=$B$613,B670*$B$614/12,0)</f>
        <v/>
      </c>
      <c r="E670" s="289">
        <f>C670-D670</f>
        <v/>
      </c>
      <c r="F670" s="314">
        <f>(B670-E670)</f>
        <v/>
      </c>
      <c r="G670" s="112">
        <f>B670*(1-B$621)^($A670)</f>
        <v/>
      </c>
      <c r="H670" s="112">
        <f>IF(A670&lt;=$B$613,G670*$B$614/12,0)</f>
        <v/>
      </c>
      <c r="I670" s="315">
        <f>C670</f>
        <v/>
      </c>
      <c r="J670" s="314" t="n"/>
      <c r="K670" s="315">
        <f>C670</f>
        <v/>
      </c>
      <c r="L670" s="316">
        <f>F670/$B$612*100</f>
        <v/>
      </c>
      <c r="M670" s="317" t="n"/>
      <c r="N670" s="73" t="n">
        <v>39</v>
      </c>
      <c r="O670" s="289">
        <f>+S669</f>
        <v/>
      </c>
      <c r="P670" s="287">
        <f>(IF(N670&lt;$B$613,PMT($B$615/12,$B$613,-$B$612,$B$617,0),IF(N670=$B$613,PMT($B$615/12,$B$613,-$B$612,$B$617,0)+$B$617,0)))</f>
        <v/>
      </c>
      <c r="Q670" s="289">
        <f>IF(N670&lt;=$B$613,O670*$B$615/12,0)</f>
        <v/>
      </c>
      <c r="R670" s="289">
        <f>P670-Q670</f>
        <v/>
      </c>
      <c r="S670" s="314">
        <f>(O670-R670)</f>
        <v/>
      </c>
      <c r="T670" s="112">
        <f>O670*(1-B$621)^($N670)</f>
        <v/>
      </c>
      <c r="U670" s="112">
        <f>IF(N670&lt;=$B$613,T670*$B$615/12,0)</f>
        <v/>
      </c>
      <c r="V670" s="315">
        <f>P670</f>
        <v/>
      </c>
      <c r="W670" s="314" t="n"/>
      <c r="X670" s="315">
        <f>P670</f>
        <v/>
      </c>
      <c r="Y670" s="316">
        <f>S670/$B$612*100</f>
        <v/>
      </c>
      <c r="Z670" s="46" t="n"/>
      <c r="AA670" s="313">
        <f>+V670-I670</f>
        <v/>
      </c>
      <c r="AB670" s="46" t="n"/>
      <c r="AC670" s="46" t="n"/>
      <c r="AD670" s="46" t="n"/>
      <c r="AE670" s="46" t="n"/>
    </row>
    <row r="671">
      <c r="A671" s="73" t="n">
        <v>40</v>
      </c>
      <c r="B671" s="289">
        <f>+F670</f>
        <v/>
      </c>
      <c r="C671" s="287">
        <f>(IF(A671&lt;$B$613,PMT($B$614/12,$B$613,-$B$612,$B$617,$B$620),IF(A671=$B$613,PMT($B$614/12,$B$613,-$B$612,$B$617,$B$620)+$B$617,0)))</f>
        <v/>
      </c>
      <c r="D671" s="289">
        <f>IF(A671&lt;=$B$613,B671*$B$614/12,0)</f>
        <v/>
      </c>
      <c r="E671" s="289">
        <f>C671-D671</f>
        <v/>
      </c>
      <c r="F671" s="314">
        <f>(B671-E671)</f>
        <v/>
      </c>
      <c r="G671" s="112">
        <f>B671*(1-B$621)^($A671)</f>
        <v/>
      </c>
      <c r="H671" s="112">
        <f>IF(A671&lt;=$B$613,G671*$B$614/12,0)</f>
        <v/>
      </c>
      <c r="I671" s="315">
        <f>C671</f>
        <v/>
      </c>
      <c r="J671" s="314" t="n"/>
      <c r="K671" s="315">
        <f>C671</f>
        <v/>
      </c>
      <c r="L671" s="316">
        <f>F671/$B$612*100</f>
        <v/>
      </c>
      <c r="M671" s="317" t="n"/>
      <c r="N671" s="73" t="n">
        <v>40</v>
      </c>
      <c r="O671" s="289">
        <f>+S670</f>
        <v/>
      </c>
      <c r="P671" s="287">
        <f>(IF(N671&lt;$B$613,PMT($B$615/12,$B$613,-$B$612,$B$617,0),IF(N671=$B$613,PMT($B$615/12,$B$613,-$B$612,$B$617,0)+$B$617,0)))</f>
        <v/>
      </c>
      <c r="Q671" s="289">
        <f>IF(N671&lt;=$B$613,O671*$B$615/12,0)</f>
        <v/>
      </c>
      <c r="R671" s="289">
        <f>P671-Q671</f>
        <v/>
      </c>
      <c r="S671" s="314">
        <f>(O671-R671)</f>
        <v/>
      </c>
      <c r="T671" s="112">
        <f>O671*(1-B$621)^($N671)</f>
        <v/>
      </c>
      <c r="U671" s="112">
        <f>IF(N671&lt;=$B$613,T671*$B$615/12,0)</f>
        <v/>
      </c>
      <c r="V671" s="315">
        <f>P671</f>
        <v/>
      </c>
      <c r="W671" s="314" t="n"/>
      <c r="X671" s="315">
        <f>P671</f>
        <v/>
      </c>
      <c r="Y671" s="316">
        <f>S671/$B$612*100</f>
        <v/>
      </c>
      <c r="Z671" s="46" t="n"/>
      <c r="AA671" s="313">
        <f>+V671-I671</f>
        <v/>
      </c>
      <c r="AB671" s="46" t="n"/>
      <c r="AC671" s="46" t="n"/>
      <c r="AD671" s="46" t="n"/>
      <c r="AE671" s="46" t="n"/>
    </row>
    <row r="672">
      <c r="A672" s="73" t="n">
        <v>41</v>
      </c>
      <c r="B672" s="289">
        <f>+F671</f>
        <v/>
      </c>
      <c r="C672" s="287">
        <f>(IF(A672&lt;$B$613,PMT($B$614/12,$B$613,-$B$612,$B$617,$B$620),IF(A672=$B$613,PMT($B$614/12,$B$613,-$B$612,$B$617,$B$620)+$B$617,0)))</f>
        <v/>
      </c>
      <c r="D672" s="289">
        <f>IF(A672&lt;=$B$613,B672*$B$614/12,0)</f>
        <v/>
      </c>
      <c r="E672" s="289">
        <f>C672-D672</f>
        <v/>
      </c>
      <c r="F672" s="314">
        <f>(B672-E672)</f>
        <v/>
      </c>
      <c r="G672" s="112">
        <f>B672*(1-B$621)^($A672)</f>
        <v/>
      </c>
      <c r="H672" s="112">
        <f>IF(A672&lt;=$B$613,G672*$B$614/12,0)</f>
        <v/>
      </c>
      <c r="I672" s="315">
        <f>C672</f>
        <v/>
      </c>
      <c r="J672" s="314" t="n"/>
      <c r="K672" s="315">
        <f>C672</f>
        <v/>
      </c>
      <c r="L672" s="316">
        <f>F672/$B$612*100</f>
        <v/>
      </c>
      <c r="M672" s="317" t="n"/>
      <c r="N672" s="73" t="n">
        <v>41</v>
      </c>
      <c r="O672" s="289">
        <f>+S671</f>
        <v/>
      </c>
      <c r="P672" s="287">
        <f>(IF(N672&lt;$B$613,PMT($B$615/12,$B$613,-$B$612,$B$617,0),IF(N672=$B$613,PMT($B$615/12,$B$613,-$B$612,$B$617,0)+$B$617,0)))</f>
        <v/>
      </c>
      <c r="Q672" s="289">
        <f>IF(N672&lt;=$B$613,O672*$B$615/12,0)</f>
        <v/>
      </c>
      <c r="R672" s="289">
        <f>P672-Q672</f>
        <v/>
      </c>
      <c r="S672" s="314">
        <f>(O672-R672)</f>
        <v/>
      </c>
      <c r="T672" s="112">
        <f>O672*(1-B$621)^($N672)</f>
        <v/>
      </c>
      <c r="U672" s="112">
        <f>IF(N672&lt;=$B$613,T672*$B$615/12,0)</f>
        <v/>
      </c>
      <c r="V672" s="315">
        <f>P672</f>
        <v/>
      </c>
      <c r="W672" s="314" t="n"/>
      <c r="X672" s="315">
        <f>P672</f>
        <v/>
      </c>
      <c r="Y672" s="316">
        <f>S672/$B$612*100</f>
        <v/>
      </c>
      <c r="Z672" s="46" t="n"/>
      <c r="AA672" s="313">
        <f>+V672-I672</f>
        <v/>
      </c>
      <c r="AB672" s="46" t="n"/>
      <c r="AC672" s="46" t="n"/>
      <c r="AD672" s="46" t="n"/>
      <c r="AE672" s="46" t="n"/>
    </row>
    <row r="673">
      <c r="A673" s="73" t="n">
        <v>42</v>
      </c>
      <c r="B673" s="289">
        <f>+F672</f>
        <v/>
      </c>
      <c r="C673" s="287">
        <f>(IF(A673&lt;$B$613,PMT($B$614/12,$B$613,-$B$612,$B$617,$B$620),IF(A673=$B$613,PMT($B$614/12,$B$613,-$B$612,$B$617,$B$620)+$B$617,0)))</f>
        <v/>
      </c>
      <c r="D673" s="289">
        <f>IF(A673&lt;=$B$613,B673*$B$614/12,0)</f>
        <v/>
      </c>
      <c r="E673" s="289">
        <f>C673-D673</f>
        <v/>
      </c>
      <c r="F673" s="314">
        <f>(B673-E673)</f>
        <v/>
      </c>
      <c r="G673" s="112">
        <f>B673*(1-B$621)^($A673)</f>
        <v/>
      </c>
      <c r="H673" s="112">
        <f>IF(A673&lt;=$B$613,G673*$B$614/12,0)</f>
        <v/>
      </c>
      <c r="I673" s="315">
        <f>C673</f>
        <v/>
      </c>
      <c r="J673" s="314" t="n"/>
      <c r="K673" s="315">
        <f>C673</f>
        <v/>
      </c>
      <c r="L673" s="316">
        <f>F673/$B$612*100</f>
        <v/>
      </c>
      <c r="M673" s="317" t="n"/>
      <c r="N673" s="73" t="n">
        <v>42</v>
      </c>
      <c r="O673" s="289">
        <f>+S672</f>
        <v/>
      </c>
      <c r="P673" s="287">
        <f>(IF(N673&lt;$B$613,PMT($B$615/12,$B$613,-$B$612,$B$617,0),IF(N673=$B$613,PMT($B$615/12,$B$613,-$B$612,$B$617,0)+$B$617,0)))</f>
        <v/>
      </c>
      <c r="Q673" s="289">
        <f>IF(N673&lt;=$B$613,O673*$B$615/12,0)</f>
        <v/>
      </c>
      <c r="R673" s="289">
        <f>P673-Q673</f>
        <v/>
      </c>
      <c r="S673" s="314">
        <f>(O673-R673)</f>
        <v/>
      </c>
      <c r="T673" s="112">
        <f>O673*(1-B$621)^($N673)</f>
        <v/>
      </c>
      <c r="U673" s="112">
        <f>IF(N673&lt;=$B$613,T673*$B$615/12,0)</f>
        <v/>
      </c>
      <c r="V673" s="315">
        <f>P673</f>
        <v/>
      </c>
      <c r="W673" s="314" t="n"/>
      <c r="X673" s="315">
        <f>P673</f>
        <v/>
      </c>
      <c r="Y673" s="316">
        <f>S673/$B$612*100</f>
        <v/>
      </c>
      <c r="Z673" s="46" t="n"/>
      <c r="AA673" s="313">
        <f>+V673-I673</f>
        <v/>
      </c>
      <c r="AB673" s="46" t="n"/>
      <c r="AC673" s="46" t="n"/>
      <c r="AD673" s="46" t="n"/>
      <c r="AE673" s="46" t="n"/>
    </row>
    <row r="674">
      <c r="A674" s="73" t="n">
        <v>43</v>
      </c>
      <c r="B674" s="289">
        <f>+F673</f>
        <v/>
      </c>
      <c r="C674" s="287">
        <f>(IF(A674&lt;$B$613,PMT($B$614/12,$B$613,-$B$612,$B$617,$B$620),IF(A674=$B$613,PMT($B$614/12,$B$613,-$B$612,$B$617,$B$620)+$B$617,0)))</f>
        <v/>
      </c>
      <c r="D674" s="289">
        <f>IF(A674&lt;=$B$613,B674*$B$614/12,0)</f>
        <v/>
      </c>
      <c r="E674" s="289">
        <f>C674-D674</f>
        <v/>
      </c>
      <c r="F674" s="314">
        <f>(B674-E674)</f>
        <v/>
      </c>
      <c r="G674" s="112">
        <f>B674*(1-B$621)^($A674)</f>
        <v/>
      </c>
      <c r="H674" s="112">
        <f>IF(A674&lt;=$B$613,G674*$B$614/12,0)</f>
        <v/>
      </c>
      <c r="I674" s="315">
        <f>C674</f>
        <v/>
      </c>
      <c r="J674" s="314" t="n"/>
      <c r="K674" s="315">
        <f>C674</f>
        <v/>
      </c>
      <c r="L674" s="316">
        <f>F674/$B$612*100</f>
        <v/>
      </c>
      <c r="M674" s="317" t="n"/>
      <c r="N674" s="73" t="n">
        <v>43</v>
      </c>
      <c r="O674" s="289">
        <f>+S673</f>
        <v/>
      </c>
      <c r="P674" s="287">
        <f>(IF(N674&lt;$B$613,PMT($B$615/12,$B$613,-$B$612,$B$617,0),IF(N674=$B$613,PMT($B$615/12,$B$613,-$B$612,$B$617,0)+$B$617,0)))</f>
        <v/>
      </c>
      <c r="Q674" s="289">
        <f>IF(N674&lt;=$B$613,O674*$B$615/12,0)</f>
        <v/>
      </c>
      <c r="R674" s="289">
        <f>P674-Q674</f>
        <v/>
      </c>
      <c r="S674" s="314">
        <f>(O674-R674)</f>
        <v/>
      </c>
      <c r="T674" s="112">
        <f>O674*(1-B$621)^($N674)</f>
        <v/>
      </c>
      <c r="U674" s="112">
        <f>IF(N674&lt;=$B$613,T674*$B$615/12,0)</f>
        <v/>
      </c>
      <c r="V674" s="315">
        <f>P674</f>
        <v/>
      </c>
      <c r="W674" s="314" t="n"/>
      <c r="X674" s="315">
        <f>P674</f>
        <v/>
      </c>
      <c r="Y674" s="316">
        <f>S674/$B$612*100</f>
        <v/>
      </c>
      <c r="Z674" s="46" t="n"/>
      <c r="AA674" s="313">
        <f>+V674-I674</f>
        <v/>
      </c>
      <c r="AB674" s="46" t="n"/>
      <c r="AC674" s="46" t="n"/>
      <c r="AD674" s="46" t="n"/>
      <c r="AE674" s="46" t="n"/>
    </row>
    <row r="675">
      <c r="A675" s="73" t="n">
        <v>44</v>
      </c>
      <c r="B675" s="289">
        <f>+F674</f>
        <v/>
      </c>
      <c r="C675" s="287">
        <f>(IF(A675&lt;$B$613,PMT($B$614/12,$B$613,-$B$612,$B$617,$B$620),IF(A675=$B$613,PMT($B$614/12,$B$613,-$B$612,$B$617,$B$620)+$B$617,0)))</f>
        <v/>
      </c>
      <c r="D675" s="289">
        <f>IF(A675&lt;=$B$613,B675*$B$614/12,0)</f>
        <v/>
      </c>
      <c r="E675" s="289">
        <f>C675-D675</f>
        <v/>
      </c>
      <c r="F675" s="314">
        <f>(B675-E675)</f>
        <v/>
      </c>
      <c r="G675" s="112">
        <f>B675*(1-B$621)^($A675)</f>
        <v/>
      </c>
      <c r="H675" s="112">
        <f>IF(A675&lt;=$B$613,G675*$B$614/12,0)</f>
        <v/>
      </c>
      <c r="I675" s="315">
        <f>C675</f>
        <v/>
      </c>
      <c r="J675" s="314" t="n"/>
      <c r="K675" s="315">
        <f>C675</f>
        <v/>
      </c>
      <c r="L675" s="316">
        <f>F675/$B$612*100</f>
        <v/>
      </c>
      <c r="M675" s="317" t="n"/>
      <c r="N675" s="73" t="n">
        <v>44</v>
      </c>
      <c r="O675" s="289">
        <f>+S674</f>
        <v/>
      </c>
      <c r="P675" s="287">
        <f>(IF(N675&lt;$B$613,PMT($B$615/12,$B$613,-$B$612,$B$617,0),IF(N675=$B$613,PMT($B$615/12,$B$613,-$B$612,$B$617,0)+$B$617,0)))</f>
        <v/>
      </c>
      <c r="Q675" s="289">
        <f>IF(N675&lt;=$B$613,O675*$B$615/12,0)</f>
        <v/>
      </c>
      <c r="R675" s="289">
        <f>P675-Q675</f>
        <v/>
      </c>
      <c r="S675" s="314">
        <f>(O675-R675)</f>
        <v/>
      </c>
      <c r="T675" s="112">
        <f>O675*(1-B$621)^($N675)</f>
        <v/>
      </c>
      <c r="U675" s="112">
        <f>IF(N675&lt;=$B$613,T675*$B$615/12,0)</f>
        <v/>
      </c>
      <c r="V675" s="315">
        <f>P675</f>
        <v/>
      </c>
      <c r="W675" s="314" t="n"/>
      <c r="X675" s="315">
        <f>P675</f>
        <v/>
      </c>
      <c r="Y675" s="316">
        <f>S675/$B$612*100</f>
        <v/>
      </c>
      <c r="Z675" s="46" t="n"/>
      <c r="AA675" s="313">
        <f>+V675-I675</f>
        <v/>
      </c>
      <c r="AB675" s="46" t="n"/>
      <c r="AC675" s="46" t="n"/>
      <c r="AD675" s="46" t="n"/>
      <c r="AE675" s="46" t="n"/>
    </row>
    <row r="676">
      <c r="A676" s="73" t="n">
        <v>45</v>
      </c>
      <c r="B676" s="289">
        <f>+F675</f>
        <v/>
      </c>
      <c r="C676" s="287">
        <f>(IF(A676&lt;$B$613,PMT($B$614/12,$B$613,-$B$612,$B$617,$B$620),IF(A676=$B$613,PMT($B$614/12,$B$613,-$B$612,$B$617,$B$620)+$B$617,0)))</f>
        <v/>
      </c>
      <c r="D676" s="289">
        <f>IF(A676&lt;=$B$613,B676*$B$614/12,0)</f>
        <v/>
      </c>
      <c r="E676" s="289">
        <f>C676-D676</f>
        <v/>
      </c>
      <c r="F676" s="314">
        <f>(B676-E676)</f>
        <v/>
      </c>
      <c r="G676" s="112">
        <f>B676*(1-B$621)^($A676)</f>
        <v/>
      </c>
      <c r="H676" s="112">
        <f>IF(A676&lt;=$B$613,G676*$B$614/12,0)</f>
        <v/>
      </c>
      <c r="I676" s="315">
        <f>C676</f>
        <v/>
      </c>
      <c r="J676" s="314" t="n"/>
      <c r="K676" s="315">
        <f>C676</f>
        <v/>
      </c>
      <c r="L676" s="316">
        <f>F676/$B$612*100</f>
        <v/>
      </c>
      <c r="M676" s="317" t="n"/>
      <c r="N676" s="73" t="n">
        <v>45</v>
      </c>
      <c r="O676" s="289">
        <f>+S675</f>
        <v/>
      </c>
      <c r="P676" s="287">
        <f>(IF(N676&lt;$B$613,PMT($B$615/12,$B$613,-$B$612,$B$617,0),IF(N676=$B$613,PMT($B$615/12,$B$613,-$B$612,$B$617,0)+$B$617,0)))</f>
        <v/>
      </c>
      <c r="Q676" s="289">
        <f>IF(N676&lt;=$B$613,O676*$B$615/12,0)</f>
        <v/>
      </c>
      <c r="R676" s="289">
        <f>P676-Q676</f>
        <v/>
      </c>
      <c r="S676" s="314">
        <f>(O676-R676)</f>
        <v/>
      </c>
      <c r="T676" s="112">
        <f>O676*(1-B$621)^($N676)</f>
        <v/>
      </c>
      <c r="U676" s="112">
        <f>IF(N676&lt;=$B$613,T676*$B$615/12,0)</f>
        <v/>
      </c>
      <c r="V676" s="315">
        <f>P676</f>
        <v/>
      </c>
      <c r="W676" s="314" t="n"/>
      <c r="X676" s="315">
        <f>P676</f>
        <v/>
      </c>
      <c r="Y676" s="316">
        <f>S676/$B$612*100</f>
        <v/>
      </c>
      <c r="Z676" s="46" t="n"/>
      <c r="AA676" s="313">
        <f>+V676-I676</f>
        <v/>
      </c>
      <c r="AB676" s="46" t="n"/>
      <c r="AC676" s="46" t="n"/>
      <c r="AD676" s="46" t="n"/>
      <c r="AE676" s="46" t="n"/>
    </row>
    <row r="677">
      <c r="A677" s="73" t="n">
        <v>46</v>
      </c>
      <c r="B677" s="289">
        <f>+F676</f>
        <v/>
      </c>
      <c r="C677" s="287">
        <f>(IF(A677&lt;$B$613,PMT($B$614/12,$B$613,-$B$612,$B$617,$B$620),IF(A677=$B$613,PMT($B$614/12,$B$613,-$B$612,$B$617,$B$620)+$B$617,0)))</f>
        <v/>
      </c>
      <c r="D677" s="289">
        <f>IF(A677&lt;=$B$613,B677*$B$614/12,0)</f>
        <v/>
      </c>
      <c r="E677" s="289">
        <f>C677-D677</f>
        <v/>
      </c>
      <c r="F677" s="314">
        <f>(B677-E677)</f>
        <v/>
      </c>
      <c r="G677" s="112">
        <f>B677*(1-B$621)^($A677)</f>
        <v/>
      </c>
      <c r="H677" s="112">
        <f>IF(A677&lt;=$B$613,G677*$B$614/12,0)</f>
        <v/>
      </c>
      <c r="I677" s="315">
        <f>C677</f>
        <v/>
      </c>
      <c r="J677" s="314" t="n"/>
      <c r="K677" s="315">
        <f>C677</f>
        <v/>
      </c>
      <c r="L677" s="316">
        <f>F677/$B$612*100</f>
        <v/>
      </c>
      <c r="M677" s="317" t="n"/>
      <c r="N677" s="73" t="n">
        <v>46</v>
      </c>
      <c r="O677" s="289">
        <f>+S676</f>
        <v/>
      </c>
      <c r="P677" s="287">
        <f>(IF(N677&lt;$B$613,PMT($B$615/12,$B$613,-$B$612,$B$617,0),IF(N677=$B$613,PMT($B$615/12,$B$613,-$B$612,$B$617,0)+$B$617,0)))</f>
        <v/>
      </c>
      <c r="Q677" s="289">
        <f>IF(N677&lt;=$B$613,O677*$B$615/12,0)</f>
        <v/>
      </c>
      <c r="R677" s="289">
        <f>P677-Q677</f>
        <v/>
      </c>
      <c r="S677" s="314">
        <f>(O677-R677)</f>
        <v/>
      </c>
      <c r="T677" s="112">
        <f>O677*(1-B$621)^($N677)</f>
        <v/>
      </c>
      <c r="U677" s="112">
        <f>IF(N677&lt;=$B$613,T677*$B$615/12,0)</f>
        <v/>
      </c>
      <c r="V677" s="315">
        <f>P677</f>
        <v/>
      </c>
      <c r="W677" s="314" t="n"/>
      <c r="X677" s="315">
        <f>P677</f>
        <v/>
      </c>
      <c r="Y677" s="316">
        <f>S677/$B$612*100</f>
        <v/>
      </c>
      <c r="Z677" s="46" t="n"/>
      <c r="AA677" s="313">
        <f>+V677-I677</f>
        <v/>
      </c>
      <c r="AB677" s="46" t="n"/>
      <c r="AC677" s="46" t="n"/>
      <c r="AD677" s="46" t="n"/>
      <c r="AE677" s="46" t="n"/>
    </row>
    <row r="678">
      <c r="A678" s="73" t="n">
        <v>47</v>
      </c>
      <c r="B678" s="289">
        <f>+F677</f>
        <v/>
      </c>
      <c r="C678" s="287">
        <f>(IF(A678&lt;$B$613,PMT($B$614/12,$B$613,-$B$612,$B$617,$B$620),IF(A678=$B$613,PMT($B$614/12,$B$613,-$B$612,$B$617,$B$620)+$B$617,0)))</f>
        <v/>
      </c>
      <c r="D678" s="289">
        <f>IF(A678&lt;=$B$613,B678*$B$614/12,0)</f>
        <v/>
      </c>
      <c r="E678" s="289">
        <f>C678-D678</f>
        <v/>
      </c>
      <c r="F678" s="314">
        <f>(B678-E678)</f>
        <v/>
      </c>
      <c r="G678" s="112">
        <f>B678*(1-B$621)^($A678)</f>
        <v/>
      </c>
      <c r="H678" s="112">
        <f>IF(A678&lt;=$B$613,G678*$B$614/12,0)</f>
        <v/>
      </c>
      <c r="I678" s="315">
        <f>C678</f>
        <v/>
      </c>
      <c r="J678" s="314" t="n"/>
      <c r="K678" s="315">
        <f>C678</f>
        <v/>
      </c>
      <c r="L678" s="316">
        <f>F678/$B$612*100</f>
        <v/>
      </c>
      <c r="M678" s="317" t="n"/>
      <c r="N678" s="73" t="n">
        <v>47</v>
      </c>
      <c r="O678" s="289">
        <f>+S677</f>
        <v/>
      </c>
      <c r="P678" s="287">
        <f>(IF(N678&lt;$B$613,PMT($B$615/12,$B$613,-$B$612,$B$617,0),IF(N678=$B$613,PMT($B$615/12,$B$613,-$B$612,$B$617,0)+$B$617,0)))</f>
        <v/>
      </c>
      <c r="Q678" s="289">
        <f>IF(N678&lt;=$B$613,O678*$B$615/12,0)</f>
        <v/>
      </c>
      <c r="R678" s="289">
        <f>P678-Q678</f>
        <v/>
      </c>
      <c r="S678" s="314">
        <f>(O678-R678)</f>
        <v/>
      </c>
      <c r="T678" s="112">
        <f>O678*(1-B$621)^($N678)</f>
        <v/>
      </c>
      <c r="U678" s="112">
        <f>IF(N678&lt;=$B$613,T678*$B$615/12,0)</f>
        <v/>
      </c>
      <c r="V678" s="318">
        <f>P678</f>
        <v/>
      </c>
      <c r="W678" s="314" t="n"/>
      <c r="X678" s="315">
        <f>P678</f>
        <v/>
      </c>
      <c r="Y678" s="316">
        <f>S678/$B$612*100</f>
        <v/>
      </c>
      <c r="Z678" s="46" t="n"/>
      <c r="AA678" s="313">
        <f>+V678-I678</f>
        <v/>
      </c>
      <c r="AB678" s="46" t="n"/>
      <c r="AC678" s="46" t="n"/>
      <c r="AD678" s="46" t="n"/>
      <c r="AE678" s="46" t="n"/>
    </row>
    <row r="679">
      <c r="A679" s="73" t="n">
        <v>48</v>
      </c>
      <c r="B679" s="289">
        <f>+F678</f>
        <v/>
      </c>
      <c r="C679" s="287">
        <f>(IF(A679&lt;$B$613,PMT($B$614/12,$B$613,-$B$612,$B$617,$B$620),IF(A679=$B$613,PMT($B$614/12,$B$613,-$B$612,$B$617,$B$620)+$B$617,0)))</f>
        <v/>
      </c>
      <c r="D679" s="289">
        <f>IF(A679&lt;=$B$613,B679*$B$614/12,0)</f>
        <v/>
      </c>
      <c r="E679" s="289">
        <f>C679-D679</f>
        <v/>
      </c>
      <c r="F679" s="314">
        <f>(B679-E679)</f>
        <v/>
      </c>
      <c r="G679" s="112">
        <f>B679*(1-B$621)^($A679)</f>
        <v/>
      </c>
      <c r="H679" s="112">
        <f>IF(A679&lt;=$B$613,G679*$B$614/12,0)</f>
        <v/>
      </c>
      <c r="I679" s="315">
        <f>C679</f>
        <v/>
      </c>
      <c r="J679" s="314" t="n"/>
      <c r="K679" s="315">
        <f>C679</f>
        <v/>
      </c>
      <c r="L679" s="316">
        <f>F679/$B$612*100</f>
        <v/>
      </c>
      <c r="M679" s="317" t="n"/>
      <c r="N679" s="73" t="n">
        <v>48</v>
      </c>
      <c r="O679" s="289">
        <f>+S678</f>
        <v/>
      </c>
      <c r="P679" s="287">
        <f>(IF(N679&lt;$B$613,PMT($B$615/12,$B$613,-$B$612,$B$617,0),IF(N679=$B$613,PMT($B$615/12,$B$613,-$B$612,$B$617,0)+$B$617,0)))</f>
        <v/>
      </c>
      <c r="Q679" s="289">
        <f>IF(N679&lt;=$B$613,O679*$B$615/12,0)</f>
        <v/>
      </c>
      <c r="R679" s="289">
        <f>P679-Q679</f>
        <v/>
      </c>
      <c r="S679" s="314">
        <f>(O679-R679)</f>
        <v/>
      </c>
      <c r="T679" s="112">
        <f>O679*(1-B$621)^($N679)</f>
        <v/>
      </c>
      <c r="U679" s="112">
        <f>IF(N679&lt;=$B$613,T679*$B$615/12,0)</f>
        <v/>
      </c>
      <c r="V679" s="315">
        <f>P679</f>
        <v/>
      </c>
      <c r="W679" s="314" t="n"/>
      <c r="X679" s="315">
        <f>P679</f>
        <v/>
      </c>
      <c r="Y679" s="316">
        <f>S679/$B$612*100</f>
        <v/>
      </c>
      <c r="Z679" s="46" t="n"/>
      <c r="AA679" s="313">
        <f>+V679-I679</f>
        <v/>
      </c>
      <c r="AB679" s="46" t="n"/>
      <c r="AC679" s="46" t="n"/>
      <c r="AD679" s="46" t="n"/>
      <c r="AE679" s="46" t="n"/>
    </row>
    <row r="680">
      <c r="A680" s="73" t="n">
        <v>49</v>
      </c>
      <c r="B680" s="289">
        <f>+F679</f>
        <v/>
      </c>
      <c r="C680" s="287">
        <f>(IF(A680&lt;$B$613,PMT($B$614/12,$B$613,-$B$612,$B$617,$B$620),IF(A680=$B$613,PMT($B$614/12,$B$613,-$B$612,$B$617,$B$620)+$B$617,0)))</f>
        <v/>
      </c>
      <c r="D680" s="289">
        <f>IF(A680&lt;=$B$613,B680*$B$614/12,0)</f>
        <v/>
      </c>
      <c r="E680" s="289">
        <f>C680-D680</f>
        <v/>
      </c>
      <c r="F680" s="314">
        <f>(B680-E680)</f>
        <v/>
      </c>
      <c r="G680" s="112">
        <f>B680*(1-B$621)^($A680)</f>
        <v/>
      </c>
      <c r="H680" s="112">
        <f>IF(A680&lt;=$B$613,G680*$B$614/12,0)</f>
        <v/>
      </c>
      <c r="I680" s="315">
        <f>C680</f>
        <v/>
      </c>
      <c r="J680" s="314" t="n"/>
      <c r="K680" s="315">
        <f>C680</f>
        <v/>
      </c>
      <c r="L680" s="316">
        <f>F680/$B$612*100</f>
        <v/>
      </c>
      <c r="M680" s="317" t="n"/>
      <c r="N680" s="73" t="n">
        <v>49</v>
      </c>
      <c r="O680" s="289">
        <f>+S679</f>
        <v/>
      </c>
      <c r="P680" s="287">
        <f>(IF(N680&lt;$B$613,PMT($B$615/12,$B$613,-$B$612,$B$617,0),IF(N680=$B$613,PMT($B$615/12,$B$613,-$B$612,$B$617,0)+$B$617,0)))</f>
        <v/>
      </c>
      <c r="Q680" s="289">
        <f>IF(N680&lt;=$B$613,O680*$B$615/12,0)</f>
        <v/>
      </c>
      <c r="R680" s="289">
        <f>P680-Q680</f>
        <v/>
      </c>
      <c r="S680" s="314">
        <f>(O680-R680)</f>
        <v/>
      </c>
      <c r="T680" s="112">
        <f>O680*(1-B$621)^($N680)</f>
        <v/>
      </c>
      <c r="U680" s="112">
        <f>IF(N680&lt;=$B$613,T680*$B$615/12,0)</f>
        <v/>
      </c>
      <c r="V680" s="315">
        <f>P680</f>
        <v/>
      </c>
      <c r="W680" s="314" t="n"/>
      <c r="X680" s="315">
        <f>P680</f>
        <v/>
      </c>
      <c r="Y680" s="316">
        <f>S680/$B$612*100</f>
        <v/>
      </c>
      <c r="Z680" s="46" t="n"/>
      <c r="AA680" s="313">
        <f>+V680-I680</f>
        <v/>
      </c>
      <c r="AB680" s="46" t="n"/>
      <c r="AC680" s="46" t="n"/>
      <c r="AD680" s="46" t="n"/>
      <c r="AE680" s="46" t="n"/>
    </row>
    <row r="681">
      <c r="A681" s="73" t="n">
        <v>50</v>
      </c>
      <c r="B681" s="289">
        <f>+F680</f>
        <v/>
      </c>
      <c r="C681" s="287">
        <f>(IF(A681&lt;$B$613,PMT($B$614/12,$B$613,-$B$612,$B$617,$B$620),IF(A681=$B$613,PMT($B$614/12,$B$613,-$B$612,$B$617,$B$620)+$B$617,0)))</f>
        <v/>
      </c>
      <c r="D681" s="289">
        <f>IF(A681&lt;=$B$613,B681*$B$614/12,0)</f>
        <v/>
      </c>
      <c r="E681" s="289">
        <f>C681-D681</f>
        <v/>
      </c>
      <c r="F681" s="314">
        <f>(B681-E681)</f>
        <v/>
      </c>
      <c r="G681" s="112">
        <f>B681*(1-B$621)^($A681)</f>
        <v/>
      </c>
      <c r="H681" s="112">
        <f>IF(A681&lt;=$B$613,G681*$B$614/12,0)</f>
        <v/>
      </c>
      <c r="I681" s="315">
        <f>C681</f>
        <v/>
      </c>
      <c r="J681" s="314" t="n"/>
      <c r="K681" s="315">
        <f>C681</f>
        <v/>
      </c>
      <c r="L681" s="316">
        <f>F681/$B$612*100</f>
        <v/>
      </c>
      <c r="M681" s="317" t="n"/>
      <c r="N681" s="73" t="n">
        <v>50</v>
      </c>
      <c r="O681" s="289">
        <f>+S680</f>
        <v/>
      </c>
      <c r="P681" s="287">
        <f>(IF(N681&lt;$B$613,PMT($B$615/12,$B$613,-$B$612,$B$617,0),IF(N681=$B$613,PMT($B$615/12,$B$613,-$B$612,$B$617,0)+$B$617,0)))</f>
        <v/>
      </c>
      <c r="Q681" s="289">
        <f>IF(N681&lt;=$B$613,O681*$B$615/12,0)</f>
        <v/>
      </c>
      <c r="R681" s="289">
        <f>P681-Q681</f>
        <v/>
      </c>
      <c r="S681" s="314">
        <f>(O681-R681)</f>
        <v/>
      </c>
      <c r="T681" s="112">
        <f>O681*(1-B$621)^($N681)</f>
        <v/>
      </c>
      <c r="U681" s="112">
        <f>IF(N681&lt;=$B$613,T681*$B$615/12,0)</f>
        <v/>
      </c>
      <c r="V681" s="315">
        <f>P681</f>
        <v/>
      </c>
      <c r="W681" s="314" t="n"/>
      <c r="X681" s="315">
        <f>P681</f>
        <v/>
      </c>
      <c r="Y681" s="316">
        <f>S681/$B$612*100</f>
        <v/>
      </c>
      <c r="Z681" s="46" t="n"/>
      <c r="AA681" s="313">
        <f>+V681-I681</f>
        <v/>
      </c>
      <c r="AB681" s="46" t="n"/>
      <c r="AC681" s="46" t="n"/>
      <c r="AD681" s="46" t="n"/>
      <c r="AE681" s="46" t="n"/>
    </row>
    <row r="682">
      <c r="A682" s="73" t="n">
        <v>51</v>
      </c>
      <c r="B682" s="289">
        <f>+F681</f>
        <v/>
      </c>
      <c r="C682" s="287">
        <f>(IF(A682&lt;$B$613,PMT($B$614/12,$B$613,-$B$612,$B$617,$B$620),IF(A682=$B$613,PMT($B$614/12,$B$613,-$B$612,$B$617,$B$620)+$B$617,0)))</f>
        <v/>
      </c>
      <c r="D682" s="289">
        <f>IF(A682&lt;=$B$613,B682*$B$614/12,0)</f>
        <v/>
      </c>
      <c r="E682" s="289">
        <f>C682-D682</f>
        <v/>
      </c>
      <c r="F682" s="314">
        <f>(B682-E682)</f>
        <v/>
      </c>
      <c r="G682" s="112">
        <f>B682*(1-B$621)^($A682)</f>
        <v/>
      </c>
      <c r="H682" s="112">
        <f>IF(A682&lt;=$B$613,G682*$B$614/12,0)</f>
        <v/>
      </c>
      <c r="I682" s="315">
        <f>C682</f>
        <v/>
      </c>
      <c r="J682" s="314" t="n"/>
      <c r="K682" s="315">
        <f>C682</f>
        <v/>
      </c>
      <c r="L682" s="316">
        <f>F682/$B$612*100</f>
        <v/>
      </c>
      <c r="M682" s="317" t="n"/>
      <c r="N682" s="73" t="n">
        <v>51</v>
      </c>
      <c r="O682" s="289">
        <f>+S681</f>
        <v/>
      </c>
      <c r="P682" s="287">
        <f>(IF(N682&lt;$B$613,PMT($B$615/12,$B$613,-$B$612,$B$617,0),IF(N682=$B$613,PMT($B$615/12,$B$613,-$B$612,$B$617,0)+$B$617,0)))</f>
        <v/>
      </c>
      <c r="Q682" s="289">
        <f>IF(N682&lt;=$B$613,O682*$B$615/12,0)</f>
        <v/>
      </c>
      <c r="R682" s="289">
        <f>P682-Q682</f>
        <v/>
      </c>
      <c r="S682" s="314">
        <f>(O682-R682)</f>
        <v/>
      </c>
      <c r="T682" s="112">
        <f>O682*(1-B$621)^($N682)</f>
        <v/>
      </c>
      <c r="U682" s="112">
        <f>IF(N682&lt;=$B$613,T682*$B$615/12,0)</f>
        <v/>
      </c>
      <c r="V682" s="315">
        <f>P682</f>
        <v/>
      </c>
      <c r="W682" s="314" t="n"/>
      <c r="X682" s="315">
        <f>P682</f>
        <v/>
      </c>
      <c r="Y682" s="316">
        <f>S682/$B$612*100</f>
        <v/>
      </c>
      <c r="Z682" s="46" t="n"/>
      <c r="AA682" s="313">
        <f>+V682-I682</f>
        <v/>
      </c>
      <c r="AB682" s="46" t="n"/>
      <c r="AC682" s="46" t="n"/>
      <c r="AD682" s="46" t="n"/>
      <c r="AE682" s="46" t="n"/>
    </row>
    <row r="683">
      <c r="A683" s="73" t="n">
        <v>52</v>
      </c>
      <c r="B683" s="289">
        <f>+F682</f>
        <v/>
      </c>
      <c r="C683" s="287">
        <f>(IF(A683&lt;$B$613,PMT($B$614/12,$B$613,-$B$612,$B$617,$B$620),IF(A683=$B$613,PMT($B$614/12,$B$613,-$B$612,$B$617,$B$620)+$B$617,0)))</f>
        <v/>
      </c>
      <c r="D683" s="289">
        <f>IF(A683&lt;=$B$613,B683*$B$614/12,0)</f>
        <v/>
      </c>
      <c r="E683" s="289">
        <f>C683-D683</f>
        <v/>
      </c>
      <c r="F683" s="314">
        <f>(B683-E683)</f>
        <v/>
      </c>
      <c r="G683" s="112">
        <f>B683*(1-B$621)^($A683)</f>
        <v/>
      </c>
      <c r="H683" s="112">
        <f>IF(A683&lt;=$B$613,G683*$B$614/12,0)</f>
        <v/>
      </c>
      <c r="I683" s="315">
        <f>C683</f>
        <v/>
      </c>
      <c r="J683" s="314" t="n"/>
      <c r="K683" s="315">
        <f>C683</f>
        <v/>
      </c>
      <c r="L683" s="316">
        <f>F683/$B$612*100</f>
        <v/>
      </c>
      <c r="M683" s="317" t="n"/>
      <c r="N683" s="73" t="n">
        <v>52</v>
      </c>
      <c r="O683" s="289">
        <f>+S682</f>
        <v/>
      </c>
      <c r="P683" s="287">
        <f>(IF(N683&lt;$B$613,PMT($B$615/12,$B$613,-$B$612,$B$617,0),IF(N683=$B$613,PMT($B$615/12,$B$613,-$B$612,$B$617,0)+$B$617,0)))</f>
        <v/>
      </c>
      <c r="Q683" s="289">
        <f>IF(N683&lt;=$B$613,O683*$B$615/12,0)</f>
        <v/>
      </c>
      <c r="R683" s="289">
        <f>P683-Q683</f>
        <v/>
      </c>
      <c r="S683" s="314">
        <f>(O683-R683)</f>
        <v/>
      </c>
      <c r="T683" s="112">
        <f>O683*(1-B$621)^($N683)</f>
        <v/>
      </c>
      <c r="U683" s="112">
        <f>IF(N683&lt;=$B$613,T683*$B$615/12,0)</f>
        <v/>
      </c>
      <c r="V683" s="315">
        <f>P683</f>
        <v/>
      </c>
      <c r="W683" s="314" t="n"/>
      <c r="X683" s="315">
        <f>P683</f>
        <v/>
      </c>
      <c r="Y683" s="316">
        <f>S683/$B$612*100</f>
        <v/>
      </c>
      <c r="Z683" s="46" t="n"/>
      <c r="AA683" s="313">
        <f>+V683-I683</f>
        <v/>
      </c>
      <c r="AB683" s="46" t="n"/>
      <c r="AC683" s="46" t="n"/>
      <c r="AD683" s="46" t="n"/>
      <c r="AE683" s="46" t="n"/>
    </row>
    <row r="684">
      <c r="A684" s="73" t="n">
        <v>53</v>
      </c>
      <c r="B684" s="289">
        <f>+F683</f>
        <v/>
      </c>
      <c r="C684" s="287">
        <f>(IF(A684&lt;$B$613,PMT($B$614/12,$B$613,-$B$612,$B$617,$B$620),IF(A684=$B$613,PMT($B$614/12,$B$613,-$B$612,$B$617,$B$620)+$B$617,0)))</f>
        <v/>
      </c>
      <c r="D684" s="289">
        <f>IF(A684&lt;=$B$613,B684*$B$614/12,0)</f>
        <v/>
      </c>
      <c r="E684" s="289">
        <f>C684-D684</f>
        <v/>
      </c>
      <c r="F684" s="314">
        <f>(B684-E684)</f>
        <v/>
      </c>
      <c r="G684" s="112">
        <f>B684*(1-B$621)^($A684)</f>
        <v/>
      </c>
      <c r="H684" s="112">
        <f>IF(A684&lt;=$B$613,G684*$B$614/12,0)</f>
        <v/>
      </c>
      <c r="I684" s="315">
        <f>C684</f>
        <v/>
      </c>
      <c r="J684" s="314" t="n"/>
      <c r="K684" s="315">
        <f>C684</f>
        <v/>
      </c>
      <c r="L684" s="316">
        <f>F684/$B$612*100</f>
        <v/>
      </c>
      <c r="M684" s="317" t="n"/>
      <c r="N684" s="73" t="n">
        <v>53</v>
      </c>
      <c r="O684" s="289">
        <f>+S683</f>
        <v/>
      </c>
      <c r="P684" s="287">
        <f>(IF(N684&lt;$B$613,PMT($B$615/12,$B$613,-$B$612,$B$617,0),IF(N684=$B$613,PMT($B$615/12,$B$613,-$B$612,$B$617,0)+$B$617,0)))</f>
        <v/>
      </c>
      <c r="Q684" s="289">
        <f>IF(N684&lt;=$B$613,O684*$B$615/12,0)</f>
        <v/>
      </c>
      <c r="R684" s="289">
        <f>P684-Q684</f>
        <v/>
      </c>
      <c r="S684" s="314">
        <f>(O684-R684)</f>
        <v/>
      </c>
      <c r="T684" s="112">
        <f>O684*(1-B$621)^($N684)</f>
        <v/>
      </c>
      <c r="U684" s="112">
        <f>IF(N684&lt;=$B$613,T684*$B$615/12,0)</f>
        <v/>
      </c>
      <c r="V684" s="315">
        <f>P684</f>
        <v/>
      </c>
      <c r="W684" s="314" t="n"/>
      <c r="X684" s="315">
        <f>P684</f>
        <v/>
      </c>
      <c r="Y684" s="316">
        <f>S684/$B$612*100</f>
        <v/>
      </c>
      <c r="Z684" s="46" t="n"/>
      <c r="AA684" s="313">
        <f>+V684-I684</f>
        <v/>
      </c>
      <c r="AB684" s="46" t="n"/>
      <c r="AC684" s="46" t="n"/>
      <c r="AD684" s="46" t="n"/>
      <c r="AE684" s="46" t="n"/>
    </row>
    <row r="685">
      <c r="A685" s="73" t="n">
        <v>54</v>
      </c>
      <c r="B685" s="289">
        <f>+F684</f>
        <v/>
      </c>
      <c r="C685" s="287">
        <f>(IF(A685&lt;$B$613,PMT($B$614/12,$B$613,-$B$612,$B$617,$B$620),IF(A685=$B$613,PMT($B$614/12,$B$613,-$B$612,$B$617,$B$620)+$B$617,0)))</f>
        <v/>
      </c>
      <c r="D685" s="289">
        <f>IF(A685&lt;=$B$613,B685*$B$614/12,0)</f>
        <v/>
      </c>
      <c r="E685" s="289">
        <f>C685-D685</f>
        <v/>
      </c>
      <c r="F685" s="314">
        <f>(B685-E685)</f>
        <v/>
      </c>
      <c r="G685" s="112">
        <f>B685*(1-B$621)^($A685)</f>
        <v/>
      </c>
      <c r="H685" s="112">
        <f>IF(A685&lt;=$B$613,G685*$B$614/12,0)</f>
        <v/>
      </c>
      <c r="I685" s="315">
        <f>C685</f>
        <v/>
      </c>
      <c r="J685" s="314" t="n"/>
      <c r="K685" s="315">
        <f>C685</f>
        <v/>
      </c>
      <c r="L685" s="316">
        <f>F685/$B$612*100</f>
        <v/>
      </c>
      <c r="M685" s="317" t="n"/>
      <c r="N685" s="73" t="n">
        <v>54</v>
      </c>
      <c r="O685" s="289">
        <f>+S684</f>
        <v/>
      </c>
      <c r="P685" s="287">
        <f>(IF(N685&lt;$B$613,PMT($B$615/12,$B$613,-$B$612,$B$617,0),IF(N685=$B$613,PMT($B$615/12,$B$613,-$B$612,$B$617,0)+$B$617,0)))</f>
        <v/>
      </c>
      <c r="Q685" s="289">
        <f>IF(N685&lt;=$B$613,O685*$B$615/12,0)</f>
        <v/>
      </c>
      <c r="R685" s="289">
        <f>P685-Q685</f>
        <v/>
      </c>
      <c r="S685" s="314">
        <f>(O685-R685)</f>
        <v/>
      </c>
      <c r="T685" s="112">
        <f>O685*(1-B$621)^($N685)</f>
        <v/>
      </c>
      <c r="U685" s="112">
        <f>IF(N685&lt;=$B$613,T685*$B$615/12,0)</f>
        <v/>
      </c>
      <c r="V685" s="315">
        <f>P685</f>
        <v/>
      </c>
      <c r="W685" s="314" t="n"/>
      <c r="X685" s="315">
        <f>P685</f>
        <v/>
      </c>
      <c r="Y685" s="316">
        <f>S685/$B$612*100</f>
        <v/>
      </c>
      <c r="Z685" s="46" t="n"/>
      <c r="AA685" s="313">
        <f>+V685-I685</f>
        <v/>
      </c>
      <c r="AB685" s="46" t="n"/>
      <c r="AC685" s="46" t="n"/>
      <c r="AD685" s="46" t="n"/>
      <c r="AE685" s="46" t="n"/>
    </row>
    <row r="686">
      <c r="A686" s="73" t="n">
        <v>55</v>
      </c>
      <c r="B686" s="289">
        <f>+F685</f>
        <v/>
      </c>
      <c r="C686" s="287">
        <f>(IF(A686&lt;$B$613,PMT($B$614/12,$B$613,-$B$612,$B$617,$B$620),IF(A686=$B$613,PMT($B$614/12,$B$613,-$B$612,$B$617,$B$620)+$B$617,0)))</f>
        <v/>
      </c>
      <c r="D686" s="289">
        <f>IF(A686&lt;=$B$613,B686*$B$614/12,0)</f>
        <v/>
      </c>
      <c r="E686" s="289">
        <f>C686-D686</f>
        <v/>
      </c>
      <c r="F686" s="314">
        <f>(B686-E686)</f>
        <v/>
      </c>
      <c r="G686" s="112">
        <f>B686*(1-B$621)^($A686)</f>
        <v/>
      </c>
      <c r="H686" s="112">
        <f>IF(A686&lt;=$B$613,G686*$B$614/12,0)</f>
        <v/>
      </c>
      <c r="I686" s="315">
        <f>C686</f>
        <v/>
      </c>
      <c r="J686" s="314" t="n"/>
      <c r="K686" s="315">
        <f>C686</f>
        <v/>
      </c>
      <c r="L686" s="316">
        <f>F686/$B$612*100</f>
        <v/>
      </c>
      <c r="M686" s="317" t="n"/>
      <c r="N686" s="73" t="n">
        <v>55</v>
      </c>
      <c r="O686" s="289">
        <f>+S685</f>
        <v/>
      </c>
      <c r="P686" s="287">
        <f>(IF(N686&lt;$B$613,PMT($B$615/12,$B$613,-$B$612,$B$617,0),IF(N686=$B$613,PMT($B$615/12,$B$613,-$B$612,$B$617,0)+$B$617,0)))</f>
        <v/>
      </c>
      <c r="Q686" s="289">
        <f>IF(N686&lt;=$B$613,O686*$B$615/12,0)</f>
        <v/>
      </c>
      <c r="R686" s="289">
        <f>P686-Q686</f>
        <v/>
      </c>
      <c r="S686" s="314">
        <f>(O686-R686)</f>
        <v/>
      </c>
      <c r="T686" s="112">
        <f>O686*(1-B$621)^($N686)</f>
        <v/>
      </c>
      <c r="U686" s="112">
        <f>IF(N686&lt;=$B$613,T686*$B$615/12,0)</f>
        <v/>
      </c>
      <c r="V686" s="315">
        <f>P686</f>
        <v/>
      </c>
      <c r="W686" s="314" t="n"/>
      <c r="X686" s="315">
        <f>P686</f>
        <v/>
      </c>
      <c r="Y686" s="316">
        <f>S686/$B$612*100</f>
        <v/>
      </c>
      <c r="Z686" s="46" t="n"/>
      <c r="AA686" s="313">
        <f>+V686-I686</f>
        <v/>
      </c>
      <c r="AB686" s="46" t="n"/>
      <c r="AC686" s="46" t="n"/>
      <c r="AD686" s="46" t="n"/>
      <c r="AE686" s="46" t="n"/>
    </row>
    <row r="687">
      <c r="A687" s="73" t="n">
        <v>56</v>
      </c>
      <c r="B687" s="289">
        <f>+F686</f>
        <v/>
      </c>
      <c r="C687" s="287">
        <f>(IF(A687&lt;$B$613,PMT($B$614/12,$B$613,-$B$612,$B$617,$B$620),IF(A687=$B$613,PMT($B$614/12,$B$613,-$B$612,$B$617,$B$620)+$B$617,0)))</f>
        <v/>
      </c>
      <c r="D687" s="289">
        <f>IF(A687&lt;=$B$613,B687*$B$614/12,0)</f>
        <v/>
      </c>
      <c r="E687" s="289">
        <f>C687-D687</f>
        <v/>
      </c>
      <c r="F687" s="314">
        <f>(B687-E687)</f>
        <v/>
      </c>
      <c r="G687" s="112">
        <f>B687*(1-B$621)^($A687)</f>
        <v/>
      </c>
      <c r="H687" s="112">
        <f>IF(A687&lt;=$B$613,G687*$B$614/12,0)</f>
        <v/>
      </c>
      <c r="I687" s="315">
        <f>C687</f>
        <v/>
      </c>
      <c r="J687" s="314" t="n"/>
      <c r="K687" s="315">
        <f>C687</f>
        <v/>
      </c>
      <c r="L687" s="316">
        <f>F687/$B$612*100</f>
        <v/>
      </c>
      <c r="M687" s="317" t="n"/>
      <c r="N687" s="73" t="n">
        <v>56</v>
      </c>
      <c r="O687" s="289">
        <f>+S686</f>
        <v/>
      </c>
      <c r="P687" s="287">
        <f>(IF(N687&lt;$B$613,PMT($B$615/12,$B$613,-$B$612,$B$617,0),IF(N687=$B$613,PMT($B$615/12,$B$613,-$B$612,$B$617,0)+$B$617,0)))</f>
        <v/>
      </c>
      <c r="Q687" s="289">
        <f>IF(N687&lt;=$B$613,O687*$B$615/12,0)</f>
        <v/>
      </c>
      <c r="R687" s="289">
        <f>P687-Q687</f>
        <v/>
      </c>
      <c r="S687" s="314">
        <f>(O687-R687)</f>
        <v/>
      </c>
      <c r="T687" s="112">
        <f>O687*(1-B$621)^($N687)</f>
        <v/>
      </c>
      <c r="U687" s="112">
        <f>IF(N687&lt;=$B$613,T687*$B$615/12,0)</f>
        <v/>
      </c>
      <c r="V687" s="315">
        <f>P687</f>
        <v/>
      </c>
      <c r="W687" s="314" t="n"/>
      <c r="X687" s="315">
        <f>P687</f>
        <v/>
      </c>
      <c r="Y687" s="316">
        <f>S687/$B$612*100</f>
        <v/>
      </c>
      <c r="Z687" s="46" t="n"/>
      <c r="AA687" s="313">
        <f>+V687-I687</f>
        <v/>
      </c>
      <c r="AB687" s="46" t="n"/>
      <c r="AC687" s="46" t="n"/>
      <c r="AD687" s="46" t="n"/>
      <c r="AE687" s="46" t="n"/>
    </row>
    <row r="688">
      <c r="A688" s="73" t="n">
        <v>57</v>
      </c>
      <c r="B688" s="289">
        <f>+F687</f>
        <v/>
      </c>
      <c r="C688" s="287">
        <f>(IF(A688&lt;$B$613,PMT($B$614/12,$B$613,-$B$612,$B$617,$B$620),IF(A688=$B$613,PMT($B$614/12,$B$613,-$B$612,$B$617,$B$620)+$B$617,0)))</f>
        <v/>
      </c>
      <c r="D688" s="289">
        <f>IF(A688&lt;=$B$613,B688*$B$614/12,0)</f>
        <v/>
      </c>
      <c r="E688" s="289">
        <f>C688-D688</f>
        <v/>
      </c>
      <c r="F688" s="314">
        <f>(B688-E688)</f>
        <v/>
      </c>
      <c r="G688" s="112">
        <f>B688*(1-B$621)^($A688)</f>
        <v/>
      </c>
      <c r="H688" s="112">
        <f>IF(A688&lt;=$B$613,G688*$B$614/12,0)</f>
        <v/>
      </c>
      <c r="I688" s="315">
        <f>C688</f>
        <v/>
      </c>
      <c r="J688" s="314" t="n"/>
      <c r="K688" s="315">
        <f>C688</f>
        <v/>
      </c>
      <c r="L688" s="316">
        <f>F688/$B$612*100</f>
        <v/>
      </c>
      <c r="M688" s="317" t="n"/>
      <c r="N688" s="73" t="n">
        <v>57</v>
      </c>
      <c r="O688" s="289">
        <f>+S687</f>
        <v/>
      </c>
      <c r="P688" s="287">
        <f>(IF(N688&lt;$B$613,PMT($B$615/12,$B$613,-$B$612,$B$617,0),IF(N688=$B$613,PMT($B$615/12,$B$613,-$B$612,$B$617,0)+$B$617,0)))</f>
        <v/>
      </c>
      <c r="Q688" s="289">
        <f>IF(N688&lt;=$B$613,O688*$B$615/12,0)</f>
        <v/>
      </c>
      <c r="R688" s="289">
        <f>P688-Q688</f>
        <v/>
      </c>
      <c r="S688" s="314">
        <f>(O688-R688)</f>
        <v/>
      </c>
      <c r="T688" s="112">
        <f>O688*(1-B$621)^($N688)</f>
        <v/>
      </c>
      <c r="U688" s="112">
        <f>IF(N688&lt;=$B$613,T688*$B$615/12,0)</f>
        <v/>
      </c>
      <c r="V688" s="315">
        <f>P688</f>
        <v/>
      </c>
      <c r="W688" s="314" t="n"/>
      <c r="X688" s="315">
        <f>P688</f>
        <v/>
      </c>
      <c r="Y688" s="316">
        <f>S688/$B$612*100</f>
        <v/>
      </c>
      <c r="Z688" s="46" t="n"/>
      <c r="AA688" s="313">
        <f>+V688-I688</f>
        <v/>
      </c>
      <c r="AB688" s="46" t="n"/>
      <c r="AC688" s="46" t="n"/>
      <c r="AD688" s="46" t="n"/>
      <c r="AE688" s="46" t="n"/>
    </row>
    <row r="689">
      <c r="A689" s="73" t="n">
        <v>58</v>
      </c>
      <c r="B689" s="289">
        <f>+F688</f>
        <v/>
      </c>
      <c r="C689" s="287">
        <f>(IF(A689&lt;$B$613,PMT($B$614/12,$B$613,-$B$612,$B$617,$B$620),IF(A689=$B$613,PMT($B$614/12,$B$613,-$B$612,$B$617,$B$620)+$B$617,0)))</f>
        <v/>
      </c>
      <c r="D689" s="289">
        <f>IF(A689&lt;=$B$613,B689*$B$614/12,0)</f>
        <v/>
      </c>
      <c r="E689" s="289">
        <f>C689-D689</f>
        <v/>
      </c>
      <c r="F689" s="314">
        <f>(B689-E689)</f>
        <v/>
      </c>
      <c r="G689" s="112">
        <f>B689*(1-B$621)^($A689)</f>
        <v/>
      </c>
      <c r="H689" s="112">
        <f>IF(A689&lt;=$B$613,G689*$B$614/12,0)</f>
        <v/>
      </c>
      <c r="I689" s="315">
        <f>C689</f>
        <v/>
      </c>
      <c r="J689" s="314" t="n"/>
      <c r="K689" s="315">
        <f>C689</f>
        <v/>
      </c>
      <c r="L689" s="316">
        <f>F689/$B$612*100</f>
        <v/>
      </c>
      <c r="M689" s="317" t="n"/>
      <c r="N689" s="73" t="n">
        <v>58</v>
      </c>
      <c r="O689" s="289">
        <f>+S688</f>
        <v/>
      </c>
      <c r="P689" s="287">
        <f>(IF(N689&lt;$B$613,PMT($B$615/12,$B$613,-$B$612,$B$617,0),IF(N689=$B$613,PMT($B$615/12,$B$613,-$B$612,$B$617,0)+$B$617,0)))</f>
        <v/>
      </c>
      <c r="Q689" s="289">
        <f>IF(N689&lt;=$B$613,O689*$B$615/12,0)</f>
        <v/>
      </c>
      <c r="R689" s="289">
        <f>P689-Q689</f>
        <v/>
      </c>
      <c r="S689" s="314">
        <f>(O689-R689)</f>
        <v/>
      </c>
      <c r="T689" s="112">
        <f>O689*(1-B$621)^($N689)</f>
        <v/>
      </c>
      <c r="U689" s="112">
        <f>IF(N689&lt;=$B$613,T689*$B$615/12,0)</f>
        <v/>
      </c>
      <c r="V689" s="315">
        <f>P689</f>
        <v/>
      </c>
      <c r="W689" s="314" t="n"/>
      <c r="X689" s="315">
        <f>P689</f>
        <v/>
      </c>
      <c r="Y689" s="316">
        <f>S689/$B$612*100</f>
        <v/>
      </c>
      <c r="Z689" s="46" t="n"/>
      <c r="AA689" s="313">
        <f>+V689-I689</f>
        <v/>
      </c>
      <c r="AB689" s="46" t="n"/>
      <c r="AC689" s="46" t="n"/>
      <c r="AD689" s="46" t="n"/>
      <c r="AE689" s="46" t="n"/>
    </row>
    <row r="690">
      <c r="A690" s="73" t="n">
        <v>59</v>
      </c>
      <c r="B690" s="289">
        <f>+F689</f>
        <v/>
      </c>
      <c r="C690" s="287">
        <f>(IF(A690&lt;$B$613,PMT($B$614/12,$B$613,-$B$612,$B$617,$B$620),IF(A690=$B$613,PMT($B$614/12,$B$613,-$B$612,$B$617,$B$620)+$B$617,0)))</f>
        <v/>
      </c>
      <c r="D690" s="289">
        <f>IF(A690&lt;=$B$613,B690*$B$614/12,0)</f>
        <v/>
      </c>
      <c r="E690" s="289">
        <f>C690-D690</f>
        <v/>
      </c>
      <c r="F690" s="314">
        <f>(B690-E690)</f>
        <v/>
      </c>
      <c r="G690" s="112">
        <f>B690*(1-B$621)^($A690)</f>
        <v/>
      </c>
      <c r="H690" s="112">
        <f>IF(A690&lt;=$B$613,G690*$B$614/12,0)</f>
        <v/>
      </c>
      <c r="I690" s="315">
        <f>C690</f>
        <v/>
      </c>
      <c r="J690" s="314" t="n"/>
      <c r="K690" s="315">
        <f>C690</f>
        <v/>
      </c>
      <c r="L690" s="316">
        <f>F690/$B$612*100</f>
        <v/>
      </c>
      <c r="M690" s="317" t="n"/>
      <c r="N690" s="73" t="n">
        <v>59</v>
      </c>
      <c r="O690" s="289">
        <f>+S689</f>
        <v/>
      </c>
      <c r="P690" s="287">
        <f>(IF(N690&lt;$B$613,PMT($B$615/12,$B$613,-$B$612,$B$617,0),IF(N690=$B$613,PMT($B$615/12,$B$613,-$B$612,$B$617,0)+$B$617,0)))</f>
        <v/>
      </c>
      <c r="Q690" s="289">
        <f>IF(N690&lt;=$B$613,O690*$B$615/12,0)</f>
        <v/>
      </c>
      <c r="R690" s="289">
        <f>P690-Q690</f>
        <v/>
      </c>
      <c r="S690" s="314">
        <f>(O690-R690)</f>
        <v/>
      </c>
      <c r="T690" s="112">
        <f>O690*(1-B$621)^($N690)</f>
        <v/>
      </c>
      <c r="U690" s="112">
        <f>IF(N690&lt;=$B$613,T690*$B$615/12,0)</f>
        <v/>
      </c>
      <c r="V690" s="315">
        <f>P690</f>
        <v/>
      </c>
      <c r="W690" s="314" t="n"/>
      <c r="X690" s="315">
        <f>P690</f>
        <v/>
      </c>
      <c r="Y690" s="316">
        <f>S690/$B$612*100</f>
        <v/>
      </c>
      <c r="Z690" s="46" t="n"/>
      <c r="AA690" s="313">
        <f>+V690-I690</f>
        <v/>
      </c>
      <c r="AB690" s="46" t="n"/>
      <c r="AC690" s="46" t="n"/>
      <c r="AD690" s="46" t="n"/>
      <c r="AE690" s="46" t="n"/>
    </row>
    <row r="691">
      <c r="A691" s="73" t="n">
        <v>60</v>
      </c>
      <c r="B691" s="289">
        <f>+F690</f>
        <v/>
      </c>
      <c r="C691" s="287">
        <f>(IF(A691&lt;$B$613,PMT($B$614/12,$B$613,-$B$612,$B$617,$B$620),IF(A691=$B$613,PMT($B$614/12,$B$613,-$B$612,$B$617,$B$620)+$B$617,0)))</f>
        <v/>
      </c>
      <c r="D691" s="289">
        <f>IF(A691&lt;=$B$613,B691*$B$614/12,0)</f>
        <v/>
      </c>
      <c r="E691" s="289">
        <f>C691-D691</f>
        <v/>
      </c>
      <c r="F691" s="314">
        <f>(B691-E691)</f>
        <v/>
      </c>
      <c r="G691" s="112">
        <f>B691*(1-B$621)^($A691)</f>
        <v/>
      </c>
      <c r="H691" s="112">
        <f>IF(A691&lt;=$B$613,G691*$B$614/12,0)</f>
        <v/>
      </c>
      <c r="I691" s="315">
        <f>C691</f>
        <v/>
      </c>
      <c r="J691" s="314" t="n"/>
      <c r="K691" s="315">
        <f>C691</f>
        <v/>
      </c>
      <c r="L691" s="316">
        <f>F691/$B$612*100</f>
        <v/>
      </c>
      <c r="M691" s="317" t="n"/>
      <c r="N691" s="73" t="n">
        <v>60</v>
      </c>
      <c r="O691" s="289">
        <f>+S690</f>
        <v/>
      </c>
      <c r="P691" s="287">
        <f>(IF(N691&lt;$B$613,PMT($B$615/12,$B$613,-$B$612,$B$617,0),IF(N691=$B$613,PMT($B$615/12,$B$613,-$B$612,$B$617,0)+$B$617,0)))</f>
        <v/>
      </c>
      <c r="Q691" s="289">
        <f>IF(N691&lt;=$B$613,O691*$B$615/12,0)</f>
        <v/>
      </c>
      <c r="R691" s="289">
        <f>P691-Q691</f>
        <v/>
      </c>
      <c r="S691" s="314">
        <f>(O691-R691)</f>
        <v/>
      </c>
      <c r="T691" s="112">
        <f>O691*(1-B$621)^($N691)</f>
        <v/>
      </c>
      <c r="U691" s="112">
        <f>IF(N691&lt;=$B$613,T691*$B$615/12,0)</f>
        <v/>
      </c>
      <c r="V691" s="315">
        <f>P691</f>
        <v/>
      </c>
      <c r="W691" s="314" t="n"/>
      <c r="X691" s="315">
        <f>P691</f>
        <v/>
      </c>
      <c r="Y691" s="316">
        <f>S691/$B$612*100</f>
        <v/>
      </c>
      <c r="Z691" s="46" t="n"/>
      <c r="AA691" s="313">
        <f>+V691-I691</f>
        <v/>
      </c>
      <c r="AB691" s="46" t="n"/>
      <c r="AC691" s="46" t="n"/>
      <c r="AD691" s="46" t="n"/>
      <c r="AE691" s="46" t="n"/>
    </row>
    <row r="692">
      <c r="A692" s="73" t="n">
        <v>61</v>
      </c>
      <c r="B692" s="289">
        <f>+F691</f>
        <v/>
      </c>
      <c r="C692" s="287">
        <f>(IF(A692&lt;$B$613,PMT($B$614/12,$B$613,-$B$612,$B$617,$B$620),IF(A692=$B$613,PMT($B$614/12,$B$613,-$B$612,$B$617,$B$620)+$B$617,0)))</f>
        <v/>
      </c>
      <c r="D692" s="289">
        <f>IF(A692&lt;=$B$613,B692*$B$614/12,0)</f>
        <v/>
      </c>
      <c r="E692" s="289">
        <f>C692-D692</f>
        <v/>
      </c>
      <c r="F692" s="314">
        <f>(B692-E692)</f>
        <v/>
      </c>
      <c r="G692" s="112">
        <f>B692*(1-B$621)^($A692)</f>
        <v/>
      </c>
      <c r="H692" s="112">
        <f>IF(A692&lt;=$B$613,G692*$B$614/12,0)</f>
        <v/>
      </c>
      <c r="I692" s="315">
        <f>C692</f>
        <v/>
      </c>
      <c r="J692" s="314" t="n"/>
      <c r="K692" s="315">
        <f>C692</f>
        <v/>
      </c>
      <c r="L692" s="316">
        <f>F692/$B$612*100</f>
        <v/>
      </c>
      <c r="M692" s="317" t="n"/>
      <c r="N692" s="73" t="n">
        <v>61</v>
      </c>
      <c r="O692" s="289">
        <f>+S691</f>
        <v/>
      </c>
      <c r="P692" s="287">
        <f>(IF(N692&lt;$B$613,PMT($B$615/12,$B$613,-$B$612,$B$617,0),IF(N692=$B$613,PMT($B$615/12,$B$613,-$B$612,$B$617,0)+$B$617,0)))</f>
        <v/>
      </c>
      <c r="Q692" s="289">
        <f>IF(N692&lt;=$B$613,O692*$B$615/12,0)</f>
        <v/>
      </c>
      <c r="R692" s="289">
        <f>P692-Q692</f>
        <v/>
      </c>
      <c r="S692" s="314">
        <f>(O692-R692)</f>
        <v/>
      </c>
      <c r="T692" s="112">
        <f>O692*(1-B$621)^($N692)</f>
        <v/>
      </c>
      <c r="U692" s="112">
        <f>IF(N692&lt;=$B$613,T692*$B$615/12,0)</f>
        <v/>
      </c>
      <c r="V692" s="315">
        <f>P692</f>
        <v/>
      </c>
      <c r="W692" s="314" t="n"/>
      <c r="X692" s="315">
        <f>P692</f>
        <v/>
      </c>
      <c r="Y692" s="316">
        <f>S692/$B$612*100</f>
        <v/>
      </c>
      <c r="Z692" s="46" t="n"/>
      <c r="AA692" s="313">
        <f>+V692-I692</f>
        <v/>
      </c>
      <c r="AB692" s="46" t="n"/>
      <c r="AC692" s="46" t="n"/>
      <c r="AD692" s="46" t="n"/>
      <c r="AE692" s="46" t="n"/>
    </row>
    <row r="693">
      <c r="A693" s="73" t="n">
        <v>62</v>
      </c>
      <c r="B693" s="289">
        <f>+F692</f>
        <v/>
      </c>
      <c r="C693" s="287">
        <f>(IF(A693&lt;$B$613,PMT($B$614/12,$B$613,-$B$612,$B$617,$B$620),IF(A693=$B$613,PMT($B$614/12,$B$613,-$B$612,$B$617,$B$620)+$B$617,0)))</f>
        <v/>
      </c>
      <c r="D693" s="289">
        <f>IF(A693&lt;=$B$613,B693*$B$614/12,0)</f>
        <v/>
      </c>
      <c r="E693" s="289">
        <f>C693-D693</f>
        <v/>
      </c>
      <c r="F693" s="314">
        <f>(B693-E693)</f>
        <v/>
      </c>
      <c r="G693" s="112">
        <f>B693*(1-B$621)^($A693)</f>
        <v/>
      </c>
      <c r="H693" s="112">
        <f>IF(A693&lt;=$B$613,G693*$B$614/12,0)</f>
        <v/>
      </c>
      <c r="I693" s="315">
        <f>C693</f>
        <v/>
      </c>
      <c r="J693" s="314" t="n"/>
      <c r="K693" s="315">
        <f>C693</f>
        <v/>
      </c>
      <c r="L693" s="316">
        <f>F693/$B$612*100</f>
        <v/>
      </c>
      <c r="M693" s="317" t="n"/>
      <c r="N693" s="73" t="n">
        <v>62</v>
      </c>
      <c r="O693" s="289">
        <f>+S692</f>
        <v/>
      </c>
      <c r="P693" s="287">
        <f>(IF(N693&lt;$B$613,PMT($B$615/12,$B$613,-$B$612,$B$617,0),IF(N693=$B$613,PMT($B$615/12,$B$613,-$B$612,$B$617,0)+$B$617,0)))</f>
        <v/>
      </c>
      <c r="Q693" s="289">
        <f>IF(N693&lt;=$B$613,O693*$B$615/12,0)</f>
        <v/>
      </c>
      <c r="R693" s="289">
        <f>P693-Q693</f>
        <v/>
      </c>
      <c r="S693" s="314">
        <f>(O693-R693)</f>
        <v/>
      </c>
      <c r="T693" s="112">
        <f>O693*(1-B$621)^($N693)</f>
        <v/>
      </c>
      <c r="U693" s="112">
        <f>IF(N693&lt;=$B$613,T693*$B$615/12,0)</f>
        <v/>
      </c>
      <c r="V693" s="315">
        <f>P693</f>
        <v/>
      </c>
      <c r="W693" s="314" t="n"/>
      <c r="X693" s="315">
        <f>P693</f>
        <v/>
      </c>
      <c r="Y693" s="316">
        <f>S693/$B$612*100</f>
        <v/>
      </c>
      <c r="Z693" s="46" t="n"/>
      <c r="AA693" s="313">
        <f>+V693-I693</f>
        <v/>
      </c>
      <c r="AB693" s="46" t="n"/>
      <c r="AC693" s="46" t="n"/>
      <c r="AD693" s="46" t="n"/>
      <c r="AE693" s="46" t="n"/>
    </row>
    <row r="694">
      <c r="A694" s="73" t="n">
        <v>63</v>
      </c>
      <c r="B694" s="289">
        <f>+F693</f>
        <v/>
      </c>
      <c r="C694" s="287">
        <f>(IF(A694&lt;$B$613,PMT($B$614/12,$B$613,-$B$612,$B$617,$B$620),IF(A694=$B$613,PMT($B$614/12,$B$613,-$B$612,$B$617,$B$620)+$B$617,0)))</f>
        <v/>
      </c>
      <c r="D694" s="289">
        <f>IF(A694&lt;=$B$613,B694*$B$614/12,0)</f>
        <v/>
      </c>
      <c r="E694" s="289">
        <f>C694-D694</f>
        <v/>
      </c>
      <c r="F694" s="314">
        <f>(B694-E694)</f>
        <v/>
      </c>
      <c r="G694" s="112">
        <f>B694*(1-B$621)^($A694)</f>
        <v/>
      </c>
      <c r="H694" s="112">
        <f>IF(A694&lt;=$B$613,G694*$B$614/12,0)</f>
        <v/>
      </c>
      <c r="I694" s="315">
        <f>C694</f>
        <v/>
      </c>
      <c r="J694" s="314" t="n"/>
      <c r="K694" s="315">
        <f>C694</f>
        <v/>
      </c>
      <c r="L694" s="316">
        <f>F694/$B$612*100</f>
        <v/>
      </c>
      <c r="M694" s="317" t="n"/>
      <c r="N694" s="73" t="n">
        <v>63</v>
      </c>
      <c r="O694" s="289">
        <f>+S693</f>
        <v/>
      </c>
      <c r="P694" s="287">
        <f>(IF(N694&lt;$B$613,PMT($B$615/12,$B$613,-$B$612,$B$617,0),IF(N694=$B$613,PMT($B$615/12,$B$613,-$B$612,$B$617,0)+$B$617,0)))</f>
        <v/>
      </c>
      <c r="Q694" s="289">
        <f>IF(N694&lt;=$B$613,O694*$B$615/12,0)</f>
        <v/>
      </c>
      <c r="R694" s="289">
        <f>P694-Q694</f>
        <v/>
      </c>
      <c r="S694" s="314">
        <f>(O694-R694)</f>
        <v/>
      </c>
      <c r="T694" s="112">
        <f>O694*(1-B$621)^($N694)</f>
        <v/>
      </c>
      <c r="U694" s="112">
        <f>IF(N694&lt;=$B$613,T694*$B$615/12,0)</f>
        <v/>
      </c>
      <c r="V694" s="315">
        <f>P694</f>
        <v/>
      </c>
      <c r="W694" s="314" t="n"/>
      <c r="X694" s="315">
        <f>P694</f>
        <v/>
      </c>
      <c r="Y694" s="316">
        <f>S694/$B$612*100</f>
        <v/>
      </c>
      <c r="Z694" s="46" t="n"/>
      <c r="AA694" s="313">
        <f>+V694-I694</f>
        <v/>
      </c>
      <c r="AB694" s="46" t="n"/>
      <c r="AC694" s="46" t="n"/>
      <c r="AD694" s="46" t="n"/>
      <c r="AE694" s="46" t="n"/>
    </row>
    <row r="695">
      <c r="A695" s="73" t="n">
        <v>64</v>
      </c>
      <c r="B695" s="289">
        <f>+F694</f>
        <v/>
      </c>
      <c r="C695" s="287">
        <f>(IF(A695&lt;$B$613,PMT($B$614/12,$B$613,-$B$612,$B$617,$B$620),IF(A695=$B$613,PMT($B$614/12,$B$613,-$B$612,$B$617,$B$620)+$B$617,0)))</f>
        <v/>
      </c>
      <c r="D695" s="289">
        <f>IF(A695&lt;=$B$613,B695*$B$614/12,0)</f>
        <v/>
      </c>
      <c r="E695" s="289">
        <f>C695-D695</f>
        <v/>
      </c>
      <c r="F695" s="314">
        <f>(B695-E695)</f>
        <v/>
      </c>
      <c r="G695" s="112">
        <f>B695*(1-B$621)^($A695)</f>
        <v/>
      </c>
      <c r="H695" s="112">
        <f>IF(A695&lt;=$B$613,G695*$B$614/12,0)</f>
        <v/>
      </c>
      <c r="I695" s="315">
        <f>C695</f>
        <v/>
      </c>
      <c r="J695" s="314" t="n"/>
      <c r="K695" s="315">
        <f>C695</f>
        <v/>
      </c>
      <c r="L695" s="316">
        <f>F695/$B$612*100</f>
        <v/>
      </c>
      <c r="M695" s="317" t="n"/>
      <c r="N695" s="73" t="n">
        <v>64</v>
      </c>
      <c r="O695" s="289">
        <f>+S694</f>
        <v/>
      </c>
      <c r="P695" s="287">
        <f>(IF(N695&lt;$B$613,PMT($B$615/12,$B$613,-$B$612,$B$617,0),IF(N695=$B$613,PMT($B$615/12,$B$613,-$B$612,$B$617,0)+$B$617,0)))</f>
        <v/>
      </c>
      <c r="Q695" s="289">
        <f>IF(N695&lt;=$B$613,O695*$B$615/12,0)</f>
        <v/>
      </c>
      <c r="R695" s="289">
        <f>P695-Q695</f>
        <v/>
      </c>
      <c r="S695" s="314">
        <f>(O695-R695)</f>
        <v/>
      </c>
      <c r="T695" s="112">
        <f>O695*(1-B$621)^($N695)</f>
        <v/>
      </c>
      <c r="U695" s="112">
        <f>IF(N695&lt;=$B$613,T695*$B$615/12,0)</f>
        <v/>
      </c>
      <c r="V695" s="315">
        <f>P695</f>
        <v/>
      </c>
      <c r="W695" s="314" t="n"/>
      <c r="X695" s="315">
        <f>P695</f>
        <v/>
      </c>
      <c r="Y695" s="316">
        <f>S695/$B$612*100</f>
        <v/>
      </c>
      <c r="Z695" s="46" t="n"/>
      <c r="AA695" s="313">
        <f>+V695-I695</f>
        <v/>
      </c>
      <c r="AB695" s="46" t="n"/>
      <c r="AC695" s="46" t="n"/>
      <c r="AD695" s="46" t="n"/>
      <c r="AE695" s="46" t="n"/>
    </row>
    <row r="696">
      <c r="A696" s="73" t="n">
        <v>65</v>
      </c>
      <c r="B696" s="289">
        <f>+F695</f>
        <v/>
      </c>
      <c r="C696" s="287">
        <f>(IF(A696&lt;$B$613,PMT($B$614/12,$B$613,-$B$612,$B$617,$B$620),IF(A696=$B$613,PMT($B$614/12,$B$613,-$B$612,$B$617,$B$620)+$B$617,0)))</f>
        <v/>
      </c>
      <c r="D696" s="289">
        <f>IF(A696&lt;=$B$613,B696*$B$614/12,0)</f>
        <v/>
      </c>
      <c r="E696" s="289">
        <f>C696-D696</f>
        <v/>
      </c>
      <c r="F696" s="314">
        <f>(B696-E696)</f>
        <v/>
      </c>
      <c r="G696" s="112">
        <f>B696*(1-B$621)^($A696)</f>
        <v/>
      </c>
      <c r="H696" s="112">
        <f>IF(A696&lt;=$B$613,G696*$B$614/12,0)</f>
        <v/>
      </c>
      <c r="I696" s="315">
        <f>C696</f>
        <v/>
      </c>
      <c r="J696" s="314" t="n"/>
      <c r="K696" s="315">
        <f>C696</f>
        <v/>
      </c>
      <c r="L696" s="316">
        <f>F696/$B$612*100</f>
        <v/>
      </c>
      <c r="M696" s="317" t="n"/>
      <c r="N696" s="73" t="n">
        <v>65</v>
      </c>
      <c r="O696" s="289">
        <f>+S695</f>
        <v/>
      </c>
      <c r="P696" s="287">
        <f>(IF(N696&lt;$B$613,PMT($B$615/12,$B$613,-$B$612,$B$617,0),IF(N696=$B$613,PMT($B$615/12,$B$613,-$B$612,$B$617,0)+$B$617,0)))</f>
        <v/>
      </c>
      <c r="Q696" s="289">
        <f>IF(N696&lt;=$B$613,O696*$B$615/12,0)</f>
        <v/>
      </c>
      <c r="R696" s="289">
        <f>P696-Q696</f>
        <v/>
      </c>
      <c r="S696" s="314">
        <f>(O696-R696)</f>
        <v/>
      </c>
      <c r="T696" s="112">
        <f>O696*(1-B$621)^($N696)</f>
        <v/>
      </c>
      <c r="U696" s="112">
        <f>IF(N696&lt;=$B$613,T696*$B$615/12,0)</f>
        <v/>
      </c>
      <c r="V696" s="315">
        <f>P696</f>
        <v/>
      </c>
      <c r="W696" s="314" t="n"/>
      <c r="X696" s="315">
        <f>P696</f>
        <v/>
      </c>
      <c r="Y696" s="316">
        <f>S696/$B$612*100</f>
        <v/>
      </c>
      <c r="Z696" s="46" t="n"/>
      <c r="AA696" s="313">
        <f>+V696-I696</f>
        <v/>
      </c>
      <c r="AB696" s="46" t="n"/>
      <c r="AC696" s="46" t="n"/>
      <c r="AD696" s="46" t="n"/>
      <c r="AE696" s="46" t="n"/>
    </row>
    <row r="697">
      <c r="A697" s="73" t="n">
        <v>66</v>
      </c>
      <c r="B697" s="289">
        <f>+F696</f>
        <v/>
      </c>
      <c r="C697" s="287">
        <f>(IF(A697&lt;$B$613,PMT($B$614/12,$B$613,-$B$612,$B$617,$B$620),IF(A697=$B$613,PMT($B$614/12,$B$613,-$B$612,$B$617,$B$620)+$B$617,0)))</f>
        <v/>
      </c>
      <c r="D697" s="289">
        <f>IF(A697&lt;=$B$613,B697*$B$614/12,0)</f>
        <v/>
      </c>
      <c r="E697" s="289">
        <f>C697-D697</f>
        <v/>
      </c>
      <c r="F697" s="314">
        <f>(B697-E697)</f>
        <v/>
      </c>
      <c r="G697" s="112">
        <f>B697*(1-B$621)^($A697)</f>
        <v/>
      </c>
      <c r="H697" s="112">
        <f>IF(A697&lt;=$B$613,G697*$B$614/12,0)</f>
        <v/>
      </c>
      <c r="I697" s="315">
        <f>C697</f>
        <v/>
      </c>
      <c r="J697" s="314" t="n"/>
      <c r="K697" s="315">
        <f>C697</f>
        <v/>
      </c>
      <c r="L697" s="316">
        <f>F697/$B$612*100</f>
        <v/>
      </c>
      <c r="M697" s="317" t="n"/>
      <c r="N697" s="73" t="n">
        <v>66</v>
      </c>
      <c r="O697" s="289">
        <f>+S696</f>
        <v/>
      </c>
      <c r="P697" s="287">
        <f>(IF(N697&lt;$B$613,PMT($B$615/12,$B$613,-$B$612,$B$617,0),IF(N697=$B$613,PMT($B$615/12,$B$613,-$B$612,$B$617,0)+$B$617,0)))</f>
        <v/>
      </c>
      <c r="Q697" s="289">
        <f>IF(N697&lt;=$B$613,O697*$B$615/12,0)</f>
        <v/>
      </c>
      <c r="R697" s="289">
        <f>P697-Q697</f>
        <v/>
      </c>
      <c r="S697" s="314">
        <f>(O697-R697)</f>
        <v/>
      </c>
      <c r="T697" s="112">
        <f>O697*(1-B$621)^($N697)</f>
        <v/>
      </c>
      <c r="U697" s="112">
        <f>IF(N697&lt;=$B$613,T697*$B$615/12,0)</f>
        <v/>
      </c>
      <c r="V697" s="315">
        <f>P697</f>
        <v/>
      </c>
      <c r="W697" s="314" t="n"/>
      <c r="X697" s="315">
        <f>P697</f>
        <v/>
      </c>
      <c r="Y697" s="316">
        <f>S697/$B$612*100</f>
        <v/>
      </c>
      <c r="Z697" s="46" t="n"/>
      <c r="AA697" s="313">
        <f>+V697-I697</f>
        <v/>
      </c>
      <c r="AB697" s="46" t="n"/>
      <c r="AC697" s="46" t="n"/>
      <c r="AD697" s="46" t="n"/>
      <c r="AE697" s="46" t="n"/>
    </row>
    <row r="698">
      <c r="A698" s="73" t="n">
        <v>67</v>
      </c>
      <c r="B698" s="289">
        <f>+F697</f>
        <v/>
      </c>
      <c r="C698" s="287">
        <f>(IF(A698&lt;$B$613,PMT($B$614/12,$B$613,-$B$612,$B$617,$B$620),IF(A698=$B$613,PMT($B$614/12,$B$613,-$B$612,$B$617,$B$620)+$B$617,0)))</f>
        <v/>
      </c>
      <c r="D698" s="289">
        <f>IF(A698&lt;=$B$613,B698*$B$614/12,0)</f>
        <v/>
      </c>
      <c r="E698" s="289">
        <f>C698-D698</f>
        <v/>
      </c>
      <c r="F698" s="314">
        <f>(B698-E698)</f>
        <v/>
      </c>
      <c r="G698" s="112">
        <f>B698*(1-B$621)^($A698)</f>
        <v/>
      </c>
      <c r="H698" s="112">
        <f>IF(A698&lt;=$B$613,G698*$B$614/12,0)</f>
        <v/>
      </c>
      <c r="I698" s="315">
        <f>C698</f>
        <v/>
      </c>
      <c r="J698" s="314" t="n"/>
      <c r="K698" s="315">
        <f>C698</f>
        <v/>
      </c>
      <c r="L698" s="316">
        <f>F698/$B$612*100</f>
        <v/>
      </c>
      <c r="M698" s="317" t="n"/>
      <c r="N698" s="73" t="n">
        <v>67</v>
      </c>
      <c r="O698" s="289">
        <f>+S697</f>
        <v/>
      </c>
      <c r="P698" s="287">
        <f>(IF(N698&lt;$B$613,PMT($B$615/12,$B$613,-$B$612,$B$617,0),IF(N698=$B$613,PMT($B$615/12,$B$613,-$B$612,$B$617,0)+$B$617,0)))</f>
        <v/>
      </c>
      <c r="Q698" s="289">
        <f>IF(N698&lt;=$B$613,O698*$B$615/12,0)</f>
        <v/>
      </c>
      <c r="R698" s="289">
        <f>P698-Q698</f>
        <v/>
      </c>
      <c r="S698" s="314">
        <f>(O698-R698)</f>
        <v/>
      </c>
      <c r="T698" s="112">
        <f>O698*(1-B$621)^($N698)</f>
        <v/>
      </c>
      <c r="U698" s="112">
        <f>IF(N698&lt;=$B$613,T698*$B$615/12,0)</f>
        <v/>
      </c>
      <c r="V698" s="315">
        <f>P698</f>
        <v/>
      </c>
      <c r="W698" s="314" t="n"/>
      <c r="X698" s="315">
        <f>P698</f>
        <v/>
      </c>
      <c r="Y698" s="316">
        <f>S698/$B$612*100</f>
        <v/>
      </c>
      <c r="Z698" s="46" t="n"/>
      <c r="AA698" s="313">
        <f>+V698-I698</f>
        <v/>
      </c>
      <c r="AB698" s="46" t="n"/>
      <c r="AC698" s="46" t="n"/>
      <c r="AD698" s="46" t="n"/>
      <c r="AE698" s="46" t="n"/>
    </row>
    <row r="699">
      <c r="A699" s="73" t="n">
        <v>68</v>
      </c>
      <c r="B699" s="289">
        <f>+F698</f>
        <v/>
      </c>
      <c r="C699" s="287">
        <f>(IF(A699&lt;$B$613,PMT($B$614/12,$B$613,-$B$612,$B$617,$B$620),IF(A699=$B$613,PMT($B$614/12,$B$613,-$B$612,$B$617,$B$620)+$B$617,0)))</f>
        <v/>
      </c>
      <c r="D699" s="289">
        <f>IF(A699&lt;=$B$613,B699*$B$614/12,0)</f>
        <v/>
      </c>
      <c r="E699" s="289">
        <f>C699-D699</f>
        <v/>
      </c>
      <c r="F699" s="314">
        <f>(B699-E699)</f>
        <v/>
      </c>
      <c r="G699" s="112">
        <f>B699*(1-B$621)^($A699)</f>
        <v/>
      </c>
      <c r="H699" s="112">
        <f>IF(A699&lt;=$B$613,G699*$B$614/12,0)</f>
        <v/>
      </c>
      <c r="I699" s="315">
        <f>C699</f>
        <v/>
      </c>
      <c r="J699" s="314" t="n"/>
      <c r="K699" s="315">
        <f>C699</f>
        <v/>
      </c>
      <c r="L699" s="316">
        <f>F699/$B$612*100</f>
        <v/>
      </c>
      <c r="M699" s="317" t="n"/>
      <c r="N699" s="73" t="n">
        <v>68</v>
      </c>
      <c r="O699" s="289">
        <f>+S698</f>
        <v/>
      </c>
      <c r="P699" s="287">
        <f>(IF(N699&lt;$B$613,PMT($B$615/12,$B$613,-$B$612,$B$617,0),IF(N699=$B$613,PMT($B$615/12,$B$613,-$B$612,$B$617,0)+$B$617,0)))</f>
        <v/>
      </c>
      <c r="Q699" s="289">
        <f>IF(N699&lt;=$B$613,O699*$B$615/12,0)</f>
        <v/>
      </c>
      <c r="R699" s="289">
        <f>P699-Q699</f>
        <v/>
      </c>
      <c r="S699" s="314">
        <f>(O699-R699)</f>
        <v/>
      </c>
      <c r="T699" s="112">
        <f>O699*(1-B$621)^($N699)</f>
        <v/>
      </c>
      <c r="U699" s="112">
        <f>IF(N699&lt;=$B$613,T699*$B$615/12,0)</f>
        <v/>
      </c>
      <c r="V699" s="315">
        <f>P699</f>
        <v/>
      </c>
      <c r="W699" s="314" t="n"/>
      <c r="X699" s="315">
        <f>P699</f>
        <v/>
      </c>
      <c r="Y699" s="316">
        <f>S699/$B$612*100</f>
        <v/>
      </c>
      <c r="Z699" s="46" t="n"/>
      <c r="AA699" s="313">
        <f>+V699-I699</f>
        <v/>
      </c>
      <c r="AB699" s="46" t="n"/>
      <c r="AC699" s="46" t="n"/>
      <c r="AD699" s="46" t="n"/>
      <c r="AE699" s="46" t="n"/>
    </row>
    <row r="700">
      <c r="A700" s="73" t="n">
        <v>69</v>
      </c>
      <c r="B700" s="289">
        <f>+F699</f>
        <v/>
      </c>
      <c r="C700" s="287">
        <f>(IF(A700&lt;$B$613,PMT($B$614/12,$B$613,-$B$612,$B$617,$B$620),IF(A700=$B$613,PMT($B$614/12,$B$613,-$B$612,$B$617,$B$620)+$B$617,0)))</f>
        <v/>
      </c>
      <c r="D700" s="289">
        <f>IF(A700&lt;=$B$613,B700*$B$614/12,0)</f>
        <v/>
      </c>
      <c r="E700" s="289">
        <f>C700-D700</f>
        <v/>
      </c>
      <c r="F700" s="314">
        <f>(B700-E700)</f>
        <v/>
      </c>
      <c r="G700" s="112">
        <f>B700*(1-B$621)^($A700)</f>
        <v/>
      </c>
      <c r="H700" s="112">
        <f>IF(A700&lt;=$B$613,G700*$B$614/12,0)</f>
        <v/>
      </c>
      <c r="I700" s="315">
        <f>C700</f>
        <v/>
      </c>
      <c r="J700" s="314" t="n"/>
      <c r="K700" s="315">
        <f>C700</f>
        <v/>
      </c>
      <c r="L700" s="316">
        <f>F700/$B$612*100</f>
        <v/>
      </c>
      <c r="M700" s="317" t="n"/>
      <c r="N700" s="73" t="n">
        <v>69</v>
      </c>
      <c r="O700" s="289">
        <f>+S699</f>
        <v/>
      </c>
      <c r="P700" s="287">
        <f>(IF(N700&lt;$B$613,PMT($B$615/12,$B$613,-$B$612,$B$617,0),IF(N700=$B$613,PMT($B$615/12,$B$613,-$B$612,$B$617,0)+$B$617,0)))</f>
        <v/>
      </c>
      <c r="Q700" s="289">
        <f>IF(N700&lt;=$B$613,O700*$B$615/12,0)</f>
        <v/>
      </c>
      <c r="R700" s="289">
        <f>P700-Q700</f>
        <v/>
      </c>
      <c r="S700" s="314">
        <f>(O700-R700)</f>
        <v/>
      </c>
      <c r="T700" s="112">
        <f>O700*(1-B$621)^($N700)</f>
        <v/>
      </c>
      <c r="U700" s="112">
        <f>IF(N700&lt;=$B$613,T700*$B$615/12,0)</f>
        <v/>
      </c>
      <c r="V700" s="315">
        <f>P700</f>
        <v/>
      </c>
      <c r="W700" s="314" t="n"/>
      <c r="X700" s="315">
        <f>P700</f>
        <v/>
      </c>
      <c r="Y700" s="316">
        <f>S700/$B$612*100</f>
        <v/>
      </c>
      <c r="Z700" s="46" t="n"/>
      <c r="AA700" s="313">
        <f>+V700-I700</f>
        <v/>
      </c>
      <c r="AB700" s="46" t="n"/>
      <c r="AC700" s="46" t="n"/>
      <c r="AD700" s="46" t="n"/>
      <c r="AE700" s="46" t="n"/>
    </row>
    <row r="701">
      <c r="A701" s="73" t="n">
        <v>70</v>
      </c>
      <c r="B701" s="289">
        <f>+F700</f>
        <v/>
      </c>
      <c r="C701" s="287">
        <f>(IF(A701&lt;$B$613,PMT($B$614/12,$B$613,-$B$612,$B$617,$B$620),IF(A701=$B$613,PMT($B$614/12,$B$613,-$B$612,$B$617,$B$620)+$B$617,0)))</f>
        <v/>
      </c>
      <c r="D701" s="289">
        <f>IF(A701&lt;=$B$613,B701*$B$614/12,0)</f>
        <v/>
      </c>
      <c r="E701" s="289">
        <f>C701-D701</f>
        <v/>
      </c>
      <c r="F701" s="314">
        <f>(B701-E701)</f>
        <v/>
      </c>
      <c r="G701" s="112">
        <f>B701*(1-B$621)^($A701)</f>
        <v/>
      </c>
      <c r="H701" s="112">
        <f>IF(A701&lt;=$B$613,G701*$B$614/12,0)</f>
        <v/>
      </c>
      <c r="I701" s="315">
        <f>C701</f>
        <v/>
      </c>
      <c r="J701" s="314" t="n"/>
      <c r="K701" s="315">
        <f>C701</f>
        <v/>
      </c>
      <c r="L701" s="316">
        <f>F701/$B$612*100</f>
        <v/>
      </c>
      <c r="M701" s="317" t="n"/>
      <c r="N701" s="73" t="n">
        <v>70</v>
      </c>
      <c r="O701" s="289">
        <f>+S700</f>
        <v/>
      </c>
      <c r="P701" s="287">
        <f>(IF(N701&lt;$B$613,PMT($B$615/12,$B$613,-$B$612,$B$617,0),IF(N701=$B$613,PMT($B$615/12,$B$613,-$B$612,$B$617,0)+$B$617,0)))</f>
        <v/>
      </c>
      <c r="Q701" s="289">
        <f>IF(N701&lt;=$B$613,O701*$B$615/12,0)</f>
        <v/>
      </c>
      <c r="R701" s="289">
        <f>P701-Q701</f>
        <v/>
      </c>
      <c r="S701" s="314">
        <f>(O701-R701)</f>
        <v/>
      </c>
      <c r="T701" s="112">
        <f>O701*(1-B$621)^($N701)</f>
        <v/>
      </c>
      <c r="U701" s="112">
        <f>IF(N701&lt;=$B$613,T701*$B$615/12,0)</f>
        <v/>
      </c>
      <c r="V701" s="315">
        <f>P701</f>
        <v/>
      </c>
      <c r="W701" s="314" t="n"/>
      <c r="X701" s="315">
        <f>P701</f>
        <v/>
      </c>
      <c r="Y701" s="316">
        <f>S701/$B$612*100</f>
        <v/>
      </c>
      <c r="Z701" s="46" t="n"/>
      <c r="AA701" s="313">
        <f>+V701-I701</f>
        <v/>
      </c>
      <c r="AB701" s="46" t="n"/>
      <c r="AC701" s="46" t="n"/>
      <c r="AD701" s="46" t="n"/>
      <c r="AE701" s="46" t="n"/>
    </row>
    <row r="702">
      <c r="A702" s="73" t="n">
        <v>71</v>
      </c>
      <c r="B702" s="289">
        <f>+F701</f>
        <v/>
      </c>
      <c r="C702" s="287">
        <f>(IF(A702&lt;$B$613,PMT($B$614/12,$B$613,-$B$612,$B$617,$B$620),IF(A702=$B$613,PMT($B$614/12,$B$613,-$B$612,$B$617,$B$620)+$B$617,0)))</f>
        <v/>
      </c>
      <c r="D702" s="289">
        <f>IF(A702&lt;=$B$613,B702*$B$614/12,0)</f>
        <v/>
      </c>
      <c r="E702" s="289">
        <f>C702-D702</f>
        <v/>
      </c>
      <c r="F702" s="314">
        <f>(B702-E702)</f>
        <v/>
      </c>
      <c r="G702" s="112">
        <f>B702*(1-B$621)^($A702)</f>
        <v/>
      </c>
      <c r="H702" s="112">
        <f>IF(A702&lt;=$B$613,G702*$B$614/12,0)</f>
        <v/>
      </c>
      <c r="I702" s="315">
        <f>C702</f>
        <v/>
      </c>
      <c r="J702" s="314" t="n"/>
      <c r="K702" s="315">
        <f>C702</f>
        <v/>
      </c>
      <c r="L702" s="316">
        <f>F702/$B$612*100</f>
        <v/>
      </c>
      <c r="M702" s="317" t="n"/>
      <c r="N702" s="73" t="n">
        <v>71</v>
      </c>
      <c r="O702" s="289">
        <f>+S701</f>
        <v/>
      </c>
      <c r="P702" s="287">
        <f>(IF(N702&lt;$B$613,PMT($B$615/12,$B$613,-$B$612,$B$617,0),IF(N702=$B$613,PMT($B$615/12,$B$613,-$B$612,$B$617,0)+$B$617,0)))</f>
        <v/>
      </c>
      <c r="Q702" s="289">
        <f>IF(N702&lt;=$B$613,O702*$B$615/12,0)</f>
        <v/>
      </c>
      <c r="R702" s="289">
        <f>P702-Q702</f>
        <v/>
      </c>
      <c r="S702" s="314">
        <f>(O702-R702)</f>
        <v/>
      </c>
      <c r="T702" s="112">
        <f>O702*(1-B$621)^($N702)</f>
        <v/>
      </c>
      <c r="U702" s="112">
        <f>IF(N702&lt;=$B$613,T702*$B$615/12,0)</f>
        <v/>
      </c>
      <c r="V702" s="315">
        <f>P702</f>
        <v/>
      </c>
      <c r="W702" s="314" t="n"/>
      <c r="X702" s="315">
        <f>P702</f>
        <v/>
      </c>
      <c r="Y702" s="316">
        <f>S702/$B$612*100</f>
        <v/>
      </c>
      <c r="Z702" s="46" t="n"/>
      <c r="AA702" s="313">
        <f>+V702-I702</f>
        <v/>
      </c>
      <c r="AB702" s="46" t="n"/>
      <c r="AC702" s="46" t="n"/>
      <c r="AD702" s="46" t="n"/>
      <c r="AE702" s="46" t="n"/>
    </row>
    <row r="703">
      <c r="A703" s="73" t="n">
        <v>72</v>
      </c>
      <c r="B703" s="289">
        <f>+F702</f>
        <v/>
      </c>
      <c r="C703" s="287">
        <f>(IF(A703&lt;$B$613,PMT($B$614/12,$B$613,-$B$612,$B$617,$B$620),IF(A703=$B$613,PMT($B$614/12,$B$613,-$B$612,$B$617,$B$620)+$B$617,0)))</f>
        <v/>
      </c>
      <c r="D703" s="289">
        <f>IF(A703&lt;=$B$613,B703*$B$614/12,0)</f>
        <v/>
      </c>
      <c r="E703" s="289">
        <f>C703-D703</f>
        <v/>
      </c>
      <c r="F703" s="314">
        <f>(B703-E703)</f>
        <v/>
      </c>
      <c r="G703" s="112">
        <f>B703*(1-B$621)^($A703)</f>
        <v/>
      </c>
      <c r="H703" s="112">
        <f>IF(A703&lt;=$B$613,G703*$B$614/12,0)</f>
        <v/>
      </c>
      <c r="I703" s="315">
        <f>C703</f>
        <v/>
      </c>
      <c r="J703" s="314" t="n"/>
      <c r="K703" s="315">
        <f>C703</f>
        <v/>
      </c>
      <c r="L703" s="316">
        <f>F703/$B$612*100</f>
        <v/>
      </c>
      <c r="M703" s="317" t="n"/>
      <c r="N703" s="73" t="n">
        <v>72</v>
      </c>
      <c r="O703" s="289">
        <f>+S702</f>
        <v/>
      </c>
      <c r="P703" s="287">
        <f>(IF(N703&lt;$B$613,PMT($B$615/12,$B$613,-$B$612,$B$617,0),IF(N703=$B$613,PMT($B$615/12,$B$613,-$B$612,$B$617,0)+$B$617,0)))</f>
        <v/>
      </c>
      <c r="Q703" s="289">
        <f>IF(N703&lt;=$B$613,O703*$B$615/12,0)</f>
        <v/>
      </c>
      <c r="R703" s="289">
        <f>P703-Q703</f>
        <v/>
      </c>
      <c r="S703" s="314">
        <f>(O703-R703)</f>
        <v/>
      </c>
      <c r="T703" s="112">
        <f>O703*(1-B$621)^($N703)</f>
        <v/>
      </c>
      <c r="U703" s="112">
        <f>IF(N703&lt;=$B$613,T703*$B$615/12,0)</f>
        <v/>
      </c>
      <c r="V703" s="315">
        <f>P703</f>
        <v/>
      </c>
      <c r="W703" s="314" t="n"/>
      <c r="X703" s="315">
        <f>P703</f>
        <v/>
      </c>
      <c r="Y703" s="316">
        <f>S703/$B$612*100</f>
        <v/>
      </c>
      <c r="Z703" s="46" t="n"/>
      <c r="AA703" s="313">
        <f>+V703-I703</f>
        <v/>
      </c>
      <c r="AB703" s="46" t="n"/>
      <c r="AC703" s="46" t="n"/>
      <c r="AD703" s="46" t="n"/>
      <c r="AE703" s="46" t="n"/>
    </row>
    <row r="704">
      <c r="A704" s="73" t="n">
        <v>73</v>
      </c>
      <c r="B704" s="289">
        <f>+F703</f>
        <v/>
      </c>
      <c r="C704" s="287">
        <f>(IF(A704&lt;$B$613,PMT($B$614/12,$B$613,-$B$612,$B$617,$B$620),IF(A704=$B$613,PMT($B$614/12,$B$613,-$B$612,$B$617,$B$620)+$B$617,0)))</f>
        <v/>
      </c>
      <c r="D704" s="289">
        <f>IF(A704&lt;=$B$613,B704*$B$614/12,0)</f>
        <v/>
      </c>
      <c r="E704" s="289">
        <f>C704-D704</f>
        <v/>
      </c>
      <c r="F704" s="314">
        <f>(B704-E704)</f>
        <v/>
      </c>
      <c r="G704" s="112">
        <f>B704*(1-B$621)^($A704)</f>
        <v/>
      </c>
      <c r="H704" s="112">
        <f>IF(A704&lt;=$B$613,G704*$B$614/12,0)</f>
        <v/>
      </c>
      <c r="I704" s="315">
        <f>C704</f>
        <v/>
      </c>
      <c r="J704" s="314" t="n"/>
      <c r="K704" s="315">
        <f>C704</f>
        <v/>
      </c>
      <c r="L704" s="316">
        <f>F704/$B$612*100</f>
        <v/>
      </c>
      <c r="M704" s="317" t="n"/>
      <c r="N704" s="73" t="n">
        <v>73</v>
      </c>
      <c r="O704" s="289">
        <f>+S703</f>
        <v/>
      </c>
      <c r="P704" s="287">
        <f>(IF(N704&lt;$B$613,PMT($B$615/12,$B$613,-$B$612,$B$617,0),IF(N704=$B$613,PMT($B$615/12,$B$613,-$B$612,$B$617,0)+$B$617,0)))</f>
        <v/>
      </c>
      <c r="Q704" s="289">
        <f>IF(N704&lt;=$B$613,O704*$B$615/12,0)</f>
        <v/>
      </c>
      <c r="R704" s="289">
        <f>P704-Q704</f>
        <v/>
      </c>
      <c r="S704" s="314">
        <f>(O704-R704)</f>
        <v/>
      </c>
      <c r="T704" s="112">
        <f>O704*(1-B$621)^($N704)</f>
        <v/>
      </c>
      <c r="U704" s="112">
        <f>IF(N704&lt;=$B$613,T704*$B$615/12,0)</f>
        <v/>
      </c>
      <c r="V704" s="315">
        <f>P704</f>
        <v/>
      </c>
      <c r="W704" s="314" t="n"/>
      <c r="X704" s="315">
        <f>P704</f>
        <v/>
      </c>
      <c r="Y704" s="316">
        <f>S704/$B$612*100</f>
        <v/>
      </c>
      <c r="Z704" s="46" t="n"/>
      <c r="AA704" s="313">
        <f>+V704-I704</f>
        <v/>
      </c>
      <c r="AB704" s="46" t="n"/>
      <c r="AC704" s="46" t="n"/>
      <c r="AD704" s="46" t="n"/>
      <c r="AE704" s="46" t="n"/>
    </row>
    <row r="705">
      <c r="A705" s="73" t="n">
        <v>74</v>
      </c>
      <c r="B705" s="289">
        <f>+F704</f>
        <v/>
      </c>
      <c r="C705" s="287">
        <f>(IF(A705&lt;$B$613,PMT($B$614/12,$B$613,-$B$612,$B$617,$B$620),IF(A705=$B$613,PMT($B$614/12,$B$613,-$B$612,$B$617,$B$620)+$B$617,0)))</f>
        <v/>
      </c>
      <c r="D705" s="289">
        <f>IF(A705&lt;=$B$613,B705*$B$614/12,0)</f>
        <v/>
      </c>
      <c r="E705" s="289">
        <f>C705-D705</f>
        <v/>
      </c>
      <c r="F705" s="314">
        <f>(B705-E705)</f>
        <v/>
      </c>
      <c r="G705" s="112">
        <f>B705*(1-B$621)^($A705)</f>
        <v/>
      </c>
      <c r="H705" s="112">
        <f>IF(A705&lt;=$B$613,G705*$B$614/12,0)</f>
        <v/>
      </c>
      <c r="I705" s="315">
        <f>C705</f>
        <v/>
      </c>
      <c r="J705" s="314" t="n"/>
      <c r="K705" s="315">
        <f>C705</f>
        <v/>
      </c>
      <c r="L705" s="316">
        <f>F705/$B$612*100</f>
        <v/>
      </c>
      <c r="M705" s="317" t="n"/>
      <c r="N705" s="73" t="n">
        <v>74</v>
      </c>
      <c r="O705" s="289">
        <f>+S704</f>
        <v/>
      </c>
      <c r="P705" s="287">
        <f>(IF(N705&lt;$B$613,PMT($B$615/12,$B$613,-$B$612,$B$617,0),IF(N705=$B$613,PMT($B$615/12,$B$613,-$B$612,$B$617,0)+$B$617,0)))</f>
        <v/>
      </c>
      <c r="Q705" s="289">
        <f>IF(N705&lt;=$B$613,O705*$B$615/12,0)</f>
        <v/>
      </c>
      <c r="R705" s="289">
        <f>P705-Q705</f>
        <v/>
      </c>
      <c r="S705" s="314">
        <f>(O705-R705)</f>
        <v/>
      </c>
      <c r="T705" s="112">
        <f>O705*(1-B$621)^($N705)</f>
        <v/>
      </c>
      <c r="U705" s="112">
        <f>IF(N705&lt;=$B$613,T705*$B$615/12,0)</f>
        <v/>
      </c>
      <c r="V705" s="315">
        <f>P705</f>
        <v/>
      </c>
      <c r="W705" s="314" t="n"/>
      <c r="X705" s="315">
        <f>P705</f>
        <v/>
      </c>
      <c r="Y705" s="316">
        <f>S705/$B$612*100</f>
        <v/>
      </c>
      <c r="Z705" s="46" t="n"/>
      <c r="AA705" s="313">
        <f>+V705-I705</f>
        <v/>
      </c>
      <c r="AB705" s="46" t="n"/>
      <c r="AC705" s="46" t="n"/>
      <c r="AD705" s="46" t="n"/>
      <c r="AE705" s="46" t="n"/>
    </row>
    <row r="706">
      <c r="A706" s="73" t="n">
        <v>75</v>
      </c>
      <c r="B706" s="289">
        <f>+F705</f>
        <v/>
      </c>
      <c r="C706" s="287">
        <f>(IF(A706&lt;$B$613,PMT($B$614/12,$B$613,-$B$612,$B$617,$B$620),IF(A706=$B$613,PMT($B$614/12,$B$613,-$B$612,$B$617,$B$620)+$B$617,0)))</f>
        <v/>
      </c>
      <c r="D706" s="289">
        <f>IF(A706&lt;=$B$613,B706*$B$614/12,0)</f>
        <v/>
      </c>
      <c r="E706" s="289">
        <f>C706-D706</f>
        <v/>
      </c>
      <c r="F706" s="314">
        <f>(B706-E706)</f>
        <v/>
      </c>
      <c r="G706" s="112">
        <f>B706*(1-B$621)^($A706)</f>
        <v/>
      </c>
      <c r="H706" s="112">
        <f>IF(A706&lt;=$B$613,G706*$B$614/12,0)</f>
        <v/>
      </c>
      <c r="I706" s="315">
        <f>C706</f>
        <v/>
      </c>
      <c r="J706" s="314" t="n"/>
      <c r="K706" s="315">
        <f>C706</f>
        <v/>
      </c>
      <c r="L706" s="316">
        <f>F706/$B$612*100</f>
        <v/>
      </c>
      <c r="M706" s="317" t="n"/>
      <c r="N706" s="73" t="n">
        <v>75</v>
      </c>
      <c r="O706" s="289">
        <f>+S705</f>
        <v/>
      </c>
      <c r="P706" s="287">
        <f>(IF(N706&lt;$B$613,PMT($B$615/12,$B$613,-$B$612,$B$617,0),IF(N706=$B$613,PMT($B$615/12,$B$613,-$B$612,$B$617,0)+$B$617,0)))</f>
        <v/>
      </c>
      <c r="Q706" s="289">
        <f>IF(N706&lt;=$B$613,O706*$B$615/12,0)</f>
        <v/>
      </c>
      <c r="R706" s="289">
        <f>P706-Q706</f>
        <v/>
      </c>
      <c r="S706" s="314">
        <f>(O706-R706)</f>
        <v/>
      </c>
      <c r="T706" s="112">
        <f>O706*(1-B$621)^($N706)</f>
        <v/>
      </c>
      <c r="U706" s="112">
        <f>IF(N706&lt;=$B$613,T706*$B$615/12,0)</f>
        <v/>
      </c>
      <c r="V706" s="315">
        <f>P706</f>
        <v/>
      </c>
      <c r="W706" s="314" t="n"/>
      <c r="X706" s="315">
        <f>P706</f>
        <v/>
      </c>
      <c r="Y706" s="316">
        <f>S706/$B$612*100</f>
        <v/>
      </c>
      <c r="Z706" s="46" t="n"/>
      <c r="AA706" s="313">
        <f>+V706-I706</f>
        <v/>
      </c>
      <c r="AB706" s="46" t="n"/>
      <c r="AC706" s="46" t="n"/>
      <c r="AD706" s="46" t="n"/>
      <c r="AE706" s="46" t="n"/>
    </row>
    <row r="707">
      <c r="A707" s="73" t="n">
        <v>76</v>
      </c>
      <c r="B707" s="289">
        <f>+F706</f>
        <v/>
      </c>
      <c r="C707" s="287">
        <f>(IF(A707&lt;$B$613,PMT($B$614/12,$B$613,-$B$612,$B$617,$B$620),IF(A707=$B$613,PMT($B$614/12,$B$613,-$B$612,$B$617,$B$620)+$B$617,0)))</f>
        <v/>
      </c>
      <c r="D707" s="289">
        <f>IF(A707&lt;=$B$613,B707*$B$614/12,0)</f>
        <v/>
      </c>
      <c r="E707" s="289">
        <f>C707-D707</f>
        <v/>
      </c>
      <c r="F707" s="314">
        <f>(B707-E707)</f>
        <v/>
      </c>
      <c r="G707" s="112">
        <f>B707*(1-B$621)^($A707)</f>
        <v/>
      </c>
      <c r="H707" s="112">
        <f>IF(A707&lt;=$B$613,G707*$B$614/12,0)</f>
        <v/>
      </c>
      <c r="I707" s="315">
        <f>C707</f>
        <v/>
      </c>
      <c r="J707" s="314" t="n"/>
      <c r="K707" s="315">
        <f>C707</f>
        <v/>
      </c>
      <c r="L707" s="316">
        <f>F707/$B$612*100</f>
        <v/>
      </c>
      <c r="M707" s="317" t="n"/>
      <c r="N707" s="73" t="n">
        <v>76</v>
      </c>
      <c r="O707" s="289">
        <f>+S706</f>
        <v/>
      </c>
      <c r="P707" s="287">
        <f>(IF(N707&lt;$B$613,PMT($B$615/12,$B$613,-$B$612,$B$617,0),IF(N707=$B$613,PMT($B$615/12,$B$613,-$B$612,$B$617,0)+$B$617,0)))</f>
        <v/>
      </c>
      <c r="Q707" s="289">
        <f>IF(N707&lt;=$B$613,O707*$B$615/12,0)</f>
        <v/>
      </c>
      <c r="R707" s="289">
        <f>P707-Q707</f>
        <v/>
      </c>
      <c r="S707" s="314">
        <f>(O707-R707)</f>
        <v/>
      </c>
      <c r="T707" s="112">
        <f>O707*(1-B$621)^($N707)</f>
        <v/>
      </c>
      <c r="U707" s="112">
        <f>IF(N707&lt;=$B$613,T707*$B$615/12,0)</f>
        <v/>
      </c>
      <c r="V707" s="315">
        <f>P707</f>
        <v/>
      </c>
      <c r="W707" s="314" t="n"/>
      <c r="X707" s="315">
        <f>P707</f>
        <v/>
      </c>
      <c r="Y707" s="316">
        <f>S707/$B$612*100</f>
        <v/>
      </c>
      <c r="Z707" s="46" t="n"/>
      <c r="AA707" s="313">
        <f>+V707-I707</f>
        <v/>
      </c>
      <c r="AB707" s="46" t="n"/>
      <c r="AC707" s="46" t="n"/>
      <c r="AD707" s="46" t="n"/>
      <c r="AE707" s="46" t="n"/>
    </row>
    <row r="708">
      <c r="A708" s="73" t="n">
        <v>77</v>
      </c>
      <c r="B708" s="289">
        <f>+F707</f>
        <v/>
      </c>
      <c r="C708" s="287">
        <f>(IF(A708&lt;$B$613,PMT($B$614/12,$B$613,-$B$612,$B$617,$B$620),IF(A708=$B$613,PMT($B$614/12,$B$613,-$B$612,$B$617,$B$620)+$B$617,0)))</f>
        <v/>
      </c>
      <c r="D708" s="289">
        <f>IF(A708&lt;=$B$613,B708*$B$614/12,0)</f>
        <v/>
      </c>
      <c r="E708" s="289">
        <f>C708-D708</f>
        <v/>
      </c>
      <c r="F708" s="314">
        <f>(B708-E708)</f>
        <v/>
      </c>
      <c r="G708" s="112">
        <f>B708*(1-B$621)^($A708)</f>
        <v/>
      </c>
      <c r="H708" s="112">
        <f>IF(A708&lt;=$B$613,G708*$B$614/12,0)</f>
        <v/>
      </c>
      <c r="I708" s="315">
        <f>C708</f>
        <v/>
      </c>
      <c r="J708" s="314" t="n"/>
      <c r="K708" s="315">
        <f>C708</f>
        <v/>
      </c>
      <c r="L708" s="316">
        <f>F708/$B$612*100</f>
        <v/>
      </c>
      <c r="M708" s="317" t="n"/>
      <c r="N708" s="73" t="n">
        <v>77</v>
      </c>
      <c r="O708" s="289">
        <f>+S707</f>
        <v/>
      </c>
      <c r="P708" s="287">
        <f>(IF(N708&lt;$B$613,PMT($B$615/12,$B$613,-$B$612,$B$617,0),IF(N708=$B$613,PMT($B$615/12,$B$613,-$B$612,$B$617,0)+$B$617,0)))</f>
        <v/>
      </c>
      <c r="Q708" s="289">
        <f>IF(N708&lt;=$B$613,O708*$B$615/12,0)</f>
        <v/>
      </c>
      <c r="R708" s="289">
        <f>P708-Q708</f>
        <v/>
      </c>
      <c r="S708" s="314">
        <f>(O708-R708)</f>
        <v/>
      </c>
      <c r="T708" s="112">
        <f>O708*(1-B$621)^($N708)</f>
        <v/>
      </c>
      <c r="U708" s="112">
        <f>IF(N708&lt;=$B$613,T708*$B$615/12,0)</f>
        <v/>
      </c>
      <c r="V708" s="315">
        <f>P708</f>
        <v/>
      </c>
      <c r="W708" s="314" t="n"/>
      <c r="X708" s="315">
        <f>P708</f>
        <v/>
      </c>
      <c r="Y708" s="316">
        <f>S708/$B$612*100</f>
        <v/>
      </c>
      <c r="Z708" s="46" t="n"/>
      <c r="AA708" s="313">
        <f>+V708-I708</f>
        <v/>
      </c>
      <c r="AB708" s="46" t="n"/>
      <c r="AC708" s="46" t="n"/>
      <c r="AD708" s="46" t="n"/>
      <c r="AE708" s="46" t="n"/>
    </row>
    <row r="709">
      <c r="A709" s="73" t="n">
        <v>78</v>
      </c>
      <c r="B709" s="289">
        <f>+F708</f>
        <v/>
      </c>
      <c r="C709" s="287">
        <f>(IF(A709&lt;$B$613,PMT($B$614/12,$B$613,-$B$612,$B$617,$B$620),IF(A709=$B$613,PMT($B$614/12,$B$613,-$B$612,$B$617,$B$620)+$B$617,0)))</f>
        <v/>
      </c>
      <c r="D709" s="289">
        <f>IF(A709&lt;=$B$613,B709*$B$614/12,0)</f>
        <v/>
      </c>
      <c r="E709" s="289">
        <f>C709-D709</f>
        <v/>
      </c>
      <c r="F709" s="314">
        <f>(B709-E709)</f>
        <v/>
      </c>
      <c r="G709" s="112">
        <f>B709*(1-B$621)^($A709)</f>
        <v/>
      </c>
      <c r="H709" s="112">
        <f>IF(A709&lt;=$B$613,G709*$B$614/12,0)</f>
        <v/>
      </c>
      <c r="I709" s="315">
        <f>C709</f>
        <v/>
      </c>
      <c r="J709" s="314" t="n"/>
      <c r="K709" s="315">
        <f>C709</f>
        <v/>
      </c>
      <c r="L709" s="316">
        <f>F709/$B$612*100</f>
        <v/>
      </c>
      <c r="M709" s="317" t="n"/>
      <c r="N709" s="73" t="n">
        <v>78</v>
      </c>
      <c r="O709" s="289">
        <f>+S708</f>
        <v/>
      </c>
      <c r="P709" s="287">
        <f>(IF(N709&lt;$B$613,PMT($B$615/12,$B$613,-$B$612,$B$617,0),IF(N709=$B$613,PMT($B$615/12,$B$613,-$B$612,$B$617,0)+$B$617,0)))</f>
        <v/>
      </c>
      <c r="Q709" s="289">
        <f>IF(N709&lt;=$B$613,O709*$B$615/12,0)</f>
        <v/>
      </c>
      <c r="R709" s="289">
        <f>P709-Q709</f>
        <v/>
      </c>
      <c r="S709" s="314">
        <f>(O709-R709)</f>
        <v/>
      </c>
      <c r="T709" s="112">
        <f>O709*(1-B$621)^($N709)</f>
        <v/>
      </c>
      <c r="U709" s="112">
        <f>IF(N709&lt;=$B$613,T709*$B$615/12,0)</f>
        <v/>
      </c>
      <c r="V709" s="315">
        <f>P709</f>
        <v/>
      </c>
      <c r="W709" s="314" t="n"/>
      <c r="X709" s="315">
        <f>P709</f>
        <v/>
      </c>
      <c r="Y709" s="316">
        <f>S709/$B$612*100</f>
        <v/>
      </c>
      <c r="Z709" s="46" t="n"/>
      <c r="AA709" s="313">
        <f>+V709-I709</f>
        <v/>
      </c>
      <c r="AB709" s="46" t="n"/>
      <c r="AC709" s="46" t="n"/>
      <c r="AD709" s="46" t="n"/>
      <c r="AE709" s="46" t="n"/>
    </row>
    <row r="710">
      <c r="A710" s="73" t="n">
        <v>79</v>
      </c>
      <c r="B710" s="289">
        <f>+F709</f>
        <v/>
      </c>
      <c r="C710" s="287">
        <f>(IF(A710&lt;$B$613,PMT($B$614/12,$B$613,-$B$612,$B$617,$B$620),IF(A710=$B$613,PMT($B$614/12,$B$613,-$B$612,$B$617,$B$620)+$B$617,0)))</f>
        <v/>
      </c>
      <c r="D710" s="289">
        <f>IF(A710&lt;=$B$613,B710*$B$614/12,0)</f>
        <v/>
      </c>
      <c r="E710" s="289">
        <f>C710-D710</f>
        <v/>
      </c>
      <c r="F710" s="314">
        <f>(B710-E710)</f>
        <v/>
      </c>
      <c r="G710" s="112">
        <f>B710*(1-B$621)^($A710)</f>
        <v/>
      </c>
      <c r="H710" s="112">
        <f>IF(A710&lt;=$B$613,G710*$B$614/12,0)</f>
        <v/>
      </c>
      <c r="I710" s="315">
        <f>C710</f>
        <v/>
      </c>
      <c r="J710" s="314" t="n"/>
      <c r="K710" s="315">
        <f>C710</f>
        <v/>
      </c>
      <c r="L710" s="316">
        <f>F710/$B$612*100</f>
        <v/>
      </c>
      <c r="M710" s="317" t="n"/>
      <c r="N710" s="73" t="n">
        <v>79</v>
      </c>
      <c r="O710" s="289">
        <f>+S709</f>
        <v/>
      </c>
      <c r="P710" s="287">
        <f>(IF(N710&lt;$B$613,PMT($B$615/12,$B$613,-$B$612,$B$617,0),IF(N710=$B$613,PMT($B$615/12,$B$613,-$B$612,$B$617,0)+$B$617,0)))</f>
        <v/>
      </c>
      <c r="Q710" s="289">
        <f>IF(N710&lt;=$B$613,O710*$B$615/12,0)</f>
        <v/>
      </c>
      <c r="R710" s="289">
        <f>P710-Q710</f>
        <v/>
      </c>
      <c r="S710" s="314">
        <f>(O710-R710)</f>
        <v/>
      </c>
      <c r="T710" s="112">
        <f>O710*(1-B$621)^($N710)</f>
        <v/>
      </c>
      <c r="U710" s="112">
        <f>IF(N710&lt;=$B$613,T710*$B$615/12,0)</f>
        <v/>
      </c>
      <c r="V710" s="315">
        <f>P710</f>
        <v/>
      </c>
      <c r="W710" s="314" t="n"/>
      <c r="X710" s="315">
        <f>P710</f>
        <v/>
      </c>
      <c r="Y710" s="316">
        <f>S710/$B$612*100</f>
        <v/>
      </c>
      <c r="Z710" s="46" t="n"/>
      <c r="AA710" s="313">
        <f>+V710-I710</f>
        <v/>
      </c>
      <c r="AB710" s="46" t="n"/>
      <c r="AC710" s="46" t="n"/>
      <c r="AD710" s="46" t="n"/>
      <c r="AE710" s="46" t="n"/>
    </row>
    <row r="711">
      <c r="A711" s="73" t="n">
        <v>80</v>
      </c>
      <c r="B711" s="289">
        <f>+F710</f>
        <v/>
      </c>
      <c r="C711" s="287">
        <f>(IF(A711&lt;$B$613,PMT($B$614/12,$B$613,-$B$612,$B$617,$B$620),IF(A711=$B$613,PMT($B$614/12,$B$613,-$B$612,$B$617,$B$620)+$B$617,0)))</f>
        <v/>
      </c>
      <c r="D711" s="289">
        <f>IF(A711&lt;=$B$613,B711*$B$614/12,0)</f>
        <v/>
      </c>
      <c r="E711" s="289">
        <f>C711-D711</f>
        <v/>
      </c>
      <c r="F711" s="314">
        <f>(B711-E711)</f>
        <v/>
      </c>
      <c r="G711" s="112">
        <f>B711*(1-B$621)^($A711)</f>
        <v/>
      </c>
      <c r="H711" s="112">
        <f>IF(A711&lt;=$B$613,G711*$B$614/12,0)</f>
        <v/>
      </c>
      <c r="I711" s="315">
        <f>C711</f>
        <v/>
      </c>
      <c r="J711" s="314" t="n"/>
      <c r="K711" s="315">
        <f>C711</f>
        <v/>
      </c>
      <c r="L711" s="316">
        <f>F711/$B$612*100</f>
        <v/>
      </c>
      <c r="M711" s="317" t="n"/>
      <c r="N711" s="73" t="n">
        <v>80</v>
      </c>
      <c r="O711" s="289">
        <f>+S710</f>
        <v/>
      </c>
      <c r="P711" s="287">
        <f>(IF(N711&lt;$B$613,PMT($B$615/12,$B$613,-$B$612,$B$617,0),IF(N711=$B$613,PMT($B$615/12,$B$613,-$B$612,$B$617,0)+$B$617,0)))</f>
        <v/>
      </c>
      <c r="Q711" s="289">
        <f>IF(N711&lt;=$B$613,O711*$B$615/12,0)</f>
        <v/>
      </c>
      <c r="R711" s="289">
        <f>P711-Q711</f>
        <v/>
      </c>
      <c r="S711" s="314">
        <f>(O711-R711)</f>
        <v/>
      </c>
      <c r="T711" s="112">
        <f>O711*(1-B$621)^($N711)</f>
        <v/>
      </c>
      <c r="U711" s="112">
        <f>IF(N711&lt;=$B$613,T711*$B$615/12,0)</f>
        <v/>
      </c>
      <c r="V711" s="315">
        <f>P711</f>
        <v/>
      </c>
      <c r="W711" s="314" t="n"/>
      <c r="X711" s="315">
        <f>P711</f>
        <v/>
      </c>
      <c r="Y711" s="316">
        <f>S711/$B$612*100</f>
        <v/>
      </c>
      <c r="Z711" s="46" t="n"/>
      <c r="AA711" s="313">
        <f>+V711-I711</f>
        <v/>
      </c>
      <c r="AB711" s="46" t="n"/>
      <c r="AC711" s="46" t="n"/>
      <c r="AD711" s="46" t="n"/>
      <c r="AE711" s="46" t="n"/>
    </row>
    <row r="712">
      <c r="A712" s="73" t="n">
        <v>81</v>
      </c>
      <c r="B712" s="289">
        <f>+F711</f>
        <v/>
      </c>
      <c r="C712" s="287">
        <f>(IF(A712&lt;$B$613,PMT($B$614/12,$B$613,-$B$612,$B$617,$B$620),IF(A712=$B$613,PMT($B$614/12,$B$613,-$B$612,$B$617,$B$620)+$B$617,0)))</f>
        <v/>
      </c>
      <c r="D712" s="289">
        <f>IF(A712&lt;=$B$613,B712*$B$614/12,0)</f>
        <v/>
      </c>
      <c r="E712" s="289">
        <f>C712-D712</f>
        <v/>
      </c>
      <c r="F712" s="314">
        <f>(B712-E712)</f>
        <v/>
      </c>
      <c r="G712" s="112">
        <f>B712*(1-B$621)^($A712)</f>
        <v/>
      </c>
      <c r="H712" s="112">
        <f>IF(A712&lt;=$B$613,G712*$B$614/12,0)</f>
        <v/>
      </c>
      <c r="I712" s="315">
        <f>C712</f>
        <v/>
      </c>
      <c r="J712" s="314" t="n"/>
      <c r="K712" s="315">
        <f>C712</f>
        <v/>
      </c>
      <c r="L712" s="316">
        <f>F712/$B$612*100</f>
        <v/>
      </c>
      <c r="M712" s="317" t="n"/>
      <c r="N712" s="73" t="n">
        <v>81</v>
      </c>
      <c r="O712" s="289">
        <f>+S711</f>
        <v/>
      </c>
      <c r="P712" s="287">
        <f>(IF(N712&lt;$B$613,PMT($B$615/12,$B$613,-$B$612,$B$617,0),IF(N712=$B$613,PMT($B$615/12,$B$613,-$B$612,$B$617,0)+$B$617,0)))</f>
        <v/>
      </c>
      <c r="Q712" s="289">
        <f>IF(N712&lt;=$B$613,O712*$B$615/12,0)</f>
        <v/>
      </c>
      <c r="R712" s="289">
        <f>P712-Q712</f>
        <v/>
      </c>
      <c r="S712" s="314">
        <f>(O712-R712)</f>
        <v/>
      </c>
      <c r="T712" s="112">
        <f>O712*(1-B$621)^($N712)</f>
        <v/>
      </c>
      <c r="U712" s="112">
        <f>IF(N712&lt;=$B$613,T712*$B$615/12,0)</f>
        <v/>
      </c>
      <c r="V712" s="315">
        <f>P712</f>
        <v/>
      </c>
      <c r="W712" s="314" t="n"/>
      <c r="X712" s="315">
        <f>P712</f>
        <v/>
      </c>
      <c r="Y712" s="316">
        <f>S712/$B$612*100</f>
        <v/>
      </c>
      <c r="Z712" s="46" t="n"/>
      <c r="AA712" s="313">
        <f>+V712-I712</f>
        <v/>
      </c>
      <c r="AB712" s="46" t="n"/>
      <c r="AC712" s="46" t="n"/>
      <c r="AD712" s="46" t="n"/>
      <c r="AE712" s="46" t="n"/>
    </row>
    <row r="713">
      <c r="A713" s="73" t="n">
        <v>82</v>
      </c>
      <c r="B713" s="289">
        <f>+F712</f>
        <v/>
      </c>
      <c r="C713" s="287">
        <f>(IF(A713&lt;$B$613,PMT($B$614/12,$B$613,-$B$612,$B$617,$B$620),IF(A713=$B$613,PMT($B$614/12,$B$613,-$B$612,$B$617,$B$620)+$B$617,0)))</f>
        <v/>
      </c>
      <c r="D713" s="289">
        <f>IF(A713&lt;=$B$613,B713*$B$614/12,0)</f>
        <v/>
      </c>
      <c r="E713" s="289">
        <f>C713-D713</f>
        <v/>
      </c>
      <c r="F713" s="314">
        <f>(B713-E713)</f>
        <v/>
      </c>
      <c r="G713" s="112">
        <f>B713*(1-B$621)^($A713)</f>
        <v/>
      </c>
      <c r="H713" s="112">
        <f>IF(A713&lt;=$B$613,G713*$B$614/12,0)</f>
        <v/>
      </c>
      <c r="I713" s="315">
        <f>C713</f>
        <v/>
      </c>
      <c r="J713" s="314" t="n"/>
      <c r="K713" s="315">
        <f>C713</f>
        <v/>
      </c>
      <c r="L713" s="316">
        <f>F713/$B$612*100</f>
        <v/>
      </c>
      <c r="M713" s="317" t="n"/>
      <c r="N713" s="73" t="n">
        <v>82</v>
      </c>
      <c r="O713" s="289">
        <f>+S712</f>
        <v/>
      </c>
      <c r="P713" s="287">
        <f>(IF(N713&lt;$B$613,PMT($B$615/12,$B$613,-$B$612,$B$617,0),IF(N713=$B$613,PMT($B$615/12,$B$613,-$B$612,$B$617,0)+$B$617,0)))</f>
        <v/>
      </c>
      <c r="Q713" s="289">
        <f>IF(N713&lt;=$B$613,O713*$B$615/12,0)</f>
        <v/>
      </c>
      <c r="R713" s="289">
        <f>P713-Q713</f>
        <v/>
      </c>
      <c r="S713" s="314">
        <f>(O713-R713)</f>
        <v/>
      </c>
      <c r="T713" s="112">
        <f>O713*(1-B$621)^($N713)</f>
        <v/>
      </c>
      <c r="U713" s="112">
        <f>IF(N713&lt;=$B$613,T713*$B$615/12,0)</f>
        <v/>
      </c>
      <c r="V713" s="315">
        <f>P713</f>
        <v/>
      </c>
      <c r="W713" s="314" t="n"/>
      <c r="X713" s="315">
        <f>P713</f>
        <v/>
      </c>
      <c r="Y713" s="316">
        <f>S713/$B$612*100</f>
        <v/>
      </c>
      <c r="Z713" s="46" t="n"/>
      <c r="AA713" s="313">
        <f>+V713-I713</f>
        <v/>
      </c>
      <c r="AB713" s="46" t="n"/>
      <c r="AC713" s="46" t="n"/>
      <c r="AD713" s="46" t="n"/>
      <c r="AE713" s="46" t="n"/>
    </row>
    <row r="714">
      <c r="A714" s="73" t="n">
        <v>83</v>
      </c>
      <c r="B714" s="289">
        <f>+F713</f>
        <v/>
      </c>
      <c r="C714" s="287">
        <f>(IF(A714&lt;$B$613,PMT($B$614/12,$B$613,-$B$612,$B$617,$B$620),IF(A714=$B$613,PMT($B$614/12,$B$613,-$B$612,$B$617,$B$620)+$B$617,0)))</f>
        <v/>
      </c>
      <c r="D714" s="289">
        <f>IF(A714&lt;=$B$613,B714*$B$614/12,0)</f>
        <v/>
      </c>
      <c r="E714" s="289">
        <f>C714-D714</f>
        <v/>
      </c>
      <c r="F714" s="314">
        <f>(B714-E714)</f>
        <v/>
      </c>
      <c r="G714" s="112">
        <f>B714*(1-B$621)^($A714)</f>
        <v/>
      </c>
      <c r="H714" s="112">
        <f>IF(A714&lt;=$B$613,G714*$B$614/12,0)</f>
        <v/>
      </c>
      <c r="I714" s="315">
        <f>C714</f>
        <v/>
      </c>
      <c r="J714" s="314" t="n"/>
      <c r="K714" s="315">
        <f>C714</f>
        <v/>
      </c>
      <c r="L714" s="316">
        <f>F714/$B$612*100</f>
        <v/>
      </c>
      <c r="M714" s="317" t="n"/>
      <c r="N714" s="73" t="n">
        <v>83</v>
      </c>
      <c r="O714" s="289">
        <f>+S713</f>
        <v/>
      </c>
      <c r="P714" s="287">
        <f>(IF(N714&lt;$B$613,PMT($B$615/12,$B$613,-$B$612,$B$617,0),IF(N714=$B$613,PMT($B$615/12,$B$613,-$B$612,$B$617,0)+$B$617,0)))</f>
        <v/>
      </c>
      <c r="Q714" s="289">
        <f>IF(N714&lt;=$B$613,O714*$B$615/12,0)</f>
        <v/>
      </c>
      <c r="R714" s="289">
        <f>P714-Q714</f>
        <v/>
      </c>
      <c r="S714" s="314">
        <f>(O714-R714)</f>
        <v/>
      </c>
      <c r="T714" s="112">
        <f>O714*(1-B$621)^($N714)</f>
        <v/>
      </c>
      <c r="U714" s="112">
        <f>IF(N714&lt;=$B$613,T714*$B$615/12,0)</f>
        <v/>
      </c>
      <c r="V714" s="315">
        <f>P714</f>
        <v/>
      </c>
      <c r="W714" s="314" t="n"/>
      <c r="X714" s="315">
        <f>P714</f>
        <v/>
      </c>
      <c r="Y714" s="316">
        <f>S714/$B$612*100</f>
        <v/>
      </c>
      <c r="Z714" s="46" t="n"/>
      <c r="AA714" s="313">
        <f>+V714-I714</f>
        <v/>
      </c>
      <c r="AB714" s="46" t="n"/>
      <c r="AC714" s="46" t="n"/>
      <c r="AD714" s="46" t="n"/>
      <c r="AE714" s="46" t="n"/>
    </row>
    <row r="715">
      <c r="A715" s="73" t="n">
        <v>84</v>
      </c>
      <c r="B715" s="289">
        <f>+F714</f>
        <v/>
      </c>
      <c r="C715" s="287">
        <f>(IF(A715&lt;$B$613,PMT($B$614/12,$B$613,-$B$612,$B$617,$B$620),IF(A715=$B$613,PMT($B$614/12,$B$613,-$B$612,$B$617,$B$620)+$B$617,0)))</f>
        <v/>
      </c>
      <c r="D715" s="289">
        <f>IF(A715&lt;=$B$613,B715*$B$614/12,0)</f>
        <v/>
      </c>
      <c r="E715" s="289">
        <f>C715-D715</f>
        <v/>
      </c>
      <c r="F715" s="314">
        <f>(B715-E715)</f>
        <v/>
      </c>
      <c r="G715" s="112">
        <f>B715*(1-B$621)^($A715)</f>
        <v/>
      </c>
      <c r="H715" s="112">
        <f>IF(A715&lt;=$B$613,G715*$B$614/12,0)</f>
        <v/>
      </c>
      <c r="I715" s="315">
        <f>C715</f>
        <v/>
      </c>
      <c r="J715" s="314" t="n"/>
      <c r="K715" s="315">
        <f>C715</f>
        <v/>
      </c>
      <c r="L715" s="316">
        <f>F715/$B$612*100</f>
        <v/>
      </c>
      <c r="M715" s="317" t="n"/>
      <c r="N715" s="73" t="n">
        <v>84</v>
      </c>
      <c r="O715" s="289">
        <f>+S714</f>
        <v/>
      </c>
      <c r="P715" s="287">
        <f>(IF(N715&lt;$B$613,PMT($B$615/12,$B$613,-$B$612,$B$617,0),IF(N715=$B$613,PMT($B$615/12,$B$613,-$B$612,$B$617,0)+$B$617,0)))</f>
        <v/>
      </c>
      <c r="Q715" s="289">
        <f>IF(N715&lt;=$B$613,O715*$B$615/12,0)</f>
        <v/>
      </c>
      <c r="R715" s="289">
        <f>P715-Q715</f>
        <v/>
      </c>
      <c r="S715" s="314">
        <f>(O715-R715)</f>
        <v/>
      </c>
      <c r="T715" s="112">
        <f>O715*(1-B$621)^($N715)</f>
        <v/>
      </c>
      <c r="U715" s="112">
        <f>IF(N715&lt;=$B$613,T715*$B$615/12,0)</f>
        <v/>
      </c>
      <c r="V715" s="315">
        <f>P715</f>
        <v/>
      </c>
      <c r="W715" s="314" t="n"/>
      <c r="X715" s="315">
        <f>P715</f>
        <v/>
      </c>
      <c r="Y715" s="316">
        <f>S715/$B$612*100</f>
        <v/>
      </c>
      <c r="Z715" s="46" t="n"/>
      <c r="AA715" s="313">
        <f>+V715-I715</f>
        <v/>
      </c>
      <c r="AB715" s="46" t="n"/>
      <c r="AC715" s="46" t="n"/>
      <c r="AD715" s="46" t="n"/>
      <c r="AE715" s="46" t="n"/>
    </row>
    <row r="716">
      <c r="A716" s="73" t="n">
        <v>85</v>
      </c>
      <c r="B716" s="289">
        <f>+F715</f>
        <v/>
      </c>
      <c r="C716" s="287">
        <f>(IF(A716&lt;$B$613,PMT($B$614/12,$B$613,-$B$612,$B$617,$B$620),IF(A716=$B$613,PMT($B$614/12,$B$613,-$B$612,$B$617,$B$620)+$B$617,0)))</f>
        <v/>
      </c>
      <c r="D716" s="289">
        <f>IF(A716&lt;=$B$613,B716*$B$614/12,0)</f>
        <v/>
      </c>
      <c r="E716" s="289">
        <f>C716-D716</f>
        <v/>
      </c>
      <c r="F716" s="314">
        <f>(B716-E716)</f>
        <v/>
      </c>
      <c r="G716" s="112">
        <f>B716*(1-B$621)^($A716)</f>
        <v/>
      </c>
      <c r="H716" s="112">
        <f>IF(A716&lt;=$B$613,G716*$B$614/12,0)</f>
        <v/>
      </c>
      <c r="I716" s="315">
        <f>C716</f>
        <v/>
      </c>
      <c r="J716" s="314" t="n"/>
      <c r="K716" s="315">
        <f>C716</f>
        <v/>
      </c>
      <c r="L716" s="316">
        <f>F716/$B$612*100</f>
        <v/>
      </c>
      <c r="M716" s="317" t="n"/>
      <c r="N716" s="73" t="n">
        <v>85</v>
      </c>
      <c r="O716" s="289">
        <f>+S715</f>
        <v/>
      </c>
      <c r="P716" s="287">
        <f>(IF(N716&lt;$B$613,PMT($B$615/12,$B$613,-$B$612,$B$617,0),IF(N716=$B$613,PMT($B$615/12,$B$613,-$B$612,$B$617,0)+$B$617,0)))</f>
        <v/>
      </c>
      <c r="Q716" s="289">
        <f>IF(N716&lt;=$B$613,O716*$B$615/12,0)</f>
        <v/>
      </c>
      <c r="R716" s="289">
        <f>P716-Q716</f>
        <v/>
      </c>
      <c r="S716" s="314">
        <f>(O716-R716)</f>
        <v/>
      </c>
      <c r="T716" s="112">
        <f>O716*(1-B$621)^($N716)</f>
        <v/>
      </c>
      <c r="U716" s="112">
        <f>IF(N716&lt;=$B$613,T716*$B$615/12,0)</f>
        <v/>
      </c>
      <c r="V716" s="315">
        <f>P716</f>
        <v/>
      </c>
      <c r="W716" s="314" t="n"/>
      <c r="X716" s="315">
        <f>P716</f>
        <v/>
      </c>
      <c r="Y716" s="316">
        <f>S716/$B$612*100</f>
        <v/>
      </c>
      <c r="Z716" s="46" t="n"/>
      <c r="AA716" s="313">
        <f>+V716-I716</f>
        <v/>
      </c>
      <c r="AB716" s="46" t="n"/>
      <c r="AC716" s="46" t="n"/>
      <c r="AD716" s="46" t="n"/>
      <c r="AE716" s="46" t="n"/>
    </row>
    <row r="717">
      <c r="A717" s="73" t="n">
        <v>86</v>
      </c>
      <c r="B717" s="289">
        <f>+F716</f>
        <v/>
      </c>
      <c r="C717" s="287">
        <f>(IF(A717&lt;$B$613,PMT($B$614/12,$B$613,-$B$612,$B$617,$B$620),IF(A717=$B$613,PMT($B$614/12,$B$613,-$B$612,$B$617,$B$620)+$B$617,0)))</f>
        <v/>
      </c>
      <c r="D717" s="289">
        <f>IF(A717&lt;=$B$613,B717*$B$614/12,0)</f>
        <v/>
      </c>
      <c r="E717" s="289">
        <f>C717-D717</f>
        <v/>
      </c>
      <c r="F717" s="314">
        <f>(B717-E717)</f>
        <v/>
      </c>
      <c r="G717" s="112">
        <f>B717*(1-B$621)^($A717)</f>
        <v/>
      </c>
      <c r="H717" s="112">
        <f>IF(A717&lt;=$B$613,G717*$B$614/12,0)</f>
        <v/>
      </c>
      <c r="I717" s="315">
        <f>C717</f>
        <v/>
      </c>
      <c r="J717" s="314" t="n"/>
      <c r="K717" s="315">
        <f>C717</f>
        <v/>
      </c>
      <c r="L717" s="316">
        <f>F717/$B$612*100</f>
        <v/>
      </c>
      <c r="M717" s="317" t="n"/>
      <c r="N717" s="73" t="n">
        <v>86</v>
      </c>
      <c r="O717" s="289">
        <f>+S716</f>
        <v/>
      </c>
      <c r="P717" s="287">
        <f>(IF(N717&lt;$B$613,PMT($B$615/12,$B$613,-$B$612,$B$617,0),IF(N717=$B$613,PMT($B$615/12,$B$613,-$B$612,$B$617,0)+$B$617,0)))</f>
        <v/>
      </c>
      <c r="Q717" s="289">
        <f>IF(N717&lt;=$B$613,O717*$B$615/12,0)</f>
        <v/>
      </c>
      <c r="R717" s="289">
        <f>P717-Q717</f>
        <v/>
      </c>
      <c r="S717" s="314">
        <f>(O717-R717)</f>
        <v/>
      </c>
      <c r="T717" s="112">
        <f>O717*(1-B$621)^($N717)</f>
        <v/>
      </c>
      <c r="U717" s="112">
        <f>IF(N717&lt;=$B$613,T717*$B$615/12,0)</f>
        <v/>
      </c>
      <c r="V717" s="315">
        <f>P717</f>
        <v/>
      </c>
      <c r="W717" s="314" t="n"/>
      <c r="X717" s="315">
        <f>P717</f>
        <v/>
      </c>
      <c r="Y717" s="316">
        <f>S717/$B$612*100</f>
        <v/>
      </c>
      <c r="Z717" s="46" t="n"/>
      <c r="AA717" s="313">
        <f>+V717-I717</f>
        <v/>
      </c>
      <c r="AB717" s="46" t="n"/>
      <c r="AC717" s="46" t="n"/>
      <c r="AD717" s="46" t="n"/>
      <c r="AE717" s="46" t="n"/>
    </row>
    <row r="718">
      <c r="A718" s="73" t="n">
        <v>87</v>
      </c>
      <c r="B718" s="289">
        <f>+F717</f>
        <v/>
      </c>
      <c r="C718" s="287">
        <f>(IF(A718&lt;$B$613,PMT($B$614/12,$B$613,-$B$612,$B$617,$B$620),IF(A718=$B$613,PMT($B$614/12,$B$613,-$B$612,$B$617,$B$620)+$B$617,0)))</f>
        <v/>
      </c>
      <c r="D718" s="289">
        <f>IF(A718&lt;=$B$613,B718*$B$614/12,0)</f>
        <v/>
      </c>
      <c r="E718" s="289">
        <f>C718-D718</f>
        <v/>
      </c>
      <c r="F718" s="314">
        <f>(B718-E718)</f>
        <v/>
      </c>
      <c r="G718" s="112">
        <f>B718*(1-B$621)^($A718)</f>
        <v/>
      </c>
      <c r="H718" s="112">
        <f>IF(A718&lt;=$B$613,G718*$B$614/12,0)</f>
        <v/>
      </c>
      <c r="I718" s="315">
        <f>C718</f>
        <v/>
      </c>
      <c r="J718" s="314" t="n"/>
      <c r="K718" s="315">
        <f>C718</f>
        <v/>
      </c>
      <c r="L718" s="316">
        <f>F718/$B$612*100</f>
        <v/>
      </c>
      <c r="M718" s="317" t="n"/>
      <c r="N718" s="73" t="n">
        <v>87</v>
      </c>
      <c r="O718" s="289">
        <f>+S717</f>
        <v/>
      </c>
      <c r="P718" s="287">
        <f>(IF(N718&lt;$B$613,PMT($B$615/12,$B$613,-$B$612,$B$617,0),IF(N718=$B$613,PMT($B$615/12,$B$613,-$B$612,$B$617,0)+$B$617,0)))</f>
        <v/>
      </c>
      <c r="Q718" s="289">
        <f>IF(N718&lt;=$B$613,O718*$B$615/12,0)</f>
        <v/>
      </c>
      <c r="R718" s="289">
        <f>P718-Q718</f>
        <v/>
      </c>
      <c r="S718" s="314">
        <f>(O718-R718)</f>
        <v/>
      </c>
      <c r="T718" s="112">
        <f>O718*(1-B$621)^($N718)</f>
        <v/>
      </c>
      <c r="U718" s="112">
        <f>IF(N718&lt;=$B$613,T718*$B$615/12,0)</f>
        <v/>
      </c>
      <c r="V718" s="315">
        <f>P718</f>
        <v/>
      </c>
      <c r="W718" s="314" t="n"/>
      <c r="X718" s="315">
        <f>P718</f>
        <v/>
      </c>
      <c r="Y718" s="316">
        <f>S718/$B$612*100</f>
        <v/>
      </c>
      <c r="Z718" s="46" t="n"/>
      <c r="AA718" s="313">
        <f>+V718-I718</f>
        <v/>
      </c>
      <c r="AB718" s="46" t="n"/>
      <c r="AC718" s="46" t="n"/>
      <c r="AD718" s="46" t="n"/>
      <c r="AE718" s="46" t="n"/>
    </row>
    <row r="719">
      <c r="A719" s="73" t="n">
        <v>88</v>
      </c>
      <c r="B719" s="289">
        <f>+F718</f>
        <v/>
      </c>
      <c r="C719" s="287">
        <f>(IF(A719&lt;$B$613,PMT($B$614/12,$B$613,-$B$612,$B$617,$B$620),IF(A719=$B$613,PMT($B$614/12,$B$613,-$B$612,$B$617,$B$620)+$B$617,0)))</f>
        <v/>
      </c>
      <c r="D719" s="289">
        <f>IF(A719&lt;=$B$613,B719*$B$614/12,0)</f>
        <v/>
      </c>
      <c r="E719" s="289">
        <f>C719-D719</f>
        <v/>
      </c>
      <c r="F719" s="314">
        <f>(B719-E719)</f>
        <v/>
      </c>
      <c r="G719" s="112">
        <f>B719*(1-B$621)^($A719)</f>
        <v/>
      </c>
      <c r="H719" s="112">
        <f>IF(A719&lt;=$B$613,G719*$B$614/12,0)</f>
        <v/>
      </c>
      <c r="I719" s="315">
        <f>C719</f>
        <v/>
      </c>
      <c r="J719" s="314" t="n"/>
      <c r="K719" s="315">
        <f>C719</f>
        <v/>
      </c>
      <c r="L719" s="316">
        <f>F719/$B$612*100</f>
        <v/>
      </c>
      <c r="M719" s="317" t="n"/>
      <c r="N719" s="73" t="n">
        <v>88</v>
      </c>
      <c r="O719" s="289">
        <f>+S718</f>
        <v/>
      </c>
      <c r="P719" s="287">
        <f>(IF(N719&lt;$B$613,PMT($B$615/12,$B$613,-$B$612,$B$617,0),IF(N719=$B$613,PMT($B$615/12,$B$613,-$B$612,$B$617,0)+$B$617,0)))</f>
        <v/>
      </c>
      <c r="Q719" s="289">
        <f>IF(N719&lt;=$B$613,O719*$B$615/12,0)</f>
        <v/>
      </c>
      <c r="R719" s="289">
        <f>P719-Q719</f>
        <v/>
      </c>
      <c r="S719" s="314">
        <f>(O719-R719)</f>
        <v/>
      </c>
      <c r="T719" s="112">
        <f>O719*(1-B$621)^($N719)</f>
        <v/>
      </c>
      <c r="U719" s="112">
        <f>IF(N719&lt;=$B$613,T719*$B$615/12,0)</f>
        <v/>
      </c>
      <c r="V719" s="315">
        <f>P719</f>
        <v/>
      </c>
      <c r="W719" s="314" t="n"/>
      <c r="X719" s="315">
        <f>P719</f>
        <v/>
      </c>
      <c r="Y719" s="316">
        <f>S719/$B$612*100</f>
        <v/>
      </c>
      <c r="Z719" s="46" t="n"/>
      <c r="AA719" s="313">
        <f>+V719-I719</f>
        <v/>
      </c>
      <c r="AB719" s="46" t="n"/>
      <c r="AC719" s="46" t="n"/>
      <c r="AD719" s="46" t="n"/>
      <c r="AE719" s="46" t="n"/>
    </row>
    <row r="720">
      <c r="A720" s="73" t="n">
        <v>89</v>
      </c>
      <c r="B720" s="289">
        <f>+F719</f>
        <v/>
      </c>
      <c r="C720" s="287">
        <f>(IF(A720&lt;$B$613,PMT($B$614/12,$B$613,-$B$612,$B$617,$B$620),IF(A720=$B$613,PMT($B$614/12,$B$613,-$B$612,$B$617,$B$620)+$B$617,0)))</f>
        <v/>
      </c>
      <c r="D720" s="289">
        <f>IF(A720&lt;=$B$613,B720*$B$614/12,0)</f>
        <v/>
      </c>
      <c r="E720" s="289">
        <f>C720-D720</f>
        <v/>
      </c>
      <c r="F720" s="314">
        <f>(B720-E720)</f>
        <v/>
      </c>
      <c r="G720" s="112">
        <f>B720*(1-B$621)^($A720)</f>
        <v/>
      </c>
      <c r="H720" s="112">
        <f>IF(A720&lt;=$B$613,G720*$B$614/12,0)</f>
        <v/>
      </c>
      <c r="I720" s="315">
        <f>C720</f>
        <v/>
      </c>
      <c r="J720" s="314" t="n"/>
      <c r="K720" s="315">
        <f>C720</f>
        <v/>
      </c>
      <c r="L720" s="316">
        <f>F720/$B$612*100</f>
        <v/>
      </c>
      <c r="M720" s="317" t="n"/>
      <c r="N720" s="73" t="n">
        <v>89</v>
      </c>
      <c r="O720" s="289">
        <f>+S719</f>
        <v/>
      </c>
      <c r="P720" s="287">
        <f>(IF(N720&lt;$B$613,PMT($B$615/12,$B$613,-$B$612,$B$617,0),IF(N720=$B$613,PMT($B$615/12,$B$613,-$B$612,$B$617,0)+$B$617,0)))</f>
        <v/>
      </c>
      <c r="Q720" s="289">
        <f>IF(N720&lt;=$B$613,O720*$B$615/12,0)</f>
        <v/>
      </c>
      <c r="R720" s="289">
        <f>P720-Q720</f>
        <v/>
      </c>
      <c r="S720" s="314">
        <f>(O720-R720)</f>
        <v/>
      </c>
      <c r="T720" s="112">
        <f>O720*(1-B$621)^($N720)</f>
        <v/>
      </c>
      <c r="U720" s="112">
        <f>IF(N720&lt;=$B$613,T720*$B$615/12,0)</f>
        <v/>
      </c>
      <c r="V720" s="315">
        <f>P720</f>
        <v/>
      </c>
      <c r="W720" s="314" t="n"/>
      <c r="X720" s="315">
        <f>P720</f>
        <v/>
      </c>
      <c r="Y720" s="316">
        <f>S720/$B$612*100</f>
        <v/>
      </c>
      <c r="Z720" s="46" t="n"/>
      <c r="AA720" s="313">
        <f>+V720-I720</f>
        <v/>
      </c>
      <c r="AB720" s="46" t="n"/>
      <c r="AC720" s="46" t="n"/>
      <c r="AD720" s="46" t="n"/>
      <c r="AE720" s="46" t="n"/>
    </row>
    <row r="721">
      <c r="A721" s="73" t="n">
        <v>90</v>
      </c>
      <c r="B721" s="289">
        <f>+F720</f>
        <v/>
      </c>
      <c r="C721" s="287">
        <f>(IF(A721&lt;$B$613,PMT($B$614/12,$B$613,-$B$612,$B$617,$B$620),IF(A721=$B$613,PMT($B$614/12,$B$613,-$B$612,$B$617,$B$620)+$B$617,0)))</f>
        <v/>
      </c>
      <c r="D721" s="289">
        <f>IF(A721&lt;=$B$613,B721*$B$614/12,0)</f>
        <v/>
      </c>
      <c r="E721" s="289">
        <f>C721-D721</f>
        <v/>
      </c>
      <c r="F721" s="314">
        <f>(B721-E721)</f>
        <v/>
      </c>
      <c r="G721" s="112">
        <f>B721*(1-B$621)^($A721)</f>
        <v/>
      </c>
      <c r="H721" s="112">
        <f>IF(A721&lt;=$B$613,G721*$B$614/12,0)</f>
        <v/>
      </c>
      <c r="I721" s="315">
        <f>C721</f>
        <v/>
      </c>
      <c r="J721" s="314" t="n"/>
      <c r="K721" s="315">
        <f>C721</f>
        <v/>
      </c>
      <c r="L721" s="316">
        <f>F721/$B$612*100</f>
        <v/>
      </c>
      <c r="M721" s="317" t="n"/>
      <c r="N721" s="73" t="n">
        <v>90</v>
      </c>
      <c r="O721" s="289">
        <f>+S720</f>
        <v/>
      </c>
      <c r="P721" s="287">
        <f>(IF(N721&lt;$B$613,PMT($B$615/12,$B$613,-$B$612,$B$617,0),IF(N721=$B$613,PMT($B$615/12,$B$613,-$B$612,$B$617,0)+$B$617,0)))</f>
        <v/>
      </c>
      <c r="Q721" s="289">
        <f>IF(N721&lt;=$B$613,O721*$B$615/12,0)</f>
        <v/>
      </c>
      <c r="R721" s="289">
        <f>P721-Q721</f>
        <v/>
      </c>
      <c r="S721" s="314">
        <f>(O721-R721)</f>
        <v/>
      </c>
      <c r="T721" s="112">
        <f>O721*(1-B$621)^($N721)</f>
        <v/>
      </c>
      <c r="U721" s="112">
        <f>IF(N721&lt;=$B$613,T721*$B$615/12,0)</f>
        <v/>
      </c>
      <c r="V721" s="315">
        <f>P721</f>
        <v/>
      </c>
      <c r="W721" s="314" t="n"/>
      <c r="X721" s="315">
        <f>P721</f>
        <v/>
      </c>
      <c r="Y721" s="316">
        <f>S721/$B$612*100</f>
        <v/>
      </c>
      <c r="Z721" s="46" t="n"/>
      <c r="AA721" s="313">
        <f>+V721-I721</f>
        <v/>
      </c>
      <c r="AB721" s="46" t="n"/>
      <c r="AC721" s="46" t="n"/>
      <c r="AD721" s="46" t="n"/>
      <c r="AE721" s="46" t="n"/>
    </row>
    <row r="722">
      <c r="A722" s="73" t="n">
        <v>91</v>
      </c>
      <c r="B722" s="289">
        <f>+F721</f>
        <v/>
      </c>
      <c r="C722" s="287">
        <f>(IF(A722&lt;$B$613,PMT($B$614/12,$B$613,-$B$612,$B$617,$B$620),IF(A722=$B$613,PMT($B$614/12,$B$613,-$B$612,$B$617,$B$620)+$B$617,0)))</f>
        <v/>
      </c>
      <c r="D722" s="289">
        <f>IF(A722&lt;=$B$613,B722*$B$614/12,0)</f>
        <v/>
      </c>
      <c r="E722" s="289">
        <f>C722-D722</f>
        <v/>
      </c>
      <c r="F722" s="314">
        <f>(B722-E722)</f>
        <v/>
      </c>
      <c r="G722" s="112">
        <f>B722*(1-B$621)^($A722)</f>
        <v/>
      </c>
      <c r="H722" s="112">
        <f>IF(A722&lt;=$B$613,G722*$B$614/12,0)</f>
        <v/>
      </c>
      <c r="I722" s="315">
        <f>C722</f>
        <v/>
      </c>
      <c r="J722" s="314" t="n"/>
      <c r="K722" s="315">
        <f>C722</f>
        <v/>
      </c>
      <c r="L722" s="316">
        <f>F722/$B$612*100</f>
        <v/>
      </c>
      <c r="M722" s="317" t="n"/>
      <c r="N722" s="73" t="n">
        <v>91</v>
      </c>
      <c r="O722" s="289">
        <f>+S721</f>
        <v/>
      </c>
      <c r="P722" s="287">
        <f>(IF(N722&lt;$B$613,PMT($B$615/12,$B$613,-$B$612,$B$617,0),IF(N722=$B$613,PMT($B$615/12,$B$613,-$B$612,$B$617,0)+$B$617,0)))</f>
        <v/>
      </c>
      <c r="Q722" s="289">
        <f>IF(N722&lt;=$B$613,O722*$B$615/12,0)</f>
        <v/>
      </c>
      <c r="R722" s="289">
        <f>P722-Q722</f>
        <v/>
      </c>
      <c r="S722" s="314">
        <f>(O722-R722)</f>
        <v/>
      </c>
      <c r="T722" s="112">
        <f>O722*(1-B$621)^($N722)</f>
        <v/>
      </c>
      <c r="U722" s="112">
        <f>IF(N722&lt;=$B$613,T722*$B$615/12,0)</f>
        <v/>
      </c>
      <c r="V722" s="315">
        <f>P722</f>
        <v/>
      </c>
      <c r="W722" s="314" t="n"/>
      <c r="X722" s="315">
        <f>P722</f>
        <v/>
      </c>
      <c r="Y722" s="316">
        <f>S722/$B$612*100</f>
        <v/>
      </c>
      <c r="Z722" s="46" t="n"/>
      <c r="AA722" s="313">
        <f>+V722-I722</f>
        <v/>
      </c>
      <c r="AB722" s="46" t="n"/>
      <c r="AC722" s="46" t="n"/>
      <c r="AD722" s="46" t="n"/>
      <c r="AE722" s="46" t="n"/>
    </row>
    <row r="723">
      <c r="A723" s="73" t="n">
        <v>92</v>
      </c>
      <c r="B723" s="289">
        <f>+F722</f>
        <v/>
      </c>
      <c r="C723" s="287">
        <f>(IF(A723&lt;$B$613,PMT($B$614/12,$B$613,-$B$612,$B$617,$B$620),IF(A723=$B$613,PMT($B$614/12,$B$613,-$B$612,$B$617,$B$620)+$B$617,0)))</f>
        <v/>
      </c>
      <c r="D723" s="289">
        <f>IF(A723&lt;=$B$613,B723*$B$614/12,0)</f>
        <v/>
      </c>
      <c r="E723" s="289">
        <f>C723-D723</f>
        <v/>
      </c>
      <c r="F723" s="314">
        <f>(B723-E723)</f>
        <v/>
      </c>
      <c r="G723" s="112">
        <f>B723*(1-B$621)^($A723)</f>
        <v/>
      </c>
      <c r="H723" s="112">
        <f>IF(A723&lt;=$B$613,G723*$B$614/12,0)</f>
        <v/>
      </c>
      <c r="I723" s="315">
        <f>C723</f>
        <v/>
      </c>
      <c r="J723" s="314" t="n"/>
      <c r="K723" s="315">
        <f>C723</f>
        <v/>
      </c>
      <c r="L723" s="316">
        <f>F723/$B$612*100</f>
        <v/>
      </c>
      <c r="M723" s="317" t="n"/>
      <c r="N723" s="73" t="n">
        <v>92</v>
      </c>
      <c r="O723" s="289">
        <f>+S722</f>
        <v/>
      </c>
      <c r="P723" s="287">
        <f>(IF(N723&lt;$B$613,PMT($B$615/12,$B$613,-$B$612,$B$617,0),IF(N723=$B$613,PMT($B$615/12,$B$613,-$B$612,$B$617,0)+$B$617,0)))</f>
        <v/>
      </c>
      <c r="Q723" s="289">
        <f>IF(N723&lt;=$B$613,O723*$B$615/12,0)</f>
        <v/>
      </c>
      <c r="R723" s="289">
        <f>P723-Q723</f>
        <v/>
      </c>
      <c r="S723" s="314">
        <f>(O723-R723)</f>
        <v/>
      </c>
      <c r="T723" s="112">
        <f>O723*(1-B$621)^($N723)</f>
        <v/>
      </c>
      <c r="U723" s="112">
        <f>IF(N723&lt;=$B$613,T723*$B$615/12,0)</f>
        <v/>
      </c>
      <c r="V723" s="315">
        <f>P723</f>
        <v/>
      </c>
      <c r="W723" s="314" t="n"/>
      <c r="X723" s="315">
        <f>P723</f>
        <v/>
      </c>
      <c r="Y723" s="316">
        <f>S723/$B$612*100</f>
        <v/>
      </c>
      <c r="Z723" s="46" t="n"/>
      <c r="AA723" s="313">
        <f>+V723-I723</f>
        <v/>
      </c>
      <c r="AB723" s="46" t="n"/>
      <c r="AC723" s="46" t="n"/>
      <c r="AD723" s="46" t="n"/>
      <c r="AE723" s="46" t="n"/>
    </row>
    <row r="724">
      <c r="A724" s="73" t="n">
        <v>93</v>
      </c>
      <c r="B724" s="289">
        <f>+F723</f>
        <v/>
      </c>
      <c r="C724" s="287">
        <f>(IF(A724&lt;$B$613,PMT($B$614/12,$B$613,-$B$612,$B$617,$B$620),IF(A724=$B$613,PMT($B$614/12,$B$613,-$B$612,$B$617,$B$620)+$B$617,0)))</f>
        <v/>
      </c>
      <c r="D724" s="289">
        <f>IF(A724&lt;=$B$613,B724*$B$614/12,0)</f>
        <v/>
      </c>
      <c r="E724" s="289">
        <f>C724-D724</f>
        <v/>
      </c>
      <c r="F724" s="314">
        <f>(B724-E724)</f>
        <v/>
      </c>
      <c r="G724" s="112">
        <f>B724*(1-B$621)^($A724)</f>
        <v/>
      </c>
      <c r="H724" s="112">
        <f>IF(A724&lt;=$B$613,G724*$B$614/12,0)</f>
        <v/>
      </c>
      <c r="I724" s="315">
        <f>C724</f>
        <v/>
      </c>
      <c r="J724" s="314" t="n"/>
      <c r="K724" s="315">
        <f>C724</f>
        <v/>
      </c>
      <c r="L724" s="316">
        <f>F724/$B$612*100</f>
        <v/>
      </c>
      <c r="M724" s="317" t="n"/>
      <c r="N724" s="73" t="n">
        <v>93</v>
      </c>
      <c r="O724" s="289">
        <f>+S723</f>
        <v/>
      </c>
      <c r="P724" s="287">
        <f>(IF(N724&lt;$B$613,PMT($B$615/12,$B$613,-$B$612,$B$617,0),IF(N724=$B$613,PMT($B$615/12,$B$613,-$B$612,$B$617,0)+$B$617,0)))</f>
        <v/>
      </c>
      <c r="Q724" s="289">
        <f>IF(N724&lt;=$B$613,O724*$B$615/12,0)</f>
        <v/>
      </c>
      <c r="R724" s="289">
        <f>P724-Q724</f>
        <v/>
      </c>
      <c r="S724" s="314">
        <f>(O724-R724)</f>
        <v/>
      </c>
      <c r="T724" s="112">
        <f>O724*(1-B$621)^($N724)</f>
        <v/>
      </c>
      <c r="U724" s="112">
        <f>IF(N724&lt;=$B$613,T724*$B$615/12,0)</f>
        <v/>
      </c>
      <c r="V724" s="315">
        <f>P724</f>
        <v/>
      </c>
      <c r="W724" s="314" t="n"/>
      <c r="X724" s="315">
        <f>P724</f>
        <v/>
      </c>
      <c r="Y724" s="316">
        <f>S724/$B$612*100</f>
        <v/>
      </c>
      <c r="Z724" s="46" t="n"/>
      <c r="AA724" s="313">
        <f>+V724-I724</f>
        <v/>
      </c>
      <c r="AB724" s="46" t="n"/>
      <c r="AC724" s="46" t="n"/>
      <c r="AD724" s="46" t="n"/>
      <c r="AE724" s="46" t="n"/>
    </row>
    <row r="725">
      <c r="A725" s="73" t="n">
        <v>94</v>
      </c>
      <c r="B725" s="289">
        <f>+F724</f>
        <v/>
      </c>
      <c r="C725" s="287">
        <f>(IF(A725&lt;$B$613,PMT($B$614/12,$B$613,-$B$612,$B$617,$B$620),IF(A725=$B$613,PMT($B$614/12,$B$613,-$B$612,$B$617,$B$620)+$B$617,0)))</f>
        <v/>
      </c>
      <c r="D725" s="289">
        <f>IF(A725&lt;=$B$613,B725*$B$614/12,0)</f>
        <v/>
      </c>
      <c r="E725" s="289">
        <f>C725-D725</f>
        <v/>
      </c>
      <c r="F725" s="314">
        <f>(B725-E725)</f>
        <v/>
      </c>
      <c r="G725" s="112">
        <f>B725*(1-B$621)^($A725)</f>
        <v/>
      </c>
      <c r="H725" s="112">
        <f>IF(A725&lt;=$B$613,G725*$B$614/12,0)</f>
        <v/>
      </c>
      <c r="I725" s="315">
        <f>C725</f>
        <v/>
      </c>
      <c r="J725" s="314" t="n"/>
      <c r="K725" s="315">
        <f>C725</f>
        <v/>
      </c>
      <c r="L725" s="316">
        <f>F725/$B$612*100</f>
        <v/>
      </c>
      <c r="M725" s="317" t="n"/>
      <c r="N725" s="73" t="n">
        <v>94</v>
      </c>
      <c r="O725" s="289">
        <f>+S724</f>
        <v/>
      </c>
      <c r="P725" s="287">
        <f>(IF(N725&lt;$B$613,PMT($B$615/12,$B$613,-$B$612,$B$617,0),IF(N725=$B$613,PMT($B$615/12,$B$613,-$B$612,$B$617,0)+$B$617,0)))</f>
        <v/>
      </c>
      <c r="Q725" s="289">
        <f>IF(N725&lt;=$B$613,O725*$B$615/12,0)</f>
        <v/>
      </c>
      <c r="R725" s="289">
        <f>P725-Q725</f>
        <v/>
      </c>
      <c r="S725" s="314">
        <f>(O725-R725)</f>
        <v/>
      </c>
      <c r="T725" s="112">
        <f>O725*(1-B$621)^($N725)</f>
        <v/>
      </c>
      <c r="U725" s="112">
        <f>IF(N725&lt;=$B$613,T725*$B$615/12,0)</f>
        <v/>
      </c>
      <c r="V725" s="315">
        <f>P725</f>
        <v/>
      </c>
      <c r="W725" s="314" t="n"/>
      <c r="X725" s="315">
        <f>P725</f>
        <v/>
      </c>
      <c r="Y725" s="316">
        <f>S725/$B$612*100</f>
        <v/>
      </c>
      <c r="Z725" s="46" t="n"/>
      <c r="AA725" s="313">
        <f>+V725-I725</f>
        <v/>
      </c>
      <c r="AB725" s="46" t="n"/>
      <c r="AC725" s="46" t="n"/>
      <c r="AD725" s="46" t="n"/>
      <c r="AE725" s="46" t="n"/>
    </row>
    <row r="726">
      <c r="A726" s="73" t="n">
        <v>95</v>
      </c>
      <c r="B726" s="289">
        <f>+F725</f>
        <v/>
      </c>
      <c r="C726" s="287">
        <f>(IF(A726&lt;$B$613,PMT($B$614/12,$B$613,-$B$612,$B$617,$B$620),IF(A726=$B$613,PMT($B$614/12,$B$613,-$B$612,$B$617,$B$620)+$B$617,0)))</f>
        <v/>
      </c>
      <c r="D726" s="289">
        <f>IF(A726&lt;=$B$613,B726*$B$614/12,0)</f>
        <v/>
      </c>
      <c r="E726" s="289">
        <f>C726-D726</f>
        <v/>
      </c>
      <c r="F726" s="314">
        <f>(B726-E726)</f>
        <v/>
      </c>
      <c r="G726" s="112">
        <f>B726*(1-B$621)^($A726)</f>
        <v/>
      </c>
      <c r="H726" s="112">
        <f>IF(A726&lt;=$B$613,G726*$B$614/12,0)</f>
        <v/>
      </c>
      <c r="I726" s="315">
        <f>C726</f>
        <v/>
      </c>
      <c r="J726" s="314" t="n"/>
      <c r="K726" s="315">
        <f>C726</f>
        <v/>
      </c>
      <c r="L726" s="316">
        <f>F726/$B$612*100</f>
        <v/>
      </c>
      <c r="M726" s="317" t="n"/>
      <c r="N726" s="73" t="n">
        <v>95</v>
      </c>
      <c r="O726" s="289">
        <f>+S725</f>
        <v/>
      </c>
      <c r="P726" s="287">
        <f>(IF(N726&lt;$B$613,PMT($B$615/12,$B$613,-$B$612,$B$617,0),IF(N726=$B$613,PMT($B$615/12,$B$613,-$B$612,$B$617,0)+$B$617,0)))</f>
        <v/>
      </c>
      <c r="Q726" s="289">
        <f>IF(N726&lt;=$B$613,O726*$B$615/12,0)</f>
        <v/>
      </c>
      <c r="R726" s="289">
        <f>P726-Q726</f>
        <v/>
      </c>
      <c r="S726" s="314">
        <f>(O726-R726)</f>
        <v/>
      </c>
      <c r="T726" s="112">
        <f>O726*(1-B$621)^($N726)</f>
        <v/>
      </c>
      <c r="U726" s="112">
        <f>IF(N726&lt;=$B$613,T726*$B$615/12,0)</f>
        <v/>
      </c>
      <c r="V726" s="315">
        <f>P726</f>
        <v/>
      </c>
      <c r="W726" s="314" t="n"/>
      <c r="X726" s="315">
        <f>P726</f>
        <v/>
      </c>
      <c r="Y726" s="316">
        <f>S726/$B$612*100</f>
        <v/>
      </c>
      <c r="Z726" s="46" t="n"/>
      <c r="AA726" s="313">
        <f>+V726-I726</f>
        <v/>
      </c>
      <c r="AB726" s="46" t="n"/>
      <c r="AC726" s="46" t="n"/>
      <c r="AD726" s="46" t="n"/>
      <c r="AE726" s="46" t="n"/>
    </row>
    <row r="727">
      <c r="A727" s="73" t="n">
        <v>96</v>
      </c>
      <c r="B727" s="289">
        <f>+F726</f>
        <v/>
      </c>
      <c r="C727" s="287">
        <f>(IF(A727&lt;$B$613,PMT($B$614/12,$B$613,-$B$612,$B$617,$B$620),IF(A727=$B$613,PMT($B$614/12,$B$613,-$B$612,$B$617,$B$620)+$B$617,0)))</f>
        <v/>
      </c>
      <c r="D727" s="289">
        <f>IF(A727&lt;=$B$613,B727*$B$614/12,0)</f>
        <v/>
      </c>
      <c r="E727" s="289">
        <f>C727-D727</f>
        <v/>
      </c>
      <c r="F727" s="314">
        <f>(B727-E727)</f>
        <v/>
      </c>
      <c r="G727" s="112">
        <f>B727*(1-B$621)^($A727)</f>
        <v/>
      </c>
      <c r="H727" s="112">
        <f>IF(A727&lt;=$B$613,G727*$B$614/12,0)</f>
        <v/>
      </c>
      <c r="I727" s="315">
        <f>C727</f>
        <v/>
      </c>
      <c r="J727" s="314" t="n"/>
      <c r="K727" s="315">
        <f>C727</f>
        <v/>
      </c>
      <c r="L727" s="316">
        <f>F727/$B$612*100</f>
        <v/>
      </c>
      <c r="M727" s="317" t="n"/>
      <c r="N727" s="73" t="n">
        <v>96</v>
      </c>
      <c r="O727" s="289">
        <f>+S726</f>
        <v/>
      </c>
      <c r="P727" s="287">
        <f>(IF(N727&lt;$B$613,PMT($B$615/12,$B$613,-$B$612,$B$617,0),IF(N727=$B$613,PMT($B$615/12,$B$613,-$B$612,$B$617,0)+$B$617,0)))</f>
        <v/>
      </c>
      <c r="Q727" s="289">
        <f>IF(N727&lt;=$B$613,O727*$B$615/12,0)</f>
        <v/>
      </c>
      <c r="R727" s="289">
        <f>P727-Q727</f>
        <v/>
      </c>
      <c r="S727" s="314">
        <f>(O727-R727)</f>
        <v/>
      </c>
      <c r="T727" s="112">
        <f>O727*(1-B$621)^($N727)</f>
        <v/>
      </c>
      <c r="U727" s="112">
        <f>IF(N727&lt;=$B$613,T727*$B$615/12,0)</f>
        <v/>
      </c>
      <c r="V727" s="315">
        <f>P727</f>
        <v/>
      </c>
      <c r="W727" s="314" t="n"/>
      <c r="X727" s="315">
        <f>P727</f>
        <v/>
      </c>
      <c r="Y727" s="316">
        <f>S727/$B$612*100</f>
        <v/>
      </c>
      <c r="Z727" s="46" t="n"/>
      <c r="AA727" s="313">
        <f>+V727-I727</f>
        <v/>
      </c>
      <c r="AB727" s="46" t="n"/>
      <c r="AC727" s="46" t="n"/>
      <c r="AD727" s="46" t="n"/>
      <c r="AE727" s="46" t="n"/>
    </row>
    <row r="728">
      <c r="A728" s="73" t="n">
        <v>97</v>
      </c>
      <c r="B728" s="289">
        <f>+F727</f>
        <v/>
      </c>
      <c r="C728" s="287">
        <f>(IF(A728&lt;$B$613,PMT($B$614/12,$B$613,-$B$612,$B$617,$B$620),IF(A728=$B$613,PMT($B$614/12,$B$613,-$B$612,$B$617,$B$620)+$B$617,0)))</f>
        <v/>
      </c>
      <c r="D728" s="289">
        <f>IF(A728&lt;=$B$613,B728*$B$614/12,0)</f>
        <v/>
      </c>
      <c r="E728" s="289">
        <f>C728-D728</f>
        <v/>
      </c>
      <c r="F728" s="314">
        <f>(B728-E728)</f>
        <v/>
      </c>
      <c r="G728" s="112">
        <f>B728*(1-B$621)^($A728)</f>
        <v/>
      </c>
      <c r="H728" s="112">
        <f>IF(A728&lt;=$B$613,G728*$B$614/12,0)</f>
        <v/>
      </c>
      <c r="I728" s="315">
        <f>C728</f>
        <v/>
      </c>
      <c r="J728" s="314" t="n"/>
      <c r="K728" s="315">
        <f>C728</f>
        <v/>
      </c>
      <c r="L728" s="316">
        <f>F728/$B$612*100</f>
        <v/>
      </c>
      <c r="M728" s="317" t="n"/>
      <c r="N728" s="73" t="n">
        <v>97</v>
      </c>
      <c r="O728" s="289">
        <f>+S727</f>
        <v/>
      </c>
      <c r="P728" s="287">
        <f>(IF(N728&lt;$B$613,PMT($B$615/12,$B$613,-$B$612,$B$617,0),IF(N728=$B$613,PMT($B$615/12,$B$613,-$B$612,$B$617,0)+$B$617,0)))</f>
        <v/>
      </c>
      <c r="Q728" s="289">
        <f>IF(N728&lt;=$B$613,O728*$B$615/12,0)</f>
        <v/>
      </c>
      <c r="R728" s="289">
        <f>P728-Q728</f>
        <v/>
      </c>
      <c r="S728" s="314">
        <f>(O728-R728)</f>
        <v/>
      </c>
      <c r="T728" s="112">
        <f>O728*(1-B$621)^($N728)</f>
        <v/>
      </c>
      <c r="U728" s="112">
        <f>IF(N728&lt;=$B$613,T728*$B$615/12,0)</f>
        <v/>
      </c>
      <c r="V728" s="315">
        <f>P728</f>
        <v/>
      </c>
      <c r="W728" s="314" t="n"/>
      <c r="X728" s="315">
        <f>P728</f>
        <v/>
      </c>
      <c r="Y728" s="316">
        <f>S728/$B$612*100</f>
        <v/>
      </c>
      <c r="Z728" s="46" t="n"/>
      <c r="AA728" s="313">
        <f>+V728-I728</f>
        <v/>
      </c>
      <c r="AB728" s="46" t="n"/>
      <c r="AC728" s="46" t="n"/>
      <c r="AD728" s="46" t="n"/>
      <c r="AE728" s="46" t="n"/>
    </row>
    <row r="729">
      <c r="A729" s="73" t="n">
        <v>98</v>
      </c>
      <c r="B729" s="289">
        <f>+F728</f>
        <v/>
      </c>
      <c r="C729" s="287">
        <f>(IF(A729&lt;$B$613,PMT($B$614/12,$B$613,-$B$612,$B$617,$B$620),IF(A729=$B$613,PMT($B$614/12,$B$613,-$B$612,$B$617,$B$620)+$B$617,0)))</f>
        <v/>
      </c>
      <c r="D729" s="289">
        <f>IF(A729&lt;=$B$613,B729*$B$614/12,0)</f>
        <v/>
      </c>
      <c r="E729" s="289">
        <f>C729-D729</f>
        <v/>
      </c>
      <c r="F729" s="314">
        <f>(B729-E729)</f>
        <v/>
      </c>
      <c r="G729" s="112">
        <f>B729*(1-B$621)^($A729)</f>
        <v/>
      </c>
      <c r="H729" s="112">
        <f>IF(A729&lt;=$B$613,G729*$B$614/12,0)</f>
        <v/>
      </c>
      <c r="I729" s="315">
        <f>C729</f>
        <v/>
      </c>
      <c r="J729" s="314" t="n"/>
      <c r="K729" s="315">
        <f>C729</f>
        <v/>
      </c>
      <c r="L729" s="316">
        <f>F729/$B$612*100</f>
        <v/>
      </c>
      <c r="M729" s="317" t="n"/>
      <c r="N729" s="73" t="n">
        <v>98</v>
      </c>
      <c r="O729" s="289">
        <f>+S728</f>
        <v/>
      </c>
      <c r="P729" s="287">
        <f>(IF(N729&lt;$B$613,PMT($B$615/12,$B$613,-$B$612,$B$617,0),IF(N729=$B$613,PMT($B$615/12,$B$613,-$B$612,$B$617,0)+$B$617,0)))</f>
        <v/>
      </c>
      <c r="Q729" s="289">
        <f>IF(N729&lt;=$B$613,O729*$B$615/12,0)</f>
        <v/>
      </c>
      <c r="R729" s="289">
        <f>P729-Q729</f>
        <v/>
      </c>
      <c r="S729" s="314">
        <f>(O729-R729)</f>
        <v/>
      </c>
      <c r="T729" s="112">
        <f>O729*(1-B$621)^($N729)</f>
        <v/>
      </c>
      <c r="U729" s="112">
        <f>IF(N729&lt;=$B$613,T729*$B$615/12,0)</f>
        <v/>
      </c>
      <c r="V729" s="315">
        <f>P729</f>
        <v/>
      </c>
      <c r="W729" s="314" t="n"/>
      <c r="X729" s="315">
        <f>P729</f>
        <v/>
      </c>
      <c r="Y729" s="316">
        <f>S729/$B$612*100</f>
        <v/>
      </c>
      <c r="Z729" s="46" t="n"/>
      <c r="AA729" s="313">
        <f>+V729-I729</f>
        <v/>
      </c>
      <c r="AB729" s="46" t="n"/>
      <c r="AC729" s="46" t="n"/>
      <c r="AD729" s="46" t="n"/>
      <c r="AE729" s="46" t="n"/>
    </row>
    <row r="730">
      <c r="A730" s="73" t="n">
        <v>99</v>
      </c>
      <c r="B730" s="289">
        <f>+F729</f>
        <v/>
      </c>
      <c r="C730" s="287">
        <f>(IF(A730&lt;$B$613,PMT($B$614/12,$B$613,-$B$612,$B$617,$B$620),IF(A730=$B$613,PMT($B$614/12,$B$613,-$B$612,$B$617,$B$620)+$B$617,0)))</f>
        <v/>
      </c>
      <c r="D730" s="289">
        <f>IF(A730&lt;=$B$613,B730*$B$614/12,0)</f>
        <v/>
      </c>
      <c r="E730" s="289">
        <f>C730-D730</f>
        <v/>
      </c>
      <c r="F730" s="314">
        <f>(B730-E730)</f>
        <v/>
      </c>
      <c r="G730" s="112">
        <f>B730*(1-B$621)^($A730)</f>
        <v/>
      </c>
      <c r="H730" s="112">
        <f>IF(A730&lt;=$B$613,G730*$B$614/12,0)</f>
        <v/>
      </c>
      <c r="I730" s="315">
        <f>C730</f>
        <v/>
      </c>
      <c r="J730" s="314" t="n"/>
      <c r="K730" s="315">
        <f>C730</f>
        <v/>
      </c>
      <c r="L730" s="316">
        <f>F730/$B$612*100</f>
        <v/>
      </c>
      <c r="M730" s="317" t="n"/>
      <c r="N730" s="73" t="n">
        <v>99</v>
      </c>
      <c r="O730" s="289">
        <f>+S729</f>
        <v/>
      </c>
      <c r="P730" s="287">
        <f>(IF(N730&lt;$B$613,PMT($B$615/12,$B$613,-$B$612,$B$617,0),IF(N730=$B$613,PMT($B$615/12,$B$613,-$B$612,$B$617,0)+$B$617,0)))</f>
        <v/>
      </c>
      <c r="Q730" s="289">
        <f>IF(N730&lt;=$B$613,O730*$B$615/12,0)</f>
        <v/>
      </c>
      <c r="R730" s="289">
        <f>P730-Q730</f>
        <v/>
      </c>
      <c r="S730" s="314">
        <f>(O730-R730)</f>
        <v/>
      </c>
      <c r="T730" s="112">
        <f>O730*(1-B$621)^($N730)</f>
        <v/>
      </c>
      <c r="U730" s="112">
        <f>IF(N730&lt;=$B$613,T730*$B$615/12,0)</f>
        <v/>
      </c>
      <c r="V730" s="315">
        <f>P730</f>
        <v/>
      </c>
      <c r="W730" s="314" t="n"/>
      <c r="X730" s="315">
        <f>P730</f>
        <v/>
      </c>
      <c r="Y730" s="316">
        <f>S730/$B$612*100</f>
        <v/>
      </c>
      <c r="Z730" s="46" t="n"/>
      <c r="AA730" s="313">
        <f>+V730-I730</f>
        <v/>
      </c>
      <c r="AB730" s="46" t="n"/>
      <c r="AC730" s="46" t="n"/>
      <c r="AD730" s="46" t="n"/>
      <c r="AE730" s="46" t="n"/>
    </row>
    <row r="731">
      <c r="A731" s="73" t="n">
        <v>100</v>
      </c>
      <c r="B731" s="289">
        <f>+F730</f>
        <v/>
      </c>
      <c r="C731" s="287">
        <f>(IF(A731&lt;$B$613,PMT($B$614/12,$B$613,-$B$612,$B$617,$B$620),IF(A731=$B$613,PMT($B$614/12,$B$613,-$B$612,$B$617,$B$620)+$B$617,0)))</f>
        <v/>
      </c>
      <c r="D731" s="289">
        <f>IF(A731&lt;=$B$613,B731*$B$614/12,0)</f>
        <v/>
      </c>
      <c r="E731" s="289">
        <f>C731-D731</f>
        <v/>
      </c>
      <c r="F731" s="314">
        <f>(B731-E731)</f>
        <v/>
      </c>
      <c r="G731" s="112">
        <f>B731*(1-B$621)^($A731)</f>
        <v/>
      </c>
      <c r="H731" s="112">
        <f>IF(A731&lt;=$B$613,G731*$B$614/12,0)</f>
        <v/>
      </c>
      <c r="I731" s="315">
        <f>C731</f>
        <v/>
      </c>
      <c r="J731" s="314" t="n"/>
      <c r="K731" s="315">
        <f>C731</f>
        <v/>
      </c>
      <c r="L731" s="316">
        <f>F731/$B$612*100</f>
        <v/>
      </c>
      <c r="M731" s="317" t="n"/>
      <c r="N731" s="73" t="n">
        <v>100</v>
      </c>
      <c r="O731" s="289">
        <f>+S730</f>
        <v/>
      </c>
      <c r="P731" s="287">
        <f>(IF(N731&lt;$B$613,PMT($B$615/12,$B$613,-$B$612,$B$617,0),IF(N731=$B$613,PMT($B$615/12,$B$613,-$B$612,$B$617,0)+$B$617,0)))</f>
        <v/>
      </c>
      <c r="Q731" s="289">
        <f>IF(N731&lt;=$B$613,O731*$B$615/12,0)</f>
        <v/>
      </c>
      <c r="R731" s="289">
        <f>P731-Q731</f>
        <v/>
      </c>
      <c r="S731" s="314">
        <f>(O731-R731)</f>
        <v/>
      </c>
      <c r="T731" s="112">
        <f>O731*(1-B$621)^($N731)</f>
        <v/>
      </c>
      <c r="U731" s="112">
        <f>IF(N731&lt;=$B$613,T731*$B$615/12,0)</f>
        <v/>
      </c>
      <c r="V731" s="315">
        <f>P731</f>
        <v/>
      </c>
      <c r="W731" s="314" t="n"/>
      <c r="X731" s="315">
        <f>P731</f>
        <v/>
      </c>
      <c r="Y731" s="316">
        <f>S731/$B$612*100</f>
        <v/>
      </c>
      <c r="Z731" s="46" t="n"/>
      <c r="AA731" s="313">
        <f>+V731-I731</f>
        <v/>
      </c>
      <c r="AB731" s="46" t="n"/>
      <c r="AC731" s="46" t="n"/>
      <c r="AD731" s="46" t="n"/>
      <c r="AE731" s="46" t="n"/>
    </row>
    <row r="732">
      <c r="A732" s="73" t="n">
        <v>101</v>
      </c>
      <c r="B732" s="289">
        <f>+F731</f>
        <v/>
      </c>
      <c r="C732" s="287">
        <f>(IF(A732&lt;$B$613,PMT($B$614/12,$B$613,-$B$612,$B$617,$B$620),IF(A732=$B$613,PMT($B$614/12,$B$613,-$B$612,$B$617,$B$620)+$B$617,0)))</f>
        <v/>
      </c>
      <c r="D732" s="289">
        <f>IF(A732&lt;=$B$613,B732*$B$614/12,0)</f>
        <v/>
      </c>
      <c r="E732" s="289">
        <f>C732-D732</f>
        <v/>
      </c>
      <c r="F732" s="314">
        <f>(B732-E732)</f>
        <v/>
      </c>
      <c r="G732" s="112">
        <f>B732*(1-B$621)^($A732)</f>
        <v/>
      </c>
      <c r="H732" s="112">
        <f>IF(A732&lt;=$B$613,G732*$B$614/12,0)</f>
        <v/>
      </c>
      <c r="I732" s="315">
        <f>C732</f>
        <v/>
      </c>
      <c r="J732" s="314" t="n"/>
      <c r="K732" s="315">
        <f>C732</f>
        <v/>
      </c>
      <c r="L732" s="316">
        <f>F732/$B$612*100</f>
        <v/>
      </c>
      <c r="M732" s="317" t="n"/>
      <c r="N732" s="73" t="n">
        <v>101</v>
      </c>
      <c r="O732" s="289">
        <f>+S731</f>
        <v/>
      </c>
      <c r="P732" s="287">
        <f>(IF(N732&lt;$B$613,PMT($B$615/12,$B$613,-$B$612,$B$617,0),IF(N732=$B$613,PMT($B$615/12,$B$613,-$B$612,$B$617,0)+$B$617,0)))</f>
        <v/>
      </c>
      <c r="Q732" s="289">
        <f>IF(N732&lt;=$B$613,O732*$B$615/12,0)</f>
        <v/>
      </c>
      <c r="R732" s="289">
        <f>P732-Q732</f>
        <v/>
      </c>
      <c r="S732" s="314">
        <f>(O732-R732)</f>
        <v/>
      </c>
      <c r="T732" s="112">
        <f>O732*(1-B$621)^($N732)</f>
        <v/>
      </c>
      <c r="U732" s="112">
        <f>IF(N732&lt;=$B$613,T732*$B$615/12,0)</f>
        <v/>
      </c>
      <c r="V732" s="315">
        <f>P732</f>
        <v/>
      </c>
      <c r="W732" s="314" t="n"/>
      <c r="X732" s="315">
        <f>P732</f>
        <v/>
      </c>
      <c r="Y732" s="316">
        <f>S732/$B$612*100</f>
        <v/>
      </c>
      <c r="Z732" s="46" t="n"/>
      <c r="AA732" s="313">
        <f>+V732-I732</f>
        <v/>
      </c>
      <c r="AB732" s="46" t="n"/>
      <c r="AC732" s="46" t="n"/>
      <c r="AD732" s="46" t="n"/>
      <c r="AE732" s="46" t="n"/>
    </row>
    <row r="733">
      <c r="A733" s="73" t="n">
        <v>102</v>
      </c>
      <c r="B733" s="289">
        <f>+F732</f>
        <v/>
      </c>
      <c r="C733" s="287">
        <f>(IF(A733&lt;$B$613,PMT($B$614/12,$B$613,-$B$612,$B$617,$B$620),IF(A733=$B$613,PMT($B$614/12,$B$613,-$B$612,$B$617,$B$620)+$B$617,0)))</f>
        <v/>
      </c>
      <c r="D733" s="289">
        <f>IF(A733&lt;=$B$613,B733*$B$614/12,0)</f>
        <v/>
      </c>
      <c r="E733" s="289">
        <f>C733-D733</f>
        <v/>
      </c>
      <c r="F733" s="314">
        <f>(B733-E733)</f>
        <v/>
      </c>
      <c r="G733" s="112">
        <f>B733*(1-B$621)^($A733)</f>
        <v/>
      </c>
      <c r="H733" s="112">
        <f>IF(A733&lt;=$B$613,G733*$B$614/12,0)</f>
        <v/>
      </c>
      <c r="I733" s="315">
        <f>C733</f>
        <v/>
      </c>
      <c r="J733" s="314" t="n"/>
      <c r="K733" s="315">
        <f>C733</f>
        <v/>
      </c>
      <c r="L733" s="316">
        <f>F733/$B$612*100</f>
        <v/>
      </c>
      <c r="M733" s="317" t="n"/>
      <c r="N733" s="73" t="n">
        <v>102</v>
      </c>
      <c r="O733" s="289">
        <f>+S732</f>
        <v/>
      </c>
      <c r="P733" s="287">
        <f>(IF(N733&lt;$B$613,PMT($B$615/12,$B$613,-$B$612,$B$617,0),IF(N733=$B$613,PMT($B$615/12,$B$613,-$B$612,$B$617,0)+$B$617,0)))</f>
        <v/>
      </c>
      <c r="Q733" s="289">
        <f>IF(N733&lt;=$B$613,O733*$B$615/12,0)</f>
        <v/>
      </c>
      <c r="R733" s="289">
        <f>P733-Q733</f>
        <v/>
      </c>
      <c r="S733" s="314">
        <f>(O733-R733)</f>
        <v/>
      </c>
      <c r="T733" s="112">
        <f>O733*(1-B$621)^($N733)</f>
        <v/>
      </c>
      <c r="U733" s="112">
        <f>IF(N733&lt;=$B$613,T733*$B$615/12,0)</f>
        <v/>
      </c>
      <c r="V733" s="315">
        <f>P733</f>
        <v/>
      </c>
      <c r="W733" s="314" t="n"/>
      <c r="X733" s="315">
        <f>P733</f>
        <v/>
      </c>
      <c r="Y733" s="316">
        <f>S733/$B$612*100</f>
        <v/>
      </c>
      <c r="Z733" s="46" t="n"/>
      <c r="AA733" s="313">
        <f>+V733-I733</f>
        <v/>
      </c>
      <c r="AB733" s="46" t="n"/>
      <c r="AC733" s="46" t="n"/>
      <c r="AD733" s="46" t="n"/>
      <c r="AE733" s="46" t="n"/>
    </row>
    <row r="734">
      <c r="A734" s="73" t="n">
        <v>103</v>
      </c>
      <c r="B734" s="289">
        <f>+F733</f>
        <v/>
      </c>
      <c r="C734" s="287">
        <f>(IF(A734&lt;$B$613,PMT($B$614/12,$B$613,-$B$612,$B$617,$B$620),IF(A734=$B$613,PMT($B$614/12,$B$613,-$B$612,$B$617,$B$620)+$B$617,0)))</f>
        <v/>
      </c>
      <c r="D734" s="289">
        <f>IF(A734&lt;=$B$613,B734*$B$614/12,0)</f>
        <v/>
      </c>
      <c r="E734" s="289">
        <f>C734-D734</f>
        <v/>
      </c>
      <c r="F734" s="314">
        <f>(B734-E734)</f>
        <v/>
      </c>
      <c r="G734" s="112">
        <f>B734*(1-B$621)^($A734)</f>
        <v/>
      </c>
      <c r="H734" s="112">
        <f>IF(A734&lt;=$B$613,G734*$B$614/12,0)</f>
        <v/>
      </c>
      <c r="I734" s="315">
        <f>C734</f>
        <v/>
      </c>
      <c r="J734" s="314" t="n"/>
      <c r="K734" s="315">
        <f>C734</f>
        <v/>
      </c>
      <c r="L734" s="316">
        <f>F734/$B$612*100</f>
        <v/>
      </c>
      <c r="M734" s="317" t="n"/>
      <c r="N734" s="73" t="n">
        <v>103</v>
      </c>
      <c r="O734" s="289">
        <f>+S733</f>
        <v/>
      </c>
      <c r="P734" s="287">
        <f>(IF(N734&lt;$B$613,PMT($B$615/12,$B$613,-$B$612,$B$617,0),IF(N734=$B$613,PMT($B$615/12,$B$613,-$B$612,$B$617,0)+$B$617,0)))</f>
        <v/>
      </c>
      <c r="Q734" s="289">
        <f>IF(N734&lt;=$B$613,O734*$B$615/12,0)</f>
        <v/>
      </c>
      <c r="R734" s="289">
        <f>P734-Q734</f>
        <v/>
      </c>
      <c r="S734" s="314">
        <f>(O734-R734)</f>
        <v/>
      </c>
      <c r="T734" s="112">
        <f>O734*(1-B$621)^($N734)</f>
        <v/>
      </c>
      <c r="U734" s="112">
        <f>IF(N734&lt;=$B$613,T734*$B$615/12,0)</f>
        <v/>
      </c>
      <c r="V734" s="315">
        <f>P734</f>
        <v/>
      </c>
      <c r="W734" s="314" t="n"/>
      <c r="X734" s="315">
        <f>P734</f>
        <v/>
      </c>
      <c r="Y734" s="316">
        <f>S734/$B$612*100</f>
        <v/>
      </c>
      <c r="Z734" s="46" t="n"/>
      <c r="AA734" s="313">
        <f>+V734-I734</f>
        <v/>
      </c>
      <c r="AB734" s="46" t="n"/>
      <c r="AC734" s="46" t="n"/>
      <c r="AD734" s="46" t="n"/>
      <c r="AE734" s="46" t="n"/>
    </row>
    <row r="735">
      <c r="A735" s="73" t="n">
        <v>104</v>
      </c>
      <c r="B735" s="289">
        <f>+F734</f>
        <v/>
      </c>
      <c r="C735" s="287">
        <f>(IF(A735&lt;$B$613,PMT($B$614/12,$B$613,-$B$612,$B$617,$B$620),IF(A735=$B$613,PMT($B$614/12,$B$613,-$B$612,$B$617,$B$620)+$B$617,0)))</f>
        <v/>
      </c>
      <c r="D735" s="289">
        <f>IF(A735&lt;=$B$613,B735*$B$614/12,0)</f>
        <v/>
      </c>
      <c r="E735" s="289">
        <f>C735-D735</f>
        <v/>
      </c>
      <c r="F735" s="314">
        <f>(B735-E735)</f>
        <v/>
      </c>
      <c r="G735" s="112">
        <f>B735*(1-B$621)^($A735)</f>
        <v/>
      </c>
      <c r="H735" s="112">
        <f>IF(A735&lt;=$B$613,G735*$B$614/12,0)</f>
        <v/>
      </c>
      <c r="I735" s="315">
        <f>C735</f>
        <v/>
      </c>
      <c r="J735" s="314" t="n"/>
      <c r="K735" s="315">
        <f>C735</f>
        <v/>
      </c>
      <c r="L735" s="316">
        <f>F735/$B$612*100</f>
        <v/>
      </c>
      <c r="M735" s="317" t="n"/>
      <c r="N735" s="73" t="n">
        <v>104</v>
      </c>
      <c r="O735" s="289">
        <f>+S734</f>
        <v/>
      </c>
      <c r="P735" s="287">
        <f>(IF(N735&lt;$B$613,PMT($B$615/12,$B$613,-$B$612,$B$617,0),IF(N735=$B$613,PMT($B$615/12,$B$613,-$B$612,$B$617,0)+$B$617,0)))</f>
        <v/>
      </c>
      <c r="Q735" s="289">
        <f>IF(N735&lt;=$B$613,O735*$B$615/12,0)</f>
        <v/>
      </c>
      <c r="R735" s="289">
        <f>P735-Q735</f>
        <v/>
      </c>
      <c r="S735" s="314">
        <f>(O735-R735)</f>
        <v/>
      </c>
      <c r="T735" s="112">
        <f>O735*(1-B$621)^($N735)</f>
        <v/>
      </c>
      <c r="U735" s="112">
        <f>IF(N735&lt;=$B$613,T735*$B$615/12,0)</f>
        <v/>
      </c>
      <c r="V735" s="315">
        <f>P735</f>
        <v/>
      </c>
      <c r="W735" s="314" t="n"/>
      <c r="X735" s="315">
        <f>P735</f>
        <v/>
      </c>
      <c r="Y735" s="316">
        <f>S735/$B$612*100</f>
        <v/>
      </c>
      <c r="Z735" s="46" t="n"/>
      <c r="AA735" s="313">
        <f>+V735-I735</f>
        <v/>
      </c>
      <c r="AB735" s="46" t="n"/>
      <c r="AC735" s="46" t="n"/>
      <c r="AD735" s="46" t="n"/>
      <c r="AE735" s="46" t="n"/>
    </row>
    <row r="736">
      <c r="A736" s="73" t="n">
        <v>105</v>
      </c>
      <c r="B736" s="289">
        <f>+F735</f>
        <v/>
      </c>
      <c r="C736" s="287">
        <f>(IF(A736&lt;$B$613,PMT($B$614/12,$B$613,-$B$612,$B$617,$B$620),IF(A736=$B$613,PMT($B$614/12,$B$613,-$B$612,$B$617,$B$620)+$B$617,0)))</f>
        <v/>
      </c>
      <c r="D736" s="289">
        <f>IF(A736&lt;=$B$613,B736*$B$614/12,0)</f>
        <v/>
      </c>
      <c r="E736" s="289">
        <f>C736-D736</f>
        <v/>
      </c>
      <c r="F736" s="314">
        <f>(B736-E736)</f>
        <v/>
      </c>
      <c r="G736" s="112">
        <f>B736*(1-B$621)^($A736)</f>
        <v/>
      </c>
      <c r="H736" s="112">
        <f>IF(A736&lt;=$B$613,G736*$B$614/12,0)</f>
        <v/>
      </c>
      <c r="I736" s="315">
        <f>C736</f>
        <v/>
      </c>
      <c r="J736" s="314" t="n"/>
      <c r="K736" s="315">
        <f>C736</f>
        <v/>
      </c>
      <c r="L736" s="316">
        <f>F736/$B$612*100</f>
        <v/>
      </c>
      <c r="M736" s="317" t="n"/>
      <c r="N736" s="73" t="n">
        <v>105</v>
      </c>
      <c r="O736" s="289">
        <f>+S735</f>
        <v/>
      </c>
      <c r="P736" s="287">
        <f>(IF(N736&lt;$B$613,PMT($B$615/12,$B$613,-$B$612,$B$617,0),IF(N736=$B$613,PMT($B$615/12,$B$613,-$B$612,$B$617,0)+$B$617,0)))</f>
        <v/>
      </c>
      <c r="Q736" s="289">
        <f>IF(N736&lt;=$B$613,O736*$B$615/12,0)</f>
        <v/>
      </c>
      <c r="R736" s="289">
        <f>P736-Q736</f>
        <v/>
      </c>
      <c r="S736" s="314">
        <f>(O736-R736)</f>
        <v/>
      </c>
      <c r="T736" s="112">
        <f>O736*(1-B$621)^($N736)</f>
        <v/>
      </c>
      <c r="U736" s="112">
        <f>IF(N736&lt;=$B$613,T736*$B$615/12,0)</f>
        <v/>
      </c>
      <c r="V736" s="315">
        <f>P736</f>
        <v/>
      </c>
      <c r="W736" s="314" t="n"/>
      <c r="X736" s="315">
        <f>P736</f>
        <v/>
      </c>
      <c r="Y736" s="316">
        <f>S736/$B$612*100</f>
        <v/>
      </c>
      <c r="Z736" s="46" t="n"/>
      <c r="AA736" s="313">
        <f>+V736-I736</f>
        <v/>
      </c>
      <c r="AB736" s="46" t="n"/>
      <c r="AC736" s="46" t="n"/>
      <c r="AD736" s="46" t="n"/>
      <c r="AE736" s="46" t="n"/>
    </row>
    <row r="737">
      <c r="A737" s="73" t="n">
        <v>106</v>
      </c>
      <c r="B737" s="289">
        <f>+F736</f>
        <v/>
      </c>
      <c r="C737" s="287">
        <f>(IF(A737&lt;$B$613,PMT($B$614/12,$B$613,-$B$612,$B$617,$B$620),IF(A737=$B$613,PMT($B$614/12,$B$613,-$B$612,$B$617,$B$620)+$B$617,0)))</f>
        <v/>
      </c>
      <c r="D737" s="289">
        <f>IF(A737&lt;=$B$613,B737*$B$614/12,0)</f>
        <v/>
      </c>
      <c r="E737" s="289">
        <f>C737-D737</f>
        <v/>
      </c>
      <c r="F737" s="314">
        <f>(B737-E737)</f>
        <v/>
      </c>
      <c r="G737" s="112">
        <f>B737*(1-B$621)^($A737)</f>
        <v/>
      </c>
      <c r="H737" s="112">
        <f>IF(A737&lt;=$B$613,G737*$B$614/12,0)</f>
        <v/>
      </c>
      <c r="I737" s="315">
        <f>C737</f>
        <v/>
      </c>
      <c r="J737" s="314" t="n"/>
      <c r="K737" s="315">
        <f>C737</f>
        <v/>
      </c>
      <c r="L737" s="316">
        <f>F737/$B$612*100</f>
        <v/>
      </c>
      <c r="M737" s="317" t="n"/>
      <c r="N737" s="73" t="n">
        <v>106</v>
      </c>
      <c r="O737" s="289">
        <f>+S736</f>
        <v/>
      </c>
      <c r="P737" s="287">
        <f>(IF(N737&lt;$B$613,PMT($B$615/12,$B$613,-$B$612,$B$617,0),IF(N737=$B$613,PMT($B$615/12,$B$613,-$B$612,$B$617,0)+$B$617,0)))</f>
        <v/>
      </c>
      <c r="Q737" s="289">
        <f>IF(N737&lt;=$B$613,O737*$B$615/12,0)</f>
        <v/>
      </c>
      <c r="R737" s="289">
        <f>P737-Q737</f>
        <v/>
      </c>
      <c r="S737" s="314">
        <f>(O737-R737)</f>
        <v/>
      </c>
      <c r="T737" s="112">
        <f>O737*(1-B$621)^($N737)</f>
        <v/>
      </c>
      <c r="U737" s="112">
        <f>IF(N737&lt;=$B$613,T737*$B$615/12,0)</f>
        <v/>
      </c>
      <c r="V737" s="315">
        <f>P737</f>
        <v/>
      </c>
      <c r="W737" s="314" t="n"/>
      <c r="X737" s="315">
        <f>P737</f>
        <v/>
      </c>
      <c r="Y737" s="316">
        <f>S737/$B$612*100</f>
        <v/>
      </c>
      <c r="Z737" s="46" t="n"/>
      <c r="AA737" s="313">
        <f>+V737-I737</f>
        <v/>
      </c>
      <c r="AB737" s="46" t="n"/>
      <c r="AC737" s="46" t="n"/>
      <c r="AD737" s="46" t="n"/>
      <c r="AE737" s="46" t="n"/>
    </row>
    <row r="738">
      <c r="A738" s="73" t="n">
        <v>107</v>
      </c>
      <c r="B738" s="289">
        <f>+F737</f>
        <v/>
      </c>
      <c r="C738" s="287">
        <f>(IF(A738&lt;$B$613,PMT($B$614/12,$B$613,-$B$612,$B$617,$B$620),IF(A738=$B$613,PMT($B$614/12,$B$613,-$B$612,$B$617,$B$620)+$B$617,0)))</f>
        <v/>
      </c>
      <c r="D738" s="289">
        <f>IF(A738&lt;=$B$613,B738*$B$614/12,0)</f>
        <v/>
      </c>
      <c r="E738" s="289">
        <f>C738-D738</f>
        <v/>
      </c>
      <c r="F738" s="314">
        <f>(B738-E738)</f>
        <v/>
      </c>
      <c r="G738" s="112">
        <f>B738*(1-B$621)^($A738)</f>
        <v/>
      </c>
      <c r="H738" s="112">
        <f>IF(A738&lt;=$B$613,G738*$B$614/12,0)</f>
        <v/>
      </c>
      <c r="I738" s="315">
        <f>C738</f>
        <v/>
      </c>
      <c r="J738" s="314" t="n"/>
      <c r="K738" s="315">
        <f>C738</f>
        <v/>
      </c>
      <c r="L738" s="316">
        <f>F738/$B$612*100</f>
        <v/>
      </c>
      <c r="M738" s="317" t="n"/>
      <c r="N738" s="73" t="n">
        <v>107</v>
      </c>
      <c r="O738" s="289">
        <f>+S737</f>
        <v/>
      </c>
      <c r="P738" s="287">
        <f>(IF(N738&lt;$B$613,PMT($B$615/12,$B$613,-$B$612,$B$617,0),IF(N738=$B$613,PMT($B$615/12,$B$613,-$B$612,$B$617,0)+$B$617,0)))</f>
        <v/>
      </c>
      <c r="Q738" s="289">
        <f>IF(N738&lt;=$B$613,O738*$B$615/12,0)</f>
        <v/>
      </c>
      <c r="R738" s="289">
        <f>P738-Q738</f>
        <v/>
      </c>
      <c r="S738" s="314">
        <f>(O738-R738)</f>
        <v/>
      </c>
      <c r="T738" s="112">
        <f>O738*(1-B$621)^($N738)</f>
        <v/>
      </c>
      <c r="U738" s="112">
        <f>IF(N738&lt;=$B$613,T738*$B$615/12,0)</f>
        <v/>
      </c>
      <c r="V738" s="315">
        <f>P738</f>
        <v/>
      </c>
      <c r="W738" s="314" t="n"/>
      <c r="X738" s="315">
        <f>P738</f>
        <v/>
      </c>
      <c r="Y738" s="316">
        <f>S738/$B$612*100</f>
        <v/>
      </c>
      <c r="Z738" s="46" t="n"/>
      <c r="AA738" s="313">
        <f>+V738-I738</f>
        <v/>
      </c>
      <c r="AB738" s="46" t="n"/>
      <c r="AC738" s="46" t="n"/>
      <c r="AD738" s="46" t="n"/>
      <c r="AE738" s="46" t="n"/>
    </row>
    <row r="739">
      <c r="A739" s="73" t="n">
        <v>108</v>
      </c>
      <c r="B739" s="289">
        <f>+F738</f>
        <v/>
      </c>
      <c r="C739" s="287">
        <f>(IF(A739&lt;$B$613,PMT($B$614/12,$B$613,-$B$612,$B$617,$B$620),IF(A739=$B$613,PMT($B$614/12,$B$613,-$B$612,$B$617,$B$620)+$B$617,0)))</f>
        <v/>
      </c>
      <c r="D739" s="289">
        <f>IF(A739&lt;=$B$613,B739*$B$614/12,0)</f>
        <v/>
      </c>
      <c r="E739" s="289">
        <f>C739-D739</f>
        <v/>
      </c>
      <c r="F739" s="314">
        <f>(B739-E739)</f>
        <v/>
      </c>
      <c r="G739" s="112">
        <f>B739*(1-B$621)^($A739)</f>
        <v/>
      </c>
      <c r="H739" s="112">
        <f>IF(A739&lt;=$B$613,G739*$B$614/12,0)</f>
        <v/>
      </c>
      <c r="I739" s="315">
        <f>C739</f>
        <v/>
      </c>
      <c r="J739" s="314" t="n"/>
      <c r="K739" s="315">
        <f>C739</f>
        <v/>
      </c>
      <c r="L739" s="316">
        <f>F739/$B$612*100</f>
        <v/>
      </c>
      <c r="M739" s="317" t="n"/>
      <c r="N739" s="73" t="n">
        <v>108</v>
      </c>
      <c r="O739" s="289">
        <f>+S738</f>
        <v/>
      </c>
      <c r="P739" s="287">
        <f>(IF(N739&lt;$B$613,PMT($B$615/12,$B$613,-$B$612,$B$617,0),IF(N739=$B$613,PMT($B$615/12,$B$613,-$B$612,$B$617,0)+$B$617,0)))</f>
        <v/>
      </c>
      <c r="Q739" s="289">
        <f>IF(N739&lt;=$B$613,O739*$B$615/12,0)</f>
        <v/>
      </c>
      <c r="R739" s="289">
        <f>P739-Q739</f>
        <v/>
      </c>
      <c r="S739" s="314">
        <f>(O739-R739)</f>
        <v/>
      </c>
      <c r="T739" s="112">
        <f>O739*(1-B$621)^($N739)</f>
        <v/>
      </c>
      <c r="U739" s="112">
        <f>IF(N739&lt;=$B$613,T739*$B$615/12,0)</f>
        <v/>
      </c>
      <c r="V739" s="315">
        <f>P739</f>
        <v/>
      </c>
      <c r="W739" s="314" t="n"/>
      <c r="X739" s="315">
        <f>P739</f>
        <v/>
      </c>
      <c r="Y739" s="316">
        <f>S739/$B$612*100</f>
        <v/>
      </c>
      <c r="Z739" s="46" t="n"/>
      <c r="AA739" s="313">
        <f>+V739-I739</f>
        <v/>
      </c>
      <c r="AB739" s="46" t="n"/>
      <c r="AC739" s="46" t="n"/>
      <c r="AD739" s="46" t="n"/>
      <c r="AE739" s="46" t="n"/>
    </row>
    <row r="740">
      <c r="A740" s="73" t="n">
        <v>109</v>
      </c>
      <c r="B740" s="289">
        <f>+F739</f>
        <v/>
      </c>
      <c r="C740" s="287">
        <f>(IF(A740&lt;$B$613,PMT($B$614/12,$B$613,-$B$612,$B$617,$B$620),IF(A740=$B$613,PMT($B$614/12,$B$613,-$B$612,$B$617,$B$620)+$B$617,0)))</f>
        <v/>
      </c>
      <c r="D740" s="289">
        <f>IF(A740&lt;=$B$613,B740*$B$614/12,0)</f>
        <v/>
      </c>
      <c r="E740" s="289">
        <f>C740-D740</f>
        <v/>
      </c>
      <c r="F740" s="314">
        <f>(B740-E740)</f>
        <v/>
      </c>
      <c r="G740" s="112">
        <f>B740*(1-B$621)^($A740)</f>
        <v/>
      </c>
      <c r="H740" s="112">
        <f>IF(A740&lt;=$B$613,G740*$B$614/12,0)</f>
        <v/>
      </c>
      <c r="I740" s="315">
        <f>C740</f>
        <v/>
      </c>
      <c r="J740" s="314" t="n"/>
      <c r="K740" s="315">
        <f>C740</f>
        <v/>
      </c>
      <c r="L740" s="316">
        <f>F740/$B$612*100</f>
        <v/>
      </c>
      <c r="M740" s="317" t="n"/>
      <c r="N740" s="73" t="n">
        <v>109</v>
      </c>
      <c r="O740" s="289">
        <f>+S739</f>
        <v/>
      </c>
      <c r="P740" s="287">
        <f>(IF(N740&lt;$B$613,PMT($B$615/12,$B$613,-$B$612,$B$617,0),IF(N740=$B$613,PMT($B$615/12,$B$613,-$B$612,$B$617,0)+$B$617,0)))</f>
        <v/>
      </c>
      <c r="Q740" s="289">
        <f>IF(N740&lt;=$B$613,O740*$B$615/12,0)</f>
        <v/>
      </c>
      <c r="R740" s="289">
        <f>P740-Q740</f>
        <v/>
      </c>
      <c r="S740" s="314">
        <f>(O740-R740)</f>
        <v/>
      </c>
      <c r="T740" s="112">
        <f>O740*(1-B$621)^($N740)</f>
        <v/>
      </c>
      <c r="U740" s="112">
        <f>IF(N740&lt;=$B$613,T740*$B$615/12,0)</f>
        <v/>
      </c>
      <c r="V740" s="315">
        <f>P740</f>
        <v/>
      </c>
      <c r="W740" s="314" t="n"/>
      <c r="X740" s="315">
        <f>P740</f>
        <v/>
      </c>
      <c r="Y740" s="316">
        <f>S740/$B$612*100</f>
        <v/>
      </c>
      <c r="Z740" s="46" t="n"/>
      <c r="AA740" s="313">
        <f>+V740-I740</f>
        <v/>
      </c>
    </row>
    <row r="741">
      <c r="A741" s="73" t="n">
        <v>110</v>
      </c>
      <c r="B741" s="289">
        <f>+F740</f>
        <v/>
      </c>
      <c r="C741" s="287">
        <f>(IF(A741&lt;$B$613,PMT($B$614/12,$B$613,-$B$612,$B$617,$B$620),IF(A741=$B$613,PMT($B$614/12,$B$613,-$B$612,$B$617,$B$620)+$B$617,0)))</f>
        <v/>
      </c>
      <c r="D741" s="289">
        <f>IF(A741&lt;=$B$613,B741*$B$614/12,0)</f>
        <v/>
      </c>
      <c r="E741" s="289">
        <f>C741-D741</f>
        <v/>
      </c>
      <c r="F741" s="314">
        <f>(B741-E741)</f>
        <v/>
      </c>
      <c r="G741" s="112">
        <f>B741*(1-B$621)^($A741)</f>
        <v/>
      </c>
      <c r="H741" s="112">
        <f>IF(A741&lt;=$B$613,G741*$B$614/12,0)</f>
        <v/>
      </c>
      <c r="I741" s="315">
        <f>C741</f>
        <v/>
      </c>
      <c r="J741" s="314" t="n"/>
      <c r="K741" s="315">
        <f>C741</f>
        <v/>
      </c>
      <c r="L741" s="316">
        <f>F741/$B$612*100</f>
        <v/>
      </c>
      <c r="M741" s="317" t="n"/>
      <c r="N741" s="73" t="n">
        <v>110</v>
      </c>
      <c r="O741" s="289">
        <f>+S740</f>
        <v/>
      </c>
      <c r="P741" s="287">
        <f>(IF(N741&lt;$B$613,PMT($B$615/12,$B$613,-$B$612,$B$617,0),IF(N741=$B$613,PMT($B$615/12,$B$613,-$B$612,$B$617,0)+$B$617,0)))</f>
        <v/>
      </c>
      <c r="Q741" s="289">
        <f>IF(N741&lt;=$B$613,O741*$B$615/12,0)</f>
        <v/>
      </c>
      <c r="R741" s="289">
        <f>P741-Q741</f>
        <v/>
      </c>
      <c r="S741" s="314">
        <f>(O741-R741)</f>
        <v/>
      </c>
      <c r="T741" s="112">
        <f>O741*(1-B$621)^($N741)</f>
        <v/>
      </c>
      <c r="U741" s="112">
        <f>IF(N741&lt;=$B$613,T741*$B$615/12,0)</f>
        <v/>
      </c>
      <c r="V741" s="315">
        <f>P741</f>
        <v/>
      </c>
      <c r="W741" s="314" t="n"/>
      <c r="X741" s="315">
        <f>P741</f>
        <v/>
      </c>
      <c r="Y741" s="316">
        <f>S741/$B$612*100</f>
        <v/>
      </c>
      <c r="Z741" s="46" t="n"/>
      <c r="AA741" s="313">
        <f>+V741-I741</f>
        <v/>
      </c>
    </row>
    <row r="742">
      <c r="A742" s="73" t="n">
        <v>111</v>
      </c>
      <c r="B742" s="289">
        <f>+F741</f>
        <v/>
      </c>
      <c r="C742" s="287">
        <f>(IF(A742&lt;$B$613,PMT($B$614/12,$B$613,-$B$612,$B$617,$B$620),IF(A742=$B$613,PMT($B$614/12,$B$613,-$B$612,$B$617,$B$620)+$B$617,0)))</f>
        <v/>
      </c>
      <c r="D742" s="289">
        <f>IF(A742&lt;=$B$613,B742*$B$614/12,0)</f>
        <v/>
      </c>
      <c r="E742" s="289">
        <f>C742-D742</f>
        <v/>
      </c>
      <c r="F742" s="314">
        <f>(B742-E742)</f>
        <v/>
      </c>
      <c r="G742" s="112">
        <f>B742*(1-B$621)^($A742)</f>
        <v/>
      </c>
      <c r="H742" s="112">
        <f>IF(A742&lt;=$B$613,G742*$B$614/12,0)</f>
        <v/>
      </c>
      <c r="I742" s="315">
        <f>C742</f>
        <v/>
      </c>
      <c r="J742" s="314" t="n"/>
      <c r="K742" s="315">
        <f>C742</f>
        <v/>
      </c>
      <c r="L742" s="316">
        <f>F742/$B$612*100</f>
        <v/>
      </c>
      <c r="M742" s="317" t="n"/>
      <c r="N742" s="73" t="n">
        <v>111</v>
      </c>
      <c r="O742" s="289">
        <f>+S741</f>
        <v/>
      </c>
      <c r="P742" s="287">
        <f>(IF(N742&lt;$B$613,PMT($B$615/12,$B$613,-$B$612,$B$617,0),IF(N742=$B$613,PMT($B$615/12,$B$613,-$B$612,$B$617,0)+$B$617,0)))</f>
        <v/>
      </c>
      <c r="Q742" s="289">
        <f>IF(N742&lt;=$B$613,O742*$B$615/12,0)</f>
        <v/>
      </c>
      <c r="R742" s="289">
        <f>P742-Q742</f>
        <v/>
      </c>
      <c r="S742" s="314">
        <f>(O742-R742)</f>
        <v/>
      </c>
      <c r="T742" s="112">
        <f>O742*(1-B$621)^($N742)</f>
        <v/>
      </c>
      <c r="U742" s="112">
        <f>IF(N742&lt;=$B$613,T742*$B$615/12,0)</f>
        <v/>
      </c>
      <c r="V742" s="315">
        <f>P742</f>
        <v/>
      </c>
      <c r="W742" s="314" t="n"/>
      <c r="X742" s="315">
        <f>P742</f>
        <v/>
      </c>
      <c r="Y742" s="316">
        <f>S742/$B$612*100</f>
        <v/>
      </c>
      <c r="Z742" s="46" t="n"/>
      <c r="AA742" s="313">
        <f>+V742-I742</f>
        <v/>
      </c>
    </row>
    <row r="743">
      <c r="A743" s="73" t="n">
        <v>112</v>
      </c>
      <c r="B743" s="289">
        <f>+F742</f>
        <v/>
      </c>
      <c r="C743" s="287">
        <f>(IF(A743&lt;$B$613,PMT($B$614/12,$B$613,-$B$612,$B$617,$B$620),IF(A743=$B$613,PMT($B$614/12,$B$613,-$B$612,$B$617,$B$620)+$B$617,0)))</f>
        <v/>
      </c>
      <c r="D743" s="289">
        <f>IF(A743&lt;=$B$613,B743*$B$614/12,0)</f>
        <v/>
      </c>
      <c r="E743" s="289">
        <f>C743-D743</f>
        <v/>
      </c>
      <c r="F743" s="314">
        <f>(B743-E743)</f>
        <v/>
      </c>
      <c r="G743" s="112">
        <f>B743*(1-B$621)^($A743)</f>
        <v/>
      </c>
      <c r="H743" s="112">
        <f>IF(A743&lt;=$B$613,G743*$B$614/12,0)</f>
        <v/>
      </c>
      <c r="I743" s="315">
        <f>C743</f>
        <v/>
      </c>
      <c r="J743" s="314" t="n"/>
      <c r="K743" s="315">
        <f>C743</f>
        <v/>
      </c>
      <c r="L743" s="316">
        <f>F743/$B$612*100</f>
        <v/>
      </c>
      <c r="M743" s="317" t="n"/>
      <c r="N743" s="73" t="n">
        <v>112</v>
      </c>
      <c r="O743" s="289">
        <f>+S742</f>
        <v/>
      </c>
      <c r="P743" s="287">
        <f>(IF(N743&lt;$B$613,PMT($B$615/12,$B$613,-$B$612,$B$617,0),IF(N743=$B$613,PMT($B$615/12,$B$613,-$B$612,$B$617,0)+$B$617,0)))</f>
        <v/>
      </c>
      <c r="Q743" s="289">
        <f>IF(N743&lt;=$B$613,O743*$B$615/12,0)</f>
        <v/>
      </c>
      <c r="R743" s="289">
        <f>P743-Q743</f>
        <v/>
      </c>
      <c r="S743" s="314">
        <f>(O743-R743)</f>
        <v/>
      </c>
      <c r="T743" s="112">
        <f>O743*(1-B$621)^($N743)</f>
        <v/>
      </c>
      <c r="U743" s="112">
        <f>IF(N743&lt;=$B$613,T743*$B$615/12,0)</f>
        <v/>
      </c>
      <c r="V743" s="315">
        <f>P743</f>
        <v/>
      </c>
      <c r="W743" s="314" t="n"/>
      <c r="X743" s="315">
        <f>P743</f>
        <v/>
      </c>
      <c r="Y743" s="316">
        <f>S743/$B$612*100</f>
        <v/>
      </c>
      <c r="Z743" s="46" t="n"/>
      <c r="AA743" s="313">
        <f>+V743-I743</f>
        <v/>
      </c>
    </row>
    <row r="744">
      <c r="A744" s="73" t="n">
        <v>113</v>
      </c>
      <c r="B744" s="289">
        <f>+F743</f>
        <v/>
      </c>
      <c r="C744" s="287">
        <f>(IF(A744&lt;$B$613,PMT($B$614/12,$B$613,-$B$612,$B$617,$B$620),IF(A744=$B$613,PMT($B$614/12,$B$613,-$B$612,$B$617,$B$620)+$B$617,0)))</f>
        <v/>
      </c>
      <c r="D744" s="289">
        <f>IF(A744&lt;=$B$613,B744*$B$614/12,0)</f>
        <v/>
      </c>
      <c r="E744" s="289">
        <f>C744-D744</f>
        <v/>
      </c>
      <c r="F744" s="314">
        <f>(B744-E744)</f>
        <v/>
      </c>
      <c r="G744" s="112">
        <f>B744*(1-B$621)^($A744)</f>
        <v/>
      </c>
      <c r="H744" s="112">
        <f>IF(A744&lt;=$B$613,G744*$B$614/12,0)</f>
        <v/>
      </c>
      <c r="I744" s="315">
        <f>C744</f>
        <v/>
      </c>
      <c r="J744" s="314" t="n"/>
      <c r="K744" s="315">
        <f>C744</f>
        <v/>
      </c>
      <c r="L744" s="316">
        <f>F744/$B$612*100</f>
        <v/>
      </c>
      <c r="M744" s="317" t="n"/>
      <c r="N744" s="73" t="n">
        <v>113</v>
      </c>
      <c r="O744" s="289">
        <f>+S743</f>
        <v/>
      </c>
      <c r="P744" s="287">
        <f>(IF(N744&lt;$B$613,PMT($B$615/12,$B$613,-$B$612,$B$617,0),IF(N744=$B$613,PMT($B$615/12,$B$613,-$B$612,$B$617,0)+$B$617,0)))</f>
        <v/>
      </c>
      <c r="Q744" s="289">
        <f>IF(N744&lt;=$B$613,O744*$B$615/12,0)</f>
        <v/>
      </c>
      <c r="R744" s="289">
        <f>P744-Q744</f>
        <v/>
      </c>
      <c r="S744" s="314">
        <f>(O744-R744)</f>
        <v/>
      </c>
      <c r="T744" s="112">
        <f>O744*(1-B$621)^($N744)</f>
        <v/>
      </c>
      <c r="U744" s="112">
        <f>IF(N744&lt;=$B$613,T744*$B$615/12,0)</f>
        <v/>
      </c>
      <c r="V744" s="315">
        <f>P744</f>
        <v/>
      </c>
      <c r="W744" s="314" t="n"/>
      <c r="X744" s="315">
        <f>P744</f>
        <v/>
      </c>
      <c r="Y744" s="316">
        <f>S744/$B$612*100</f>
        <v/>
      </c>
      <c r="Z744" s="46" t="n"/>
      <c r="AA744" s="313">
        <f>+V744-I744</f>
        <v/>
      </c>
    </row>
    <row r="745">
      <c r="A745" s="73" t="n">
        <v>114</v>
      </c>
      <c r="B745" s="289">
        <f>+F744</f>
        <v/>
      </c>
      <c r="C745" s="287">
        <f>(IF(A745&lt;$B$613,PMT($B$614/12,$B$613,-$B$612,$B$617,$B$620),IF(A745=$B$613,PMT($B$614/12,$B$613,-$B$612,$B$617,$B$620)+$B$617,0)))</f>
        <v/>
      </c>
      <c r="D745" s="289">
        <f>IF(A745&lt;=$B$613,B745*$B$614/12,0)</f>
        <v/>
      </c>
      <c r="E745" s="289">
        <f>C745-D745</f>
        <v/>
      </c>
      <c r="F745" s="314">
        <f>(B745-E745)</f>
        <v/>
      </c>
      <c r="G745" s="112">
        <f>B745*(1-B$621)^($A745)</f>
        <v/>
      </c>
      <c r="H745" s="112">
        <f>IF(A745&lt;=$B$613,G745*$B$614/12,0)</f>
        <v/>
      </c>
      <c r="I745" s="315">
        <f>C745</f>
        <v/>
      </c>
      <c r="J745" s="314" t="n"/>
      <c r="K745" s="315">
        <f>C745</f>
        <v/>
      </c>
      <c r="L745" s="316">
        <f>F745/$B$612*100</f>
        <v/>
      </c>
      <c r="M745" s="317" t="n"/>
      <c r="N745" s="73" t="n">
        <v>114</v>
      </c>
      <c r="O745" s="289">
        <f>+S744</f>
        <v/>
      </c>
      <c r="P745" s="287">
        <f>(IF(N745&lt;$B$613,PMT($B$615/12,$B$613,-$B$612,$B$617,0),IF(N745=$B$613,PMT($B$615/12,$B$613,-$B$612,$B$617,0)+$B$617,0)))</f>
        <v/>
      </c>
      <c r="Q745" s="289">
        <f>IF(N745&lt;=$B$613,O745*$B$615/12,0)</f>
        <v/>
      </c>
      <c r="R745" s="289">
        <f>P745-Q745</f>
        <v/>
      </c>
      <c r="S745" s="314">
        <f>(O745-R745)</f>
        <v/>
      </c>
      <c r="T745" s="112">
        <f>O745*(1-B$621)^($N745)</f>
        <v/>
      </c>
      <c r="U745" s="112">
        <f>IF(N745&lt;=$B$613,T745*$B$615/12,0)</f>
        <v/>
      </c>
      <c r="V745" s="315">
        <f>P745</f>
        <v/>
      </c>
      <c r="W745" s="314" t="n"/>
      <c r="X745" s="315">
        <f>P745</f>
        <v/>
      </c>
      <c r="Y745" s="316">
        <f>S745/$B$612*100</f>
        <v/>
      </c>
      <c r="Z745" s="46" t="n"/>
      <c r="AA745" s="313">
        <f>+V745-I745</f>
        <v/>
      </c>
    </row>
    <row r="746">
      <c r="A746" s="73" t="n">
        <v>115</v>
      </c>
      <c r="B746" s="289">
        <f>+F745</f>
        <v/>
      </c>
      <c r="C746" s="287">
        <f>(IF(A746&lt;$B$613,PMT($B$614/12,$B$613,-$B$612,$B$617,$B$620),IF(A746=$B$613,PMT($B$614/12,$B$613,-$B$612,$B$617,$B$620)+$B$617,0)))</f>
        <v/>
      </c>
      <c r="D746" s="289">
        <f>IF(A746&lt;=$B$613,B746*$B$614/12,0)</f>
        <v/>
      </c>
      <c r="E746" s="289">
        <f>C746-D746</f>
        <v/>
      </c>
      <c r="F746" s="314">
        <f>(B746-E746)</f>
        <v/>
      </c>
      <c r="G746" s="112">
        <f>B746*(1-B$621)^($A746)</f>
        <v/>
      </c>
      <c r="H746" s="112">
        <f>IF(A746&lt;=$B$613,G746*$B$614/12,0)</f>
        <v/>
      </c>
      <c r="I746" s="315">
        <f>C746</f>
        <v/>
      </c>
      <c r="J746" s="314" t="n"/>
      <c r="K746" s="315">
        <f>C746</f>
        <v/>
      </c>
      <c r="L746" s="316">
        <f>F746/$B$612*100</f>
        <v/>
      </c>
      <c r="M746" s="317" t="n"/>
      <c r="N746" s="73" t="n">
        <v>115</v>
      </c>
      <c r="O746" s="289">
        <f>+S745</f>
        <v/>
      </c>
      <c r="P746" s="287">
        <f>(IF(N746&lt;$B$613,PMT($B$615/12,$B$613,-$B$612,$B$617,0),IF(N746=$B$613,PMT($B$615/12,$B$613,-$B$612,$B$617,0)+$B$617,0)))</f>
        <v/>
      </c>
      <c r="Q746" s="289">
        <f>IF(N746&lt;=$B$613,O746*$B$615/12,0)</f>
        <v/>
      </c>
      <c r="R746" s="289">
        <f>P746-Q746</f>
        <v/>
      </c>
      <c r="S746" s="314">
        <f>(O746-R746)</f>
        <v/>
      </c>
      <c r="T746" s="112">
        <f>O746*(1-B$621)^($N746)</f>
        <v/>
      </c>
      <c r="U746" s="112">
        <f>IF(N746&lt;=$B$613,T746*$B$615/12,0)</f>
        <v/>
      </c>
      <c r="V746" s="315">
        <f>P746</f>
        <v/>
      </c>
      <c r="W746" s="314" t="n"/>
      <c r="X746" s="315">
        <f>P746</f>
        <v/>
      </c>
      <c r="Y746" s="316">
        <f>S746/$B$612*100</f>
        <v/>
      </c>
      <c r="Z746" s="46" t="n"/>
      <c r="AA746" s="313">
        <f>+V746-I746</f>
        <v/>
      </c>
    </row>
    <row r="747">
      <c r="A747" s="73" t="n">
        <v>116</v>
      </c>
      <c r="B747" s="289">
        <f>+F746</f>
        <v/>
      </c>
      <c r="C747" s="287">
        <f>(IF(A747&lt;$B$613,PMT($B$614/12,$B$613,-$B$612,$B$617,$B$620),IF(A747=$B$613,PMT($B$614/12,$B$613,-$B$612,$B$617,$B$620)+$B$617,0)))</f>
        <v/>
      </c>
      <c r="D747" s="289">
        <f>IF(A747&lt;=$B$613,B747*$B$614/12,0)</f>
        <v/>
      </c>
      <c r="E747" s="289">
        <f>C747-D747</f>
        <v/>
      </c>
      <c r="F747" s="314">
        <f>(B747-E747)</f>
        <v/>
      </c>
      <c r="G747" s="112">
        <f>B747*(1-B$621)^($A747)</f>
        <v/>
      </c>
      <c r="H747" s="112">
        <f>IF(A747&lt;=$B$613,G747*$B$614/12,0)</f>
        <v/>
      </c>
      <c r="I747" s="315">
        <f>C747</f>
        <v/>
      </c>
      <c r="J747" s="314" t="n"/>
      <c r="K747" s="315">
        <f>C747</f>
        <v/>
      </c>
      <c r="L747" s="316">
        <f>F747/$B$612*100</f>
        <v/>
      </c>
      <c r="M747" s="317" t="n"/>
      <c r="N747" s="73" t="n">
        <v>116</v>
      </c>
      <c r="O747" s="289">
        <f>+S746</f>
        <v/>
      </c>
      <c r="P747" s="287">
        <f>(IF(N747&lt;$B$613,PMT($B$615/12,$B$613,-$B$612,$B$617,0),IF(N747=$B$613,PMT($B$615/12,$B$613,-$B$612,$B$617,0)+$B$617,0)))</f>
        <v/>
      </c>
      <c r="Q747" s="289">
        <f>IF(N747&lt;=$B$613,O747*$B$615/12,0)</f>
        <v/>
      </c>
      <c r="R747" s="289">
        <f>P747-Q747</f>
        <v/>
      </c>
      <c r="S747" s="314">
        <f>(O747-R747)</f>
        <v/>
      </c>
      <c r="T747" s="112">
        <f>O747*(1-B$621)^($N747)</f>
        <v/>
      </c>
      <c r="U747" s="112">
        <f>IF(N747&lt;=$B$613,T747*$B$615/12,0)</f>
        <v/>
      </c>
      <c r="V747" s="315">
        <f>P747</f>
        <v/>
      </c>
      <c r="W747" s="314" t="n"/>
      <c r="X747" s="315">
        <f>P747</f>
        <v/>
      </c>
      <c r="Y747" s="316">
        <f>S747/$B$612*100</f>
        <v/>
      </c>
      <c r="Z747" s="46" t="n"/>
      <c r="AA747" s="313">
        <f>+V747-I747</f>
        <v/>
      </c>
    </row>
    <row r="748">
      <c r="A748" s="73" t="n">
        <v>117</v>
      </c>
      <c r="B748" s="289">
        <f>+F747</f>
        <v/>
      </c>
      <c r="C748" s="287">
        <f>(IF(A748&lt;$B$613,PMT($B$614/12,$B$613,-$B$612,$B$617,$B$620),IF(A748=$B$613,PMT($B$614/12,$B$613,-$B$612,$B$617,$B$620)+$B$617,0)))</f>
        <v/>
      </c>
      <c r="D748" s="289">
        <f>IF(A748&lt;=$B$613,B748*$B$614/12,0)</f>
        <v/>
      </c>
      <c r="E748" s="289">
        <f>C748-D748</f>
        <v/>
      </c>
      <c r="F748" s="314">
        <f>(B748-E748)</f>
        <v/>
      </c>
      <c r="G748" s="112">
        <f>B748*(1-B$621)^($A748)</f>
        <v/>
      </c>
      <c r="H748" s="112">
        <f>IF(A748&lt;=$B$613,G748*$B$614/12,0)</f>
        <v/>
      </c>
      <c r="I748" s="315">
        <f>C748</f>
        <v/>
      </c>
      <c r="J748" s="314" t="n"/>
      <c r="K748" s="315">
        <f>C748</f>
        <v/>
      </c>
      <c r="L748" s="316">
        <f>F748/$B$612*100</f>
        <v/>
      </c>
      <c r="M748" s="317" t="n"/>
      <c r="N748" s="73" t="n">
        <v>117</v>
      </c>
      <c r="O748" s="289">
        <f>+S747</f>
        <v/>
      </c>
      <c r="P748" s="287">
        <f>(IF(N748&lt;$B$613,PMT($B$615/12,$B$613,-$B$612,$B$617,0),IF(N748=$B$613,PMT($B$615/12,$B$613,-$B$612,$B$617,0)+$B$617,0)))</f>
        <v/>
      </c>
      <c r="Q748" s="289">
        <f>IF(N748&lt;=$B$613,O748*$B$615/12,0)</f>
        <v/>
      </c>
      <c r="R748" s="289">
        <f>P748-Q748</f>
        <v/>
      </c>
      <c r="S748" s="314">
        <f>(O748-R748)</f>
        <v/>
      </c>
      <c r="T748" s="112">
        <f>O748*(1-B$621)^($N748)</f>
        <v/>
      </c>
      <c r="U748" s="112">
        <f>IF(N748&lt;=$B$613,T748*$B$615/12,0)</f>
        <v/>
      </c>
      <c r="V748" s="315">
        <f>P748</f>
        <v/>
      </c>
      <c r="W748" s="314" t="n"/>
      <c r="X748" s="315">
        <f>P748</f>
        <v/>
      </c>
      <c r="Y748" s="316">
        <f>S748/$B$612*100</f>
        <v/>
      </c>
      <c r="Z748" s="46" t="n"/>
      <c r="AA748" s="313">
        <f>+V748-I748</f>
        <v/>
      </c>
    </row>
    <row r="749">
      <c r="A749" s="73" t="n">
        <v>118</v>
      </c>
      <c r="B749" s="289">
        <f>+F748</f>
        <v/>
      </c>
      <c r="C749" s="287">
        <f>(IF(A749&lt;$B$613,PMT($B$614/12,$B$613,-$B$612,$B$617,$B$620),IF(A749=$B$613,PMT($B$614/12,$B$613,-$B$612,$B$617,$B$620)+$B$617,0)))</f>
        <v/>
      </c>
      <c r="D749" s="289">
        <f>IF(A749&lt;=$B$613,B749*$B$614/12,0)</f>
        <v/>
      </c>
      <c r="E749" s="289">
        <f>C749-D749</f>
        <v/>
      </c>
      <c r="F749" s="314">
        <f>(B749-E749)</f>
        <v/>
      </c>
      <c r="G749" s="112">
        <f>B749*(1-B$621)^($A749)</f>
        <v/>
      </c>
      <c r="H749" s="112">
        <f>IF(A749&lt;=$B$613,G749*$B$614/12,0)</f>
        <v/>
      </c>
      <c r="I749" s="315">
        <f>C749</f>
        <v/>
      </c>
      <c r="J749" s="314" t="n"/>
      <c r="K749" s="315">
        <f>C749</f>
        <v/>
      </c>
      <c r="L749" s="316">
        <f>F749/$B$612*100</f>
        <v/>
      </c>
      <c r="M749" s="317" t="n"/>
      <c r="N749" s="73" t="n">
        <v>118</v>
      </c>
      <c r="O749" s="289">
        <f>+S748</f>
        <v/>
      </c>
      <c r="P749" s="287">
        <f>(IF(N749&lt;$B$613,PMT($B$615/12,$B$613,-$B$612,$B$617,0),IF(N749=$B$613,PMT($B$615/12,$B$613,-$B$612,$B$617,0)+$B$617,0)))</f>
        <v/>
      </c>
      <c r="Q749" s="289">
        <f>IF(N749&lt;=$B$613,O749*$B$615/12,0)</f>
        <v/>
      </c>
      <c r="R749" s="289">
        <f>P749-Q749</f>
        <v/>
      </c>
      <c r="S749" s="314">
        <f>(O749-R749)</f>
        <v/>
      </c>
      <c r="T749" s="112">
        <f>O749*(1-B$621)^($N749)</f>
        <v/>
      </c>
      <c r="U749" s="112">
        <f>IF(N749&lt;=$B$613,T749*$B$615/12,0)</f>
        <v/>
      </c>
      <c r="V749" s="315">
        <f>P749</f>
        <v/>
      </c>
      <c r="W749" s="314" t="n"/>
      <c r="X749" s="315">
        <f>P749</f>
        <v/>
      </c>
      <c r="Y749" s="316">
        <f>S749/$B$612*100</f>
        <v/>
      </c>
      <c r="Z749" s="46" t="n"/>
      <c r="AA749" s="313">
        <f>+V749-I749</f>
        <v/>
      </c>
    </row>
    <row r="750">
      <c r="A750" s="73" t="n">
        <v>119</v>
      </c>
      <c r="B750" s="289">
        <f>+F749</f>
        <v/>
      </c>
      <c r="C750" s="287">
        <f>(IF(A750&lt;$B$613,PMT($B$614/12,$B$613,-$B$612,$B$617,$B$620),IF(A750=$B$613,PMT($B$614/12,$B$613,-$B$612,$B$617,$B$620)+$B$617,0)))</f>
        <v/>
      </c>
      <c r="D750" s="289">
        <f>IF(A750&lt;=$B$613,B750*$B$614/12,0)</f>
        <v/>
      </c>
      <c r="E750" s="289">
        <f>C750-D750</f>
        <v/>
      </c>
      <c r="F750" s="314">
        <f>(B750-E750)</f>
        <v/>
      </c>
      <c r="G750" s="112">
        <f>B750*(1-B$621)^($A750)</f>
        <v/>
      </c>
      <c r="H750" s="112">
        <f>IF(A750&lt;=$B$613,G750*$B$614/12,0)</f>
        <v/>
      </c>
      <c r="I750" s="315">
        <f>C750</f>
        <v/>
      </c>
      <c r="J750" s="314" t="n"/>
      <c r="K750" s="315">
        <f>C750</f>
        <v/>
      </c>
      <c r="L750" s="316">
        <f>F750/$B$612*100</f>
        <v/>
      </c>
      <c r="M750" s="317" t="n"/>
      <c r="N750" s="73" t="n">
        <v>119</v>
      </c>
      <c r="O750" s="289">
        <f>+S749</f>
        <v/>
      </c>
      <c r="P750" s="287">
        <f>(IF(N750&lt;$B$613,PMT($B$615/12,$B$613,-$B$612,$B$617,0),IF(N750=$B$613,PMT($B$615/12,$B$613,-$B$612,$B$617,0)+$B$617,0)))</f>
        <v/>
      </c>
      <c r="Q750" s="289">
        <f>IF(N750&lt;=$B$613,O750*$B$615/12,0)</f>
        <v/>
      </c>
      <c r="R750" s="289">
        <f>P750-Q750</f>
        <v/>
      </c>
      <c r="S750" s="314">
        <f>(O750-R750)</f>
        <v/>
      </c>
      <c r="T750" s="112">
        <f>O750*(1-B$621)^($N750)</f>
        <v/>
      </c>
      <c r="U750" s="112">
        <f>IF(N750&lt;=$B$613,T750*$B$615/12,0)</f>
        <v/>
      </c>
      <c r="V750" s="315">
        <f>P750</f>
        <v/>
      </c>
      <c r="W750" s="314" t="n"/>
      <c r="X750" s="315">
        <f>P750</f>
        <v/>
      </c>
      <c r="Y750" s="316">
        <f>S750/$B$612*100</f>
        <v/>
      </c>
      <c r="Z750" s="46" t="n"/>
      <c r="AA750" s="313">
        <f>+V750-I750</f>
        <v/>
      </c>
    </row>
    <row r="751">
      <c r="A751" s="73" t="n">
        <v>120</v>
      </c>
      <c r="B751" s="289">
        <f>+F750</f>
        <v/>
      </c>
      <c r="C751" s="287">
        <f>(IF(A751&lt;$B$613,PMT($B$614/12,$B$613,-$B$612,$B$617,$B$620),IF(A751=$B$613,PMT($B$614/12,$B$613,-$B$612,$B$617,$B$620)+$B$617,0)))</f>
        <v/>
      </c>
      <c r="D751" s="289">
        <f>IF(A751&lt;=$B$613,B751*$B$614/12,0)</f>
        <v/>
      </c>
      <c r="E751" s="289">
        <f>C751-D751</f>
        <v/>
      </c>
      <c r="F751" s="314">
        <f>(B751-E751)</f>
        <v/>
      </c>
      <c r="G751" s="112">
        <f>B751*(1-B$621)^($A751)</f>
        <v/>
      </c>
      <c r="H751" s="112">
        <f>IF(A751&lt;=$B$613,G751*$B$614/12,0)</f>
        <v/>
      </c>
      <c r="I751" s="315">
        <f>C751</f>
        <v/>
      </c>
      <c r="J751" s="314" t="n"/>
      <c r="K751" s="315">
        <f>C751</f>
        <v/>
      </c>
      <c r="L751" s="316">
        <f>F751/$B$612*100</f>
        <v/>
      </c>
      <c r="M751" s="317" t="n"/>
      <c r="N751" s="73" t="n">
        <v>120</v>
      </c>
      <c r="O751" s="289">
        <f>+S750</f>
        <v/>
      </c>
      <c r="P751" s="287">
        <f>(IF(N751&lt;$B$613,PMT($B$615/12,$B$613,-$B$612,$B$617,0),IF(N751=$B$613,PMT($B$615/12,$B$613,-$B$612,$B$617,0)+$B$617,0)))</f>
        <v/>
      </c>
      <c r="Q751" s="289">
        <f>IF(N751&lt;=$B$613,O751*$B$615/12,0)</f>
        <v/>
      </c>
      <c r="R751" s="289">
        <f>P751-Q751</f>
        <v/>
      </c>
      <c r="S751" s="314">
        <f>(O751-R751)</f>
        <v/>
      </c>
      <c r="T751" s="112">
        <f>O751*(1-B$621)^($N751)</f>
        <v/>
      </c>
      <c r="U751" s="112">
        <f>IF(N751&lt;=$B$613,T751*$B$615/12,0)</f>
        <v/>
      </c>
      <c r="V751" s="315">
        <f>P751</f>
        <v/>
      </c>
      <c r="W751" s="314" t="n"/>
      <c r="X751" s="315">
        <f>P751</f>
        <v/>
      </c>
      <c r="Y751" s="316">
        <f>S751/$B$612*100</f>
        <v/>
      </c>
      <c r="Z751" s="46" t="n"/>
      <c r="AA751" s="313">
        <f>+V751-I751</f>
        <v/>
      </c>
    </row>
    <row r="752">
      <c r="A752" s="73" t="n">
        <v>121</v>
      </c>
      <c r="B752" s="289">
        <f>+F751</f>
        <v/>
      </c>
      <c r="C752" s="287">
        <f>(IF(A752&lt;$B$613,PMT($B$614/12,$B$613,-$B$612,$B$617,$B$620),IF(A752=$B$613,PMT($B$614/12,$B$613,-$B$612,$B$617,$B$620)+$B$617,0)))</f>
        <v/>
      </c>
      <c r="D752" s="289">
        <f>IF(A752&lt;=$B$613,B752*$B$614/12,0)</f>
        <v/>
      </c>
      <c r="E752" s="289">
        <f>C752-D752</f>
        <v/>
      </c>
      <c r="F752" s="314">
        <f>(B752-E752)</f>
        <v/>
      </c>
      <c r="G752" s="112">
        <f>B752*(1-B$621)^($A752)</f>
        <v/>
      </c>
      <c r="H752" s="112">
        <f>IF(A752&lt;=$B$613,G752*$B$614/12,0)</f>
        <v/>
      </c>
      <c r="I752" s="315">
        <f>C752</f>
        <v/>
      </c>
      <c r="J752" s="314" t="n"/>
      <c r="K752" s="315">
        <f>C752</f>
        <v/>
      </c>
      <c r="L752" s="316">
        <f>F752/$B$612*100</f>
        <v/>
      </c>
      <c r="M752" s="317" t="n"/>
      <c r="N752" s="73" t="n">
        <v>121</v>
      </c>
      <c r="O752" s="289">
        <f>+S751</f>
        <v/>
      </c>
      <c r="P752" s="287">
        <f>(IF(N752&lt;$B$613,PMT($B$615/12,$B$613,-$B$612,$B$617,0),IF(N752=$B$613,PMT($B$615/12,$B$613,-$B$612,$B$617,0)+$B$617,0)))</f>
        <v/>
      </c>
      <c r="Q752" s="289">
        <f>IF(N752&lt;=$B$613,O752*$B$615/12,0)</f>
        <v/>
      </c>
      <c r="R752" s="289">
        <f>P752-Q752</f>
        <v/>
      </c>
      <c r="S752" s="314">
        <f>(O752-R752)</f>
        <v/>
      </c>
      <c r="T752" s="112">
        <f>O752*(1-B$621)^($N752)</f>
        <v/>
      </c>
      <c r="U752" s="112">
        <f>IF(N752&lt;=$B$613,T752*$B$615/12,0)</f>
        <v/>
      </c>
      <c r="V752" s="315">
        <f>P752</f>
        <v/>
      </c>
      <c r="W752" s="314" t="n"/>
      <c r="X752" s="315">
        <f>P752</f>
        <v/>
      </c>
      <c r="Y752" s="316">
        <f>S752/$B$612*100</f>
        <v/>
      </c>
      <c r="Z752" s="46" t="n"/>
      <c r="AA752" s="313">
        <f>+V752-I752</f>
        <v/>
      </c>
    </row>
    <row r="753">
      <c r="A753" s="73" t="n">
        <v>122</v>
      </c>
      <c r="B753" s="289">
        <f>+F752</f>
        <v/>
      </c>
      <c r="C753" s="287">
        <f>(IF(A753&lt;$B$613,PMT($B$614/12,$B$613,-$B$612,$B$617,$B$620),IF(A753=$B$613,PMT($B$614/12,$B$613,-$B$612,$B$617,$B$620)+$B$617,0)))</f>
        <v/>
      </c>
      <c r="D753" s="289">
        <f>IF(A753&lt;=$B$613,B753*$B$614/12,0)</f>
        <v/>
      </c>
      <c r="E753" s="289">
        <f>C753-D753</f>
        <v/>
      </c>
      <c r="F753" s="314">
        <f>(B753-E753)</f>
        <v/>
      </c>
      <c r="G753" s="112">
        <f>B753*(1-B$621)^($A753)</f>
        <v/>
      </c>
      <c r="H753" s="112">
        <f>IF(A753&lt;=$B$613,G753*$B$614/12,0)</f>
        <v/>
      </c>
      <c r="I753" s="315">
        <f>C753</f>
        <v/>
      </c>
      <c r="J753" s="314" t="n"/>
      <c r="K753" s="315">
        <f>C753</f>
        <v/>
      </c>
      <c r="L753" s="316">
        <f>F753/$B$612*100</f>
        <v/>
      </c>
      <c r="M753" s="317" t="n"/>
      <c r="N753" s="73" t="n">
        <v>122</v>
      </c>
      <c r="O753" s="289">
        <f>+S752</f>
        <v/>
      </c>
      <c r="P753" s="287">
        <f>(IF(N753&lt;$B$613,PMT($B$615/12,$B$613,-$B$612,$B$617,0),IF(N753=$B$613,PMT($B$615/12,$B$613,-$B$612,$B$617,0)+$B$617,0)))</f>
        <v/>
      </c>
      <c r="Q753" s="289">
        <f>IF(N753&lt;=$B$613,O753*$B$615/12,0)</f>
        <v/>
      </c>
      <c r="R753" s="289">
        <f>P753-Q753</f>
        <v/>
      </c>
      <c r="S753" s="314">
        <f>(O753-R753)</f>
        <v/>
      </c>
      <c r="T753" s="112">
        <f>O753*(1-B$621)^($N753)</f>
        <v/>
      </c>
      <c r="U753" s="112">
        <f>IF(N753&lt;=$B$613,T753*$B$615/12,0)</f>
        <v/>
      </c>
      <c r="V753" s="315">
        <f>P753</f>
        <v/>
      </c>
      <c r="W753" s="314" t="n"/>
      <c r="X753" s="315">
        <f>P753</f>
        <v/>
      </c>
      <c r="Y753" s="316">
        <f>S753/$B$612*100</f>
        <v/>
      </c>
      <c r="Z753" s="46" t="n"/>
      <c r="AA753" s="313">
        <f>+V753-I753</f>
        <v/>
      </c>
    </row>
    <row r="754">
      <c r="A754" s="73" t="n">
        <v>123</v>
      </c>
      <c r="B754" s="289">
        <f>+F753</f>
        <v/>
      </c>
      <c r="C754" s="287">
        <f>(IF(A754&lt;$B$613,PMT($B$614/12,$B$613,-$B$612,$B$617,$B$620),IF(A754=$B$613,PMT($B$614/12,$B$613,-$B$612,$B$617,$B$620)+$B$617,0)))</f>
        <v/>
      </c>
      <c r="D754" s="289">
        <f>IF(A754&lt;=$B$613,B754*$B$614/12,0)</f>
        <v/>
      </c>
      <c r="E754" s="289">
        <f>C754-D754</f>
        <v/>
      </c>
      <c r="F754" s="314">
        <f>(B754-E754)</f>
        <v/>
      </c>
      <c r="G754" s="112">
        <f>B754*(1-B$621)^($A754)</f>
        <v/>
      </c>
      <c r="H754" s="112">
        <f>IF(A754&lt;=$B$613,G754*$B$614/12,0)</f>
        <v/>
      </c>
      <c r="I754" s="315">
        <f>C754</f>
        <v/>
      </c>
      <c r="J754" s="314" t="n"/>
      <c r="K754" s="315">
        <f>C754</f>
        <v/>
      </c>
      <c r="L754" s="316">
        <f>F754/$B$612*100</f>
        <v/>
      </c>
      <c r="M754" s="317" t="n"/>
      <c r="N754" s="73" t="n">
        <v>123</v>
      </c>
      <c r="O754" s="289">
        <f>+S753</f>
        <v/>
      </c>
      <c r="P754" s="287">
        <f>(IF(N754&lt;$B$613,PMT($B$615/12,$B$613,-$B$612,$B$617,0),IF(N754=$B$613,PMT($B$615/12,$B$613,-$B$612,$B$617,0)+$B$617,0)))</f>
        <v/>
      </c>
      <c r="Q754" s="289">
        <f>IF(N754&lt;=$B$613,O754*$B$615/12,0)</f>
        <v/>
      </c>
      <c r="R754" s="289">
        <f>P754-Q754</f>
        <v/>
      </c>
      <c r="S754" s="314">
        <f>(O754-R754)</f>
        <v/>
      </c>
      <c r="T754" s="112">
        <f>O754*(1-B$621)^($N754)</f>
        <v/>
      </c>
      <c r="U754" s="112">
        <f>IF(N754&lt;=$B$613,T754*$B$615/12,0)</f>
        <v/>
      </c>
      <c r="V754" s="315">
        <f>P754</f>
        <v/>
      </c>
      <c r="W754" s="314" t="n"/>
      <c r="X754" s="315">
        <f>P754</f>
        <v/>
      </c>
      <c r="Y754" s="316">
        <f>S754/$B$612*100</f>
        <v/>
      </c>
      <c r="Z754" s="46" t="n"/>
      <c r="AA754" s="313">
        <f>+V754-I754</f>
        <v/>
      </c>
    </row>
    <row r="755">
      <c r="A755" s="73" t="n">
        <v>124</v>
      </c>
      <c r="B755" s="289">
        <f>+F754</f>
        <v/>
      </c>
      <c r="C755" s="287">
        <f>(IF(A755&lt;$B$613,PMT($B$614/12,$B$613,-$B$612,$B$617,$B$620),IF(A755=$B$613,PMT($B$614/12,$B$613,-$B$612,$B$617,$B$620)+$B$617,0)))</f>
        <v/>
      </c>
      <c r="D755" s="289">
        <f>IF(A755&lt;=$B$613,B755*$B$614/12,0)</f>
        <v/>
      </c>
      <c r="E755" s="289">
        <f>C755-D755</f>
        <v/>
      </c>
      <c r="F755" s="314">
        <f>(B755-E755)</f>
        <v/>
      </c>
      <c r="G755" s="112">
        <f>B755*(1-B$621)^($A755)</f>
        <v/>
      </c>
      <c r="H755" s="112">
        <f>IF(A755&lt;=$B$613,G755*$B$614/12,0)</f>
        <v/>
      </c>
      <c r="I755" s="315">
        <f>C755</f>
        <v/>
      </c>
      <c r="J755" s="314" t="n"/>
      <c r="K755" s="315">
        <f>C755</f>
        <v/>
      </c>
      <c r="L755" s="316">
        <f>F755/$B$612*100</f>
        <v/>
      </c>
      <c r="M755" s="317" t="n"/>
      <c r="N755" s="73" t="n">
        <v>124</v>
      </c>
      <c r="O755" s="289">
        <f>+S754</f>
        <v/>
      </c>
      <c r="P755" s="287">
        <f>(IF(N755&lt;$B$613,PMT($B$615/12,$B$613,-$B$612,$B$617,0),IF(N755=$B$613,PMT($B$615/12,$B$613,-$B$612,$B$617,0)+$B$617,0)))</f>
        <v/>
      </c>
      <c r="Q755" s="289">
        <f>IF(N755&lt;=$B$613,O755*$B$615/12,0)</f>
        <v/>
      </c>
      <c r="R755" s="289">
        <f>P755-Q755</f>
        <v/>
      </c>
      <c r="S755" s="314">
        <f>(O755-R755)</f>
        <v/>
      </c>
      <c r="T755" s="112">
        <f>O755*(1-B$621)^($N755)</f>
        <v/>
      </c>
      <c r="U755" s="112">
        <f>IF(N755&lt;=$B$613,T755*$B$615/12,0)</f>
        <v/>
      </c>
      <c r="V755" s="315">
        <f>P755</f>
        <v/>
      </c>
      <c r="W755" s="314" t="n"/>
      <c r="X755" s="315">
        <f>P755</f>
        <v/>
      </c>
      <c r="Y755" s="316">
        <f>S755/$B$612*100</f>
        <v/>
      </c>
      <c r="Z755" s="46" t="n"/>
      <c r="AA755" s="313">
        <f>+V755-I755</f>
        <v/>
      </c>
    </row>
    <row r="756">
      <c r="A756" s="73" t="n">
        <v>125</v>
      </c>
      <c r="B756" s="289">
        <f>+F755</f>
        <v/>
      </c>
      <c r="C756" s="287">
        <f>(IF(A756&lt;$B$613,PMT($B$614/12,$B$613,-$B$612,$B$617,$B$620),IF(A756=$B$613,PMT($B$614/12,$B$613,-$B$612,$B$617,$B$620)+$B$617,0)))</f>
        <v/>
      </c>
      <c r="D756" s="289">
        <f>IF(A756&lt;=$B$613,B756*$B$614/12,0)</f>
        <v/>
      </c>
      <c r="E756" s="289">
        <f>C756-D756</f>
        <v/>
      </c>
      <c r="F756" s="314">
        <f>(B756-E756)</f>
        <v/>
      </c>
      <c r="G756" s="112">
        <f>B756*(1-B$621)^($A756)</f>
        <v/>
      </c>
      <c r="H756" s="112">
        <f>IF(A756&lt;=$B$613,G756*$B$614/12,0)</f>
        <v/>
      </c>
      <c r="I756" s="315">
        <f>C756</f>
        <v/>
      </c>
      <c r="J756" s="314" t="n"/>
      <c r="K756" s="315">
        <f>C756</f>
        <v/>
      </c>
      <c r="L756" s="316">
        <f>F756/$B$612*100</f>
        <v/>
      </c>
      <c r="M756" s="317" t="n"/>
      <c r="N756" s="73" t="n">
        <v>125</v>
      </c>
      <c r="O756" s="289">
        <f>+S755</f>
        <v/>
      </c>
      <c r="P756" s="287">
        <f>(IF(N756&lt;$B$613,PMT($B$615/12,$B$613,-$B$612,$B$617,0),IF(N756=$B$613,PMT($B$615/12,$B$613,-$B$612,$B$617,0)+$B$617,0)))</f>
        <v/>
      </c>
      <c r="Q756" s="289">
        <f>IF(N756&lt;=$B$613,O756*$B$615/12,0)</f>
        <v/>
      </c>
      <c r="R756" s="289">
        <f>P756-Q756</f>
        <v/>
      </c>
      <c r="S756" s="314">
        <f>(O756-R756)</f>
        <v/>
      </c>
      <c r="T756" s="112">
        <f>O756*(1-B$621)^($N756)</f>
        <v/>
      </c>
      <c r="U756" s="112">
        <f>IF(N756&lt;=$B$613,T756*$B$615/12,0)</f>
        <v/>
      </c>
      <c r="V756" s="315">
        <f>P756</f>
        <v/>
      </c>
      <c r="W756" s="314" t="n"/>
      <c r="X756" s="315">
        <f>P756</f>
        <v/>
      </c>
      <c r="Y756" s="316">
        <f>S756/$B$612*100</f>
        <v/>
      </c>
      <c r="Z756" s="46" t="n"/>
      <c r="AA756" s="313">
        <f>+V756-I756</f>
        <v/>
      </c>
    </row>
    <row r="757">
      <c r="A757" s="73" t="n">
        <v>126</v>
      </c>
      <c r="B757" s="289">
        <f>+F756</f>
        <v/>
      </c>
      <c r="C757" s="287">
        <f>(IF(A757&lt;$B$613,PMT($B$614/12,$B$613,-$B$612,$B$617,$B$620),IF(A757=$B$613,PMT($B$614/12,$B$613,-$B$612,$B$617,$B$620)+$B$617,0)))</f>
        <v/>
      </c>
      <c r="D757" s="289">
        <f>IF(A757&lt;=$B$613,B757*$B$614/12,0)</f>
        <v/>
      </c>
      <c r="E757" s="289">
        <f>C757-D757</f>
        <v/>
      </c>
      <c r="F757" s="314">
        <f>(B757-E757)</f>
        <v/>
      </c>
      <c r="G757" s="112">
        <f>B757*(1-B$621)^($A757)</f>
        <v/>
      </c>
      <c r="H757" s="112">
        <f>IF(A757&lt;=$B$613,G757*$B$614/12,0)</f>
        <v/>
      </c>
      <c r="I757" s="315">
        <f>C757</f>
        <v/>
      </c>
      <c r="J757" s="314" t="n"/>
      <c r="K757" s="315">
        <f>C757</f>
        <v/>
      </c>
      <c r="L757" s="316">
        <f>F757/$B$612*100</f>
        <v/>
      </c>
      <c r="M757" s="317" t="n"/>
      <c r="N757" s="73" t="n">
        <v>126</v>
      </c>
      <c r="O757" s="289">
        <f>+S756</f>
        <v/>
      </c>
      <c r="P757" s="287">
        <f>(IF(N757&lt;$B$613,PMT($B$615/12,$B$613,-$B$612,$B$617,0),IF(N757=$B$613,PMT($B$615/12,$B$613,-$B$612,$B$617,0)+$B$617,0)))</f>
        <v/>
      </c>
      <c r="Q757" s="289">
        <f>IF(N757&lt;=$B$613,O757*$B$615/12,0)</f>
        <v/>
      </c>
      <c r="R757" s="289">
        <f>P757-Q757</f>
        <v/>
      </c>
      <c r="S757" s="314">
        <f>(O757-R757)</f>
        <v/>
      </c>
      <c r="T757" s="112">
        <f>O757*(1-B$621)^($N757)</f>
        <v/>
      </c>
      <c r="U757" s="112">
        <f>IF(N757&lt;=$B$613,T757*$B$615/12,0)</f>
        <v/>
      </c>
      <c r="V757" s="315">
        <f>P757</f>
        <v/>
      </c>
      <c r="W757" s="314" t="n"/>
      <c r="X757" s="315">
        <f>P757</f>
        <v/>
      </c>
      <c r="Y757" s="316">
        <f>S757/$B$612*100</f>
        <v/>
      </c>
      <c r="Z757" s="46" t="n"/>
      <c r="AA757" s="313">
        <f>+V757-I757</f>
        <v/>
      </c>
    </row>
    <row r="758">
      <c r="A758" s="73" t="n">
        <v>127</v>
      </c>
      <c r="B758" s="289">
        <f>+F757</f>
        <v/>
      </c>
      <c r="C758" s="287">
        <f>(IF(A758&lt;$B$613,PMT($B$614/12,$B$613,-$B$612,$B$617,$B$620),IF(A758=$B$613,PMT($B$614/12,$B$613,-$B$612,$B$617,$B$620)+$B$617,0)))</f>
        <v/>
      </c>
      <c r="D758" s="289">
        <f>IF(A758&lt;=$B$613,B758*$B$614/12,0)</f>
        <v/>
      </c>
      <c r="E758" s="289">
        <f>C758-D758</f>
        <v/>
      </c>
      <c r="F758" s="314">
        <f>(B758-E758)</f>
        <v/>
      </c>
      <c r="G758" s="112">
        <f>B758*(1-B$621)^($A758)</f>
        <v/>
      </c>
      <c r="H758" s="112">
        <f>IF(A758&lt;=$B$613,G758*$B$614/12,0)</f>
        <v/>
      </c>
      <c r="I758" s="315">
        <f>C758</f>
        <v/>
      </c>
      <c r="J758" s="314" t="n"/>
      <c r="K758" s="315">
        <f>C758</f>
        <v/>
      </c>
      <c r="L758" s="316">
        <f>F758/$B$612*100</f>
        <v/>
      </c>
      <c r="M758" s="317" t="n"/>
      <c r="N758" s="73" t="n">
        <v>127</v>
      </c>
      <c r="O758" s="289">
        <f>+S757</f>
        <v/>
      </c>
      <c r="P758" s="287">
        <f>(IF(N758&lt;$B$613,PMT($B$615/12,$B$613,-$B$612,$B$617,0),IF(N758=$B$613,PMT($B$615/12,$B$613,-$B$612,$B$617,0)+$B$617,0)))</f>
        <v/>
      </c>
      <c r="Q758" s="289">
        <f>IF(N758&lt;=$B$613,O758*$B$615/12,0)</f>
        <v/>
      </c>
      <c r="R758" s="289">
        <f>P758-Q758</f>
        <v/>
      </c>
      <c r="S758" s="314">
        <f>(O758-R758)</f>
        <v/>
      </c>
      <c r="T758" s="112">
        <f>O758*(1-B$621)^($N758)</f>
        <v/>
      </c>
      <c r="U758" s="112">
        <f>IF(N758&lt;=$B$613,T758*$B$615/12,0)</f>
        <v/>
      </c>
      <c r="V758" s="315">
        <f>P758</f>
        <v/>
      </c>
      <c r="W758" s="314" t="n"/>
      <c r="X758" s="315">
        <f>P758</f>
        <v/>
      </c>
      <c r="Y758" s="316">
        <f>S758/$B$612*100</f>
        <v/>
      </c>
      <c r="Z758" s="46" t="n"/>
      <c r="AA758" s="313">
        <f>+V758-I758</f>
        <v/>
      </c>
    </row>
    <row r="759">
      <c r="A759" s="73" t="n">
        <v>128</v>
      </c>
      <c r="B759" s="289">
        <f>+F758</f>
        <v/>
      </c>
      <c r="C759" s="287">
        <f>(IF(A759&lt;$B$613,PMT($B$614/12,$B$613,-$B$612,$B$617,$B$620),IF(A759=$B$613,PMT($B$614/12,$B$613,-$B$612,$B$617,$B$620)+$B$617,0)))</f>
        <v/>
      </c>
      <c r="D759" s="289">
        <f>IF(A759&lt;=$B$613,B759*$B$614/12,0)</f>
        <v/>
      </c>
      <c r="E759" s="289">
        <f>C759-D759</f>
        <v/>
      </c>
      <c r="F759" s="314">
        <f>(B759-E759)</f>
        <v/>
      </c>
      <c r="G759" s="112">
        <f>B759*(1-B$621)^($A759)</f>
        <v/>
      </c>
      <c r="H759" s="112">
        <f>IF(A759&lt;=$B$613,G759*$B$614/12,0)</f>
        <v/>
      </c>
      <c r="I759" s="315">
        <f>C759</f>
        <v/>
      </c>
      <c r="J759" s="314" t="n"/>
      <c r="K759" s="315">
        <f>C759</f>
        <v/>
      </c>
      <c r="L759" s="316">
        <f>F759/$B$612*100</f>
        <v/>
      </c>
      <c r="M759" s="317" t="n"/>
      <c r="N759" s="73" t="n">
        <v>128</v>
      </c>
      <c r="O759" s="289">
        <f>+S758</f>
        <v/>
      </c>
      <c r="P759" s="287">
        <f>(IF(N759&lt;$B$613,PMT($B$615/12,$B$613,-$B$612,$B$617,0),IF(N759=$B$613,PMT($B$615/12,$B$613,-$B$612,$B$617,0)+$B$617,0)))</f>
        <v/>
      </c>
      <c r="Q759" s="289">
        <f>IF(N759&lt;=$B$613,O759*$B$615/12,0)</f>
        <v/>
      </c>
      <c r="R759" s="289">
        <f>P759-Q759</f>
        <v/>
      </c>
      <c r="S759" s="314">
        <f>(O759-R759)</f>
        <v/>
      </c>
      <c r="T759" s="112">
        <f>O759*(1-B$621)^($N759)</f>
        <v/>
      </c>
      <c r="U759" s="112">
        <f>IF(N759&lt;=$B$613,T759*$B$615/12,0)</f>
        <v/>
      </c>
      <c r="V759" s="315">
        <f>P759</f>
        <v/>
      </c>
      <c r="W759" s="314" t="n"/>
      <c r="X759" s="315">
        <f>P759</f>
        <v/>
      </c>
      <c r="Y759" s="316">
        <f>S759/$B$612*100</f>
        <v/>
      </c>
      <c r="Z759" s="46" t="n"/>
      <c r="AA759" s="313">
        <f>+V759-I759</f>
        <v/>
      </c>
    </row>
    <row r="760">
      <c r="A760" s="73" t="n">
        <v>129</v>
      </c>
      <c r="B760" s="289">
        <f>+F759</f>
        <v/>
      </c>
      <c r="C760" s="287">
        <f>(IF(A760&lt;$B$613,PMT($B$614/12,$B$613,-$B$612,$B$617,$B$620),IF(A760=$B$613,PMT($B$614/12,$B$613,-$B$612,$B$617,$B$620)+$B$617,0)))</f>
        <v/>
      </c>
      <c r="D760" s="289">
        <f>IF(A760&lt;=$B$613,B760*$B$614/12,0)</f>
        <v/>
      </c>
      <c r="E760" s="289">
        <f>C760-D760</f>
        <v/>
      </c>
      <c r="F760" s="314">
        <f>(B760-E760)</f>
        <v/>
      </c>
      <c r="G760" s="112">
        <f>B760*(1-B$621)^($A760)</f>
        <v/>
      </c>
      <c r="H760" s="112">
        <f>IF(A760&lt;=$B$613,G760*$B$614/12,0)</f>
        <v/>
      </c>
      <c r="I760" s="315">
        <f>C760</f>
        <v/>
      </c>
      <c r="J760" s="314" t="n"/>
      <c r="K760" s="315">
        <f>C760</f>
        <v/>
      </c>
      <c r="L760" s="316">
        <f>F760/$B$612*100</f>
        <v/>
      </c>
      <c r="M760" s="317" t="n"/>
      <c r="N760" s="73" t="n">
        <v>129</v>
      </c>
      <c r="O760" s="289">
        <f>+S759</f>
        <v/>
      </c>
      <c r="P760" s="287">
        <f>(IF(N760&lt;$B$613,PMT($B$615/12,$B$613,-$B$612,$B$617,0),IF(N760=$B$613,PMT($B$615/12,$B$613,-$B$612,$B$617,0)+$B$617,0)))</f>
        <v/>
      </c>
      <c r="Q760" s="289">
        <f>IF(N760&lt;=$B$613,O760*$B$615/12,0)</f>
        <v/>
      </c>
      <c r="R760" s="289">
        <f>P760-Q760</f>
        <v/>
      </c>
      <c r="S760" s="314">
        <f>(O760-R760)</f>
        <v/>
      </c>
      <c r="T760" s="112">
        <f>O760*(1-B$621)^($N760)</f>
        <v/>
      </c>
      <c r="U760" s="112">
        <f>IF(N760&lt;=$B$613,T760*$B$615/12,0)</f>
        <v/>
      </c>
      <c r="V760" s="315">
        <f>P760</f>
        <v/>
      </c>
      <c r="W760" s="314" t="n"/>
      <c r="X760" s="315">
        <f>P760</f>
        <v/>
      </c>
      <c r="Y760" s="316">
        <f>S760/$B$612*100</f>
        <v/>
      </c>
      <c r="Z760" s="46" t="n"/>
      <c r="AA760" s="313">
        <f>+V760-I760</f>
        <v/>
      </c>
    </row>
    <row r="761">
      <c r="A761" s="73" t="n">
        <v>130</v>
      </c>
      <c r="B761" s="289">
        <f>+F760</f>
        <v/>
      </c>
      <c r="C761" s="287">
        <f>(IF(A761&lt;$B$613,PMT($B$614/12,$B$613,-$B$612,$B$617,$B$620),IF(A761=$B$613,PMT($B$614/12,$B$613,-$B$612,$B$617,$B$620)+$B$617,0)))</f>
        <v/>
      </c>
      <c r="D761" s="289">
        <f>IF(A761&lt;=$B$613,B761*$B$614/12,0)</f>
        <v/>
      </c>
      <c r="E761" s="289">
        <f>C761-D761</f>
        <v/>
      </c>
      <c r="F761" s="314">
        <f>(B761-E761)</f>
        <v/>
      </c>
      <c r="G761" s="112">
        <f>B761*(1-B$621)^($A761)</f>
        <v/>
      </c>
      <c r="H761" s="112">
        <f>IF(A761&lt;=$B$613,G761*$B$614/12,0)</f>
        <v/>
      </c>
      <c r="I761" s="315">
        <f>C761</f>
        <v/>
      </c>
      <c r="J761" s="314" t="n"/>
      <c r="K761" s="315">
        <f>C761</f>
        <v/>
      </c>
      <c r="L761" s="316">
        <f>F761/$B$612*100</f>
        <v/>
      </c>
      <c r="M761" s="317" t="n"/>
      <c r="N761" s="73" t="n">
        <v>130</v>
      </c>
      <c r="O761" s="289">
        <f>+S760</f>
        <v/>
      </c>
      <c r="P761" s="287">
        <f>(IF(N761&lt;$B$613,PMT($B$615/12,$B$613,-$B$612,$B$617,0),IF(N761=$B$613,PMT($B$615/12,$B$613,-$B$612,$B$617,0)+$B$617,0)))</f>
        <v/>
      </c>
      <c r="Q761" s="289">
        <f>IF(N761&lt;=$B$613,O761*$B$615/12,0)</f>
        <v/>
      </c>
      <c r="R761" s="289">
        <f>P761-Q761</f>
        <v/>
      </c>
      <c r="S761" s="314">
        <f>(O761-R761)</f>
        <v/>
      </c>
      <c r="T761" s="112">
        <f>O761*(1-B$621)^($N761)</f>
        <v/>
      </c>
      <c r="U761" s="112">
        <f>IF(N761&lt;=$B$613,T761*$B$615/12,0)</f>
        <v/>
      </c>
      <c r="V761" s="315">
        <f>P761</f>
        <v/>
      </c>
      <c r="W761" s="314" t="n"/>
      <c r="X761" s="315">
        <f>P761</f>
        <v/>
      </c>
      <c r="Y761" s="316">
        <f>S761/$B$612*100</f>
        <v/>
      </c>
      <c r="Z761" s="46" t="n"/>
      <c r="AA761" s="313">
        <f>+V761-I761</f>
        <v/>
      </c>
    </row>
    <row r="762">
      <c r="A762" s="73" t="n">
        <v>131</v>
      </c>
      <c r="B762" s="289">
        <f>+F761</f>
        <v/>
      </c>
      <c r="C762" s="287">
        <f>(IF(A762&lt;$B$613,PMT($B$614/12,$B$613,-$B$612,$B$617,$B$620),IF(A762=$B$613,PMT($B$614/12,$B$613,-$B$612,$B$617,$B$620)+$B$617,0)))</f>
        <v/>
      </c>
      <c r="D762" s="289">
        <f>IF(A762&lt;=$B$613,B762*$B$614/12,0)</f>
        <v/>
      </c>
      <c r="E762" s="289">
        <f>C762-D762</f>
        <v/>
      </c>
      <c r="F762" s="314">
        <f>(B762-E762)</f>
        <v/>
      </c>
      <c r="G762" s="112">
        <f>B762*(1-B$621)^($A762)</f>
        <v/>
      </c>
      <c r="H762" s="112">
        <f>IF(A762&lt;=$B$613,G762*$B$614/12,0)</f>
        <v/>
      </c>
      <c r="I762" s="315">
        <f>C762</f>
        <v/>
      </c>
      <c r="J762" s="314" t="n"/>
      <c r="K762" s="315">
        <f>C762</f>
        <v/>
      </c>
      <c r="L762" s="316">
        <f>F762/$B$612*100</f>
        <v/>
      </c>
      <c r="M762" s="317" t="n"/>
      <c r="N762" s="73" t="n">
        <v>131</v>
      </c>
      <c r="O762" s="289">
        <f>+S761</f>
        <v/>
      </c>
      <c r="P762" s="287">
        <f>(IF(N762&lt;$B$613,PMT($B$615/12,$B$613,-$B$612,$B$617,0),IF(N762=$B$613,PMT($B$615/12,$B$613,-$B$612,$B$617,0)+$B$617,0)))</f>
        <v/>
      </c>
      <c r="Q762" s="289">
        <f>IF(N762&lt;=$B$613,O762*$B$615/12,0)</f>
        <v/>
      </c>
      <c r="R762" s="289">
        <f>P762-Q762</f>
        <v/>
      </c>
      <c r="S762" s="314">
        <f>(O762-R762)</f>
        <v/>
      </c>
      <c r="T762" s="112">
        <f>O762*(1-B$621)^($N762)</f>
        <v/>
      </c>
      <c r="U762" s="112">
        <f>IF(N762&lt;=$B$613,T762*$B$615/12,0)</f>
        <v/>
      </c>
      <c r="V762" s="315">
        <f>P762</f>
        <v/>
      </c>
      <c r="W762" s="314" t="n"/>
      <c r="X762" s="315">
        <f>P762</f>
        <v/>
      </c>
      <c r="Y762" s="316">
        <f>S762/$B$612*100</f>
        <v/>
      </c>
      <c r="Z762" s="46" t="n"/>
      <c r="AA762" s="313">
        <f>+V762-I762</f>
        <v/>
      </c>
    </row>
    <row r="763">
      <c r="A763" s="73" t="n">
        <v>132</v>
      </c>
      <c r="B763" s="289">
        <f>+F762</f>
        <v/>
      </c>
      <c r="C763" s="287">
        <f>(IF(A763&lt;$B$613,PMT($B$614/12,$B$613,-$B$612,$B$617,$B$620),IF(A763=$B$613,PMT($B$614/12,$B$613,-$B$612,$B$617,$B$620)+$B$617,0)))</f>
        <v/>
      </c>
      <c r="D763" s="289">
        <f>IF(A763&lt;=$B$613,B763*$B$614/12,0)</f>
        <v/>
      </c>
      <c r="E763" s="289">
        <f>C763-D763</f>
        <v/>
      </c>
      <c r="F763" s="314">
        <f>(B763-E763)</f>
        <v/>
      </c>
      <c r="G763" s="112">
        <f>B763*(1-B$621)^($A763)</f>
        <v/>
      </c>
      <c r="H763" s="112">
        <f>IF(A763&lt;=$B$613,G763*$B$614/12,0)</f>
        <v/>
      </c>
      <c r="I763" s="315">
        <f>C763</f>
        <v/>
      </c>
      <c r="J763" s="314" t="n"/>
      <c r="K763" s="315">
        <f>C763</f>
        <v/>
      </c>
      <c r="L763" s="316">
        <f>F763/$B$612*100</f>
        <v/>
      </c>
      <c r="M763" s="317" t="n"/>
      <c r="N763" s="73" t="n">
        <v>132</v>
      </c>
      <c r="O763" s="289">
        <f>+S762</f>
        <v/>
      </c>
      <c r="P763" s="287">
        <f>(IF(N763&lt;$B$613,PMT($B$615/12,$B$613,-$B$612,$B$617,0),IF(N763=$B$613,PMT($B$615/12,$B$613,-$B$612,$B$617,0)+$B$617,0)))</f>
        <v/>
      </c>
      <c r="Q763" s="289">
        <f>IF(N763&lt;=$B$613,O763*$B$615/12,0)</f>
        <v/>
      </c>
      <c r="R763" s="289">
        <f>P763-Q763</f>
        <v/>
      </c>
      <c r="S763" s="314">
        <f>(O763-R763)</f>
        <v/>
      </c>
      <c r="T763" s="112">
        <f>O763*(1-B$621)^($N763)</f>
        <v/>
      </c>
      <c r="U763" s="112">
        <f>IF(N763&lt;=$B$613,T763*$B$615/12,0)</f>
        <v/>
      </c>
      <c r="V763" s="315">
        <f>P763</f>
        <v/>
      </c>
      <c r="W763" s="314" t="n"/>
      <c r="X763" s="315">
        <f>P763</f>
        <v/>
      </c>
      <c r="Y763" s="316">
        <f>S763/$B$612*100</f>
        <v/>
      </c>
      <c r="Z763" s="46" t="n"/>
      <c r="AA763" s="313">
        <f>+V763-I763</f>
        <v/>
      </c>
    </row>
    <row r="764">
      <c r="A764" s="73" t="n">
        <v>133</v>
      </c>
      <c r="B764" s="289">
        <f>+F763</f>
        <v/>
      </c>
      <c r="C764" s="287">
        <f>(IF(A764&lt;$B$613,PMT($B$614/12,$B$613,-$B$612,$B$617,$B$620),IF(A764=$B$613,PMT($B$614/12,$B$613,-$B$612,$B$617,$B$620)+$B$617,0)))</f>
        <v/>
      </c>
      <c r="D764" s="289">
        <f>IF(A764&lt;=$B$613,B764*$B$614/12,0)</f>
        <v/>
      </c>
      <c r="E764" s="289">
        <f>C764-D764</f>
        <v/>
      </c>
      <c r="F764" s="314">
        <f>(B764-E764)</f>
        <v/>
      </c>
      <c r="G764" s="112">
        <f>B764*(1-B$621)^($A764)</f>
        <v/>
      </c>
      <c r="H764" s="112">
        <f>IF(A764&lt;=$B$613,G764*$B$614/12,0)</f>
        <v/>
      </c>
      <c r="I764" s="315">
        <f>C764</f>
        <v/>
      </c>
      <c r="J764" s="314" t="n"/>
      <c r="K764" s="315">
        <f>C764</f>
        <v/>
      </c>
      <c r="L764" s="316">
        <f>F764/$B$612*100</f>
        <v/>
      </c>
      <c r="M764" s="317" t="n"/>
      <c r="N764" s="73" t="n">
        <v>133</v>
      </c>
      <c r="O764" s="289">
        <f>+S763</f>
        <v/>
      </c>
      <c r="P764" s="287">
        <f>(IF(N764&lt;$B$613,PMT($B$615/12,$B$613,-$B$612,$B$617,0),IF(N764=$B$613,PMT($B$615/12,$B$613,-$B$612,$B$617,0)+$B$617,0)))</f>
        <v/>
      </c>
      <c r="Q764" s="289">
        <f>IF(N764&lt;=$B$613,O764*$B$615/12,0)</f>
        <v/>
      </c>
      <c r="R764" s="289">
        <f>P764-Q764</f>
        <v/>
      </c>
      <c r="S764" s="314">
        <f>(O764-R764)</f>
        <v/>
      </c>
      <c r="T764" s="112">
        <f>O764*(1-B$621)^($N764)</f>
        <v/>
      </c>
      <c r="U764" s="112">
        <f>IF(N764&lt;=$B$613,T764*$B$615/12,0)</f>
        <v/>
      </c>
      <c r="V764" s="315">
        <f>P764</f>
        <v/>
      </c>
      <c r="W764" s="314" t="n"/>
      <c r="X764" s="315">
        <f>P764</f>
        <v/>
      </c>
      <c r="Y764" s="316">
        <f>S764/$B$612*100</f>
        <v/>
      </c>
      <c r="Z764" s="46" t="n"/>
      <c r="AA764" s="313">
        <f>+V764-I764</f>
        <v/>
      </c>
    </row>
    <row r="765">
      <c r="A765" s="73" t="n">
        <v>134</v>
      </c>
      <c r="B765" s="289">
        <f>+F764</f>
        <v/>
      </c>
      <c r="C765" s="287">
        <f>(IF(A765&lt;$B$613,PMT($B$614/12,$B$613,-$B$612,$B$617,$B$620),IF(A765=$B$613,PMT($B$614/12,$B$613,-$B$612,$B$617,$B$620)+$B$617,0)))</f>
        <v/>
      </c>
      <c r="D765" s="289">
        <f>IF(A765&lt;=$B$613,B765*$B$614/12,0)</f>
        <v/>
      </c>
      <c r="E765" s="289">
        <f>C765-D765</f>
        <v/>
      </c>
      <c r="F765" s="314">
        <f>(B765-E765)</f>
        <v/>
      </c>
      <c r="G765" s="112">
        <f>B765*(1-B$621)^($A765)</f>
        <v/>
      </c>
      <c r="H765" s="112">
        <f>IF(A765&lt;=$B$613,G765*$B$614/12,0)</f>
        <v/>
      </c>
      <c r="I765" s="315">
        <f>C765</f>
        <v/>
      </c>
      <c r="J765" s="314" t="n"/>
      <c r="K765" s="315">
        <f>C765</f>
        <v/>
      </c>
      <c r="L765" s="316">
        <f>F765/$B$612*100</f>
        <v/>
      </c>
      <c r="M765" s="317" t="n"/>
      <c r="N765" s="73" t="n">
        <v>134</v>
      </c>
      <c r="O765" s="289">
        <f>+S764</f>
        <v/>
      </c>
      <c r="P765" s="287">
        <f>(IF(N765&lt;$B$613,PMT($B$615/12,$B$613,-$B$612,$B$617,0),IF(N765=$B$613,PMT($B$615/12,$B$613,-$B$612,$B$617,0)+$B$617,0)))</f>
        <v/>
      </c>
      <c r="Q765" s="289">
        <f>IF(N765&lt;=$B$613,O765*$B$615/12,0)</f>
        <v/>
      </c>
      <c r="R765" s="289">
        <f>P765-Q765</f>
        <v/>
      </c>
      <c r="S765" s="314">
        <f>(O765-R765)</f>
        <v/>
      </c>
      <c r="T765" s="112">
        <f>O765*(1-B$621)^($N765)</f>
        <v/>
      </c>
      <c r="U765" s="112">
        <f>IF(N765&lt;=$B$613,T765*$B$615/12,0)</f>
        <v/>
      </c>
      <c r="V765" s="315">
        <f>P765</f>
        <v/>
      </c>
      <c r="W765" s="314" t="n"/>
      <c r="X765" s="315">
        <f>P765</f>
        <v/>
      </c>
      <c r="Y765" s="316">
        <f>S765/$B$612*100</f>
        <v/>
      </c>
      <c r="Z765" s="46" t="n"/>
      <c r="AA765" s="313">
        <f>+V765-I765</f>
        <v/>
      </c>
    </row>
    <row r="766">
      <c r="A766" s="73" t="n">
        <v>135</v>
      </c>
      <c r="B766" s="289">
        <f>+F765</f>
        <v/>
      </c>
      <c r="C766" s="287">
        <f>(IF(A766&lt;$B$613,PMT($B$614/12,$B$613,-$B$612,$B$617,$B$620),IF(A766=$B$613,PMT($B$614/12,$B$613,-$B$612,$B$617,$B$620)+$B$617,0)))</f>
        <v/>
      </c>
      <c r="D766" s="289">
        <f>IF(A766&lt;=$B$613,B766*$B$614/12,0)</f>
        <v/>
      </c>
      <c r="E766" s="289">
        <f>C766-D766</f>
        <v/>
      </c>
      <c r="F766" s="314">
        <f>(B766-E766)</f>
        <v/>
      </c>
      <c r="G766" s="112">
        <f>B766*(1-B$621)^($A766)</f>
        <v/>
      </c>
      <c r="H766" s="112">
        <f>IF(A766&lt;=$B$613,G766*$B$614/12,0)</f>
        <v/>
      </c>
      <c r="I766" s="315">
        <f>C766</f>
        <v/>
      </c>
      <c r="J766" s="314" t="n"/>
      <c r="K766" s="315">
        <f>C766</f>
        <v/>
      </c>
      <c r="L766" s="316">
        <f>F766/$B$612*100</f>
        <v/>
      </c>
      <c r="M766" s="317" t="n"/>
      <c r="N766" s="73" t="n">
        <v>135</v>
      </c>
      <c r="O766" s="289">
        <f>+S765</f>
        <v/>
      </c>
      <c r="P766" s="287">
        <f>(IF(N766&lt;$B$613,PMT($B$615/12,$B$613,-$B$612,$B$617,0),IF(N766=$B$613,PMT($B$615/12,$B$613,-$B$612,$B$617,0)+$B$617,0)))</f>
        <v/>
      </c>
      <c r="Q766" s="289">
        <f>IF(N766&lt;=$B$613,O766*$B$615/12,0)</f>
        <v/>
      </c>
      <c r="R766" s="289">
        <f>P766-Q766</f>
        <v/>
      </c>
      <c r="S766" s="314">
        <f>(O766-R766)</f>
        <v/>
      </c>
      <c r="T766" s="112">
        <f>O766*(1-B$621)^($N766)</f>
        <v/>
      </c>
      <c r="U766" s="112">
        <f>IF(N766&lt;=$B$613,T766*$B$615/12,0)</f>
        <v/>
      </c>
      <c r="V766" s="315">
        <f>P766</f>
        <v/>
      </c>
      <c r="W766" s="314" t="n"/>
      <c r="X766" s="315">
        <f>P766</f>
        <v/>
      </c>
      <c r="Y766" s="316">
        <f>S766/$B$612*100</f>
        <v/>
      </c>
      <c r="Z766" s="46" t="n"/>
      <c r="AA766" s="313">
        <f>+V766-I766</f>
        <v/>
      </c>
    </row>
    <row r="767">
      <c r="A767" s="73" t="n">
        <v>136</v>
      </c>
      <c r="B767" s="289">
        <f>+F766</f>
        <v/>
      </c>
      <c r="C767" s="287">
        <f>(IF(A767&lt;$B$613,PMT($B$614/12,$B$613,-$B$612,$B$617,$B$620),IF(A767=$B$613,PMT($B$614/12,$B$613,-$B$612,$B$617,$B$620)+$B$617,0)))</f>
        <v/>
      </c>
      <c r="D767" s="289">
        <f>IF(A767&lt;=$B$613,B767*$B$614/12,0)</f>
        <v/>
      </c>
      <c r="E767" s="289">
        <f>C767-D767</f>
        <v/>
      </c>
      <c r="F767" s="314">
        <f>(B767-E767)</f>
        <v/>
      </c>
      <c r="G767" s="112">
        <f>B767*(1-B$621)^($A767)</f>
        <v/>
      </c>
      <c r="H767" s="112">
        <f>IF(A767&lt;=$B$613,G767*$B$614/12,0)</f>
        <v/>
      </c>
      <c r="I767" s="315">
        <f>C767</f>
        <v/>
      </c>
      <c r="J767" s="314" t="n"/>
      <c r="K767" s="315">
        <f>C767</f>
        <v/>
      </c>
      <c r="L767" s="316">
        <f>F767/$B$612*100</f>
        <v/>
      </c>
      <c r="M767" s="317" t="n"/>
      <c r="N767" s="73" t="n">
        <v>136</v>
      </c>
      <c r="O767" s="289">
        <f>+S766</f>
        <v/>
      </c>
      <c r="P767" s="287">
        <f>(IF(N767&lt;$B$613,PMT($B$615/12,$B$613,-$B$612,$B$617,0),IF(N767=$B$613,PMT($B$615/12,$B$613,-$B$612,$B$617,0)+$B$617,0)))</f>
        <v/>
      </c>
      <c r="Q767" s="289">
        <f>IF(N767&lt;=$B$613,O767*$B$615/12,0)</f>
        <v/>
      </c>
      <c r="R767" s="289">
        <f>P767-Q767</f>
        <v/>
      </c>
      <c r="S767" s="314">
        <f>(O767-R767)</f>
        <v/>
      </c>
      <c r="T767" s="112">
        <f>O767*(1-B$621)^($N767)</f>
        <v/>
      </c>
      <c r="U767" s="112">
        <f>IF(N767&lt;=$B$613,T767*$B$615/12,0)</f>
        <v/>
      </c>
      <c r="V767" s="315">
        <f>P767</f>
        <v/>
      </c>
      <c r="W767" s="314" t="n"/>
      <c r="X767" s="315">
        <f>P767</f>
        <v/>
      </c>
      <c r="Y767" s="316">
        <f>S767/$B$612*100</f>
        <v/>
      </c>
      <c r="Z767" s="46" t="n"/>
      <c r="AA767" s="313">
        <f>+V767-I767</f>
        <v/>
      </c>
    </row>
    <row r="768">
      <c r="A768" s="73" t="n">
        <v>137</v>
      </c>
      <c r="B768" s="289">
        <f>+F767</f>
        <v/>
      </c>
      <c r="C768" s="287">
        <f>(IF(A768&lt;$B$613,PMT($B$614/12,$B$613,-$B$612,$B$617,$B$620),IF(A768=$B$613,PMT($B$614/12,$B$613,-$B$612,$B$617,$B$620)+$B$617,0)))</f>
        <v/>
      </c>
      <c r="D768" s="289">
        <f>IF(A768&lt;=$B$613,B768*$B$614/12,0)</f>
        <v/>
      </c>
      <c r="E768" s="289">
        <f>C768-D768</f>
        <v/>
      </c>
      <c r="F768" s="314">
        <f>(B768-E768)</f>
        <v/>
      </c>
      <c r="G768" s="112">
        <f>B768*(1-B$621)^($A768)</f>
        <v/>
      </c>
      <c r="H768" s="112">
        <f>IF(A768&lt;=$B$613,G768*$B$614/12,0)</f>
        <v/>
      </c>
      <c r="I768" s="315">
        <f>C768</f>
        <v/>
      </c>
      <c r="J768" s="314" t="n"/>
      <c r="K768" s="315">
        <f>C768</f>
        <v/>
      </c>
      <c r="L768" s="316">
        <f>F768/$B$612*100</f>
        <v/>
      </c>
      <c r="M768" s="317" t="n"/>
      <c r="N768" s="73" t="n">
        <v>137</v>
      </c>
      <c r="O768" s="289">
        <f>+S767</f>
        <v/>
      </c>
      <c r="P768" s="287">
        <f>(IF(N768&lt;$B$613,PMT($B$615/12,$B$613,-$B$612,$B$617,0),IF(N768=$B$613,PMT($B$615/12,$B$613,-$B$612,$B$617,0)+$B$617,0)))</f>
        <v/>
      </c>
      <c r="Q768" s="289">
        <f>IF(N768&lt;=$B$613,O768*$B$615/12,0)</f>
        <v/>
      </c>
      <c r="R768" s="289">
        <f>P768-Q768</f>
        <v/>
      </c>
      <c r="S768" s="314">
        <f>(O768-R768)</f>
        <v/>
      </c>
      <c r="T768" s="112">
        <f>O768*(1-B$621)^($N768)</f>
        <v/>
      </c>
      <c r="U768" s="112">
        <f>IF(N768&lt;=$B$613,T768*$B$615/12,0)</f>
        <v/>
      </c>
      <c r="V768" s="315">
        <f>P768</f>
        <v/>
      </c>
      <c r="W768" s="314" t="n"/>
      <c r="X768" s="315">
        <f>P768</f>
        <v/>
      </c>
      <c r="Y768" s="316">
        <f>S768/$B$612*100</f>
        <v/>
      </c>
      <c r="Z768" s="46" t="n"/>
      <c r="AA768" s="313">
        <f>+V768-I768</f>
        <v/>
      </c>
    </row>
    <row r="769">
      <c r="A769" s="73" t="n">
        <v>138</v>
      </c>
      <c r="B769" s="289">
        <f>+F768</f>
        <v/>
      </c>
      <c r="C769" s="287">
        <f>(IF(A769&lt;$B$613,PMT($B$614/12,$B$613,-$B$612,$B$617,$B$620),IF(A769=$B$613,PMT($B$614/12,$B$613,-$B$612,$B$617,$B$620)+$B$617,0)))</f>
        <v/>
      </c>
      <c r="D769" s="289">
        <f>IF(A769&lt;=$B$613,B769*$B$614/12,0)</f>
        <v/>
      </c>
      <c r="E769" s="289">
        <f>C769-D769</f>
        <v/>
      </c>
      <c r="F769" s="314">
        <f>(B769-E769)</f>
        <v/>
      </c>
      <c r="G769" s="112">
        <f>B769*(1-B$621)^($A769)</f>
        <v/>
      </c>
      <c r="H769" s="112">
        <f>IF(A769&lt;=$B$613,G769*$B$614/12,0)</f>
        <v/>
      </c>
      <c r="I769" s="315">
        <f>C769</f>
        <v/>
      </c>
      <c r="J769" s="314" t="n"/>
      <c r="K769" s="315">
        <f>C769</f>
        <v/>
      </c>
      <c r="L769" s="316">
        <f>F769/$B$612*100</f>
        <v/>
      </c>
      <c r="M769" s="317" t="n"/>
      <c r="N769" s="73" t="n">
        <v>138</v>
      </c>
      <c r="O769" s="289">
        <f>+S768</f>
        <v/>
      </c>
      <c r="P769" s="287">
        <f>(IF(N769&lt;$B$613,PMT($B$615/12,$B$613,-$B$612,$B$617,0),IF(N769=$B$613,PMT($B$615/12,$B$613,-$B$612,$B$617,0)+$B$617,0)))</f>
        <v/>
      </c>
      <c r="Q769" s="289">
        <f>IF(N769&lt;=$B$613,O769*$B$615/12,0)</f>
        <v/>
      </c>
      <c r="R769" s="289">
        <f>P769-Q769</f>
        <v/>
      </c>
      <c r="S769" s="314">
        <f>(O769-R769)</f>
        <v/>
      </c>
      <c r="T769" s="112">
        <f>O769*(1-B$621)^($N769)</f>
        <v/>
      </c>
      <c r="U769" s="112">
        <f>IF(N769&lt;=$B$613,T769*$B$615/12,0)</f>
        <v/>
      </c>
      <c r="V769" s="315">
        <f>P769</f>
        <v/>
      </c>
      <c r="W769" s="314" t="n"/>
      <c r="X769" s="315">
        <f>P769</f>
        <v/>
      </c>
      <c r="Y769" s="316">
        <f>S769/$B$612*100</f>
        <v/>
      </c>
      <c r="Z769" s="46" t="n"/>
      <c r="AA769" s="313">
        <f>+V769-I769</f>
        <v/>
      </c>
    </row>
    <row r="770">
      <c r="A770" s="73" t="n">
        <v>139</v>
      </c>
      <c r="B770" s="289">
        <f>+F769</f>
        <v/>
      </c>
      <c r="C770" s="287">
        <f>(IF(A770&lt;$B$613,PMT($B$614/12,$B$613,-$B$612,$B$617,$B$620),IF(A770=$B$613,PMT($B$614/12,$B$613,-$B$612,$B$617,$B$620)+$B$617,0)))</f>
        <v/>
      </c>
      <c r="D770" s="289">
        <f>IF(A770&lt;=$B$613,B770*$B$614/12,0)</f>
        <v/>
      </c>
      <c r="E770" s="289">
        <f>C770-D770</f>
        <v/>
      </c>
      <c r="F770" s="314">
        <f>(B770-E770)</f>
        <v/>
      </c>
      <c r="G770" s="112">
        <f>B770*(1-B$621)^($A770)</f>
        <v/>
      </c>
      <c r="H770" s="112">
        <f>IF(A770&lt;=$B$613,G770*$B$614/12,0)</f>
        <v/>
      </c>
      <c r="I770" s="315">
        <f>C770</f>
        <v/>
      </c>
      <c r="J770" s="314" t="n"/>
      <c r="K770" s="315">
        <f>C770</f>
        <v/>
      </c>
      <c r="L770" s="316">
        <f>F770/$B$612*100</f>
        <v/>
      </c>
      <c r="M770" s="317" t="n"/>
      <c r="N770" s="73" t="n">
        <v>139</v>
      </c>
      <c r="O770" s="289">
        <f>+S769</f>
        <v/>
      </c>
      <c r="P770" s="287">
        <f>(IF(N770&lt;$B$613,PMT($B$615/12,$B$613,-$B$612,$B$617,0),IF(N770=$B$613,PMT($B$615/12,$B$613,-$B$612,$B$617,0)+$B$617,0)))</f>
        <v/>
      </c>
      <c r="Q770" s="289">
        <f>IF(N770&lt;=$B$613,O770*$B$615/12,0)</f>
        <v/>
      </c>
      <c r="R770" s="289">
        <f>P770-Q770</f>
        <v/>
      </c>
      <c r="S770" s="314">
        <f>(O770-R770)</f>
        <v/>
      </c>
      <c r="T770" s="112">
        <f>O770*(1-B$621)^($N770)</f>
        <v/>
      </c>
      <c r="U770" s="112">
        <f>IF(N770&lt;=$B$613,T770*$B$615/12,0)</f>
        <v/>
      </c>
      <c r="V770" s="315">
        <f>P770</f>
        <v/>
      </c>
      <c r="W770" s="314" t="n"/>
      <c r="X770" s="315">
        <f>P770</f>
        <v/>
      </c>
      <c r="Y770" s="316">
        <f>S770/$B$612*100</f>
        <v/>
      </c>
      <c r="Z770" s="46" t="n"/>
      <c r="AA770" s="313">
        <f>+V770-I770</f>
        <v/>
      </c>
    </row>
    <row r="771">
      <c r="A771" s="73" t="n">
        <v>140</v>
      </c>
      <c r="B771" s="289">
        <f>+F770</f>
        <v/>
      </c>
      <c r="C771" s="287">
        <f>(IF(A771&lt;$B$613,PMT($B$614/12,$B$613,-$B$612,$B$617,$B$620),IF(A771=$B$613,PMT($B$614/12,$B$613,-$B$612,$B$617,$B$620)+$B$617,0)))</f>
        <v/>
      </c>
      <c r="D771" s="289">
        <f>IF(A771&lt;=$B$613,B771*$B$614/12,0)</f>
        <v/>
      </c>
      <c r="E771" s="289">
        <f>C771-D771</f>
        <v/>
      </c>
      <c r="F771" s="314">
        <f>(B771-E771)</f>
        <v/>
      </c>
      <c r="G771" s="112">
        <f>B771*(1-B$621)^($A771)</f>
        <v/>
      </c>
      <c r="H771" s="112">
        <f>IF(A771&lt;=$B$613,G771*$B$614/12,0)</f>
        <v/>
      </c>
      <c r="I771" s="315">
        <f>C771</f>
        <v/>
      </c>
      <c r="J771" s="314" t="n"/>
      <c r="K771" s="315">
        <f>C771</f>
        <v/>
      </c>
      <c r="L771" s="316">
        <f>F771/$B$612*100</f>
        <v/>
      </c>
      <c r="M771" s="317" t="n"/>
      <c r="N771" s="73" t="n">
        <v>140</v>
      </c>
      <c r="O771" s="289">
        <f>+S770</f>
        <v/>
      </c>
      <c r="P771" s="287">
        <f>(IF(N771&lt;$B$613,PMT($B$615/12,$B$613,-$B$612,$B$617,0),IF(N771=$B$613,PMT($B$615/12,$B$613,-$B$612,$B$617,0)+$B$617,0)))</f>
        <v/>
      </c>
      <c r="Q771" s="289">
        <f>IF(N771&lt;=$B$613,O771*$B$615/12,0)</f>
        <v/>
      </c>
      <c r="R771" s="289">
        <f>P771-Q771</f>
        <v/>
      </c>
      <c r="S771" s="314">
        <f>(O771-R771)</f>
        <v/>
      </c>
      <c r="T771" s="112">
        <f>O771*(1-B$621)^($N771)</f>
        <v/>
      </c>
      <c r="U771" s="112">
        <f>IF(N771&lt;=$B$613,T771*$B$615/12,0)</f>
        <v/>
      </c>
      <c r="V771" s="315">
        <f>P771</f>
        <v/>
      </c>
      <c r="W771" s="314" t="n"/>
      <c r="X771" s="315">
        <f>P771</f>
        <v/>
      </c>
      <c r="Y771" s="316">
        <f>S771/$B$612*100</f>
        <v/>
      </c>
      <c r="Z771" s="46" t="n"/>
      <c r="AA771" s="313">
        <f>+V771-I771</f>
        <v/>
      </c>
    </row>
    <row r="772">
      <c r="A772" s="73" t="n">
        <v>141</v>
      </c>
      <c r="B772" s="289">
        <f>+F771</f>
        <v/>
      </c>
      <c r="C772" s="287">
        <f>(IF(A772&lt;$B$613,PMT($B$614/12,$B$613,-$B$612,$B$617,$B$620),IF(A772=$B$613,PMT($B$614/12,$B$613,-$B$612,$B$617,$B$620)+$B$617,0)))</f>
        <v/>
      </c>
      <c r="D772" s="289">
        <f>IF(A772&lt;=$B$613,B772*$B$614/12,0)</f>
        <v/>
      </c>
      <c r="E772" s="289">
        <f>C772-D772</f>
        <v/>
      </c>
      <c r="F772" s="314">
        <f>(B772-E772)</f>
        <v/>
      </c>
      <c r="G772" s="112">
        <f>B772*(1-B$621)^($A772)</f>
        <v/>
      </c>
      <c r="H772" s="112">
        <f>IF(A772&lt;=$B$613,G772*$B$614/12,0)</f>
        <v/>
      </c>
      <c r="I772" s="315">
        <f>C772</f>
        <v/>
      </c>
      <c r="J772" s="314" t="n"/>
      <c r="K772" s="315">
        <f>C772</f>
        <v/>
      </c>
      <c r="L772" s="316">
        <f>F772/$B$612*100</f>
        <v/>
      </c>
      <c r="M772" s="317" t="n"/>
      <c r="N772" s="73" t="n">
        <v>141</v>
      </c>
      <c r="O772" s="289">
        <f>+S771</f>
        <v/>
      </c>
      <c r="P772" s="287">
        <f>(IF(N772&lt;$B$613,PMT($B$615/12,$B$613,-$B$612,$B$617,0),IF(N772=$B$613,PMT($B$615/12,$B$613,-$B$612,$B$617,0)+$B$617,0)))</f>
        <v/>
      </c>
      <c r="Q772" s="289">
        <f>IF(N772&lt;=$B$613,O772*$B$615/12,0)</f>
        <v/>
      </c>
      <c r="R772" s="289">
        <f>P772-Q772</f>
        <v/>
      </c>
      <c r="S772" s="314">
        <f>(O772-R772)</f>
        <v/>
      </c>
      <c r="T772" s="112">
        <f>O772*(1-B$621)^($N772)</f>
        <v/>
      </c>
      <c r="U772" s="112">
        <f>IF(N772&lt;=$B$613,T772*$B$615/12,0)</f>
        <v/>
      </c>
      <c r="V772" s="315">
        <f>P772</f>
        <v/>
      </c>
      <c r="W772" s="314" t="n"/>
      <c r="X772" s="315">
        <f>P772</f>
        <v/>
      </c>
      <c r="Y772" s="316">
        <f>S772/$B$612*100</f>
        <v/>
      </c>
      <c r="Z772" s="46" t="n"/>
      <c r="AA772" s="313">
        <f>+V772-I772</f>
        <v/>
      </c>
    </row>
    <row r="773">
      <c r="A773" s="73" t="n">
        <v>142</v>
      </c>
      <c r="B773" s="289">
        <f>+F772</f>
        <v/>
      </c>
      <c r="C773" s="287">
        <f>(IF(A773&lt;$B$613,PMT($B$614/12,$B$613,-$B$612,$B$617,$B$620),IF(A773=$B$613,PMT($B$614/12,$B$613,-$B$612,$B$617,$B$620)+$B$617,0)))</f>
        <v/>
      </c>
      <c r="D773" s="289">
        <f>IF(A773&lt;=$B$613,B773*$B$614/12,0)</f>
        <v/>
      </c>
      <c r="E773" s="289">
        <f>C773-D773</f>
        <v/>
      </c>
      <c r="F773" s="314">
        <f>(B773-E773)</f>
        <v/>
      </c>
      <c r="G773" s="112">
        <f>B773*(1-B$621)^($A773)</f>
        <v/>
      </c>
      <c r="H773" s="112">
        <f>IF(A773&lt;=$B$613,G773*$B$614/12,0)</f>
        <v/>
      </c>
      <c r="I773" s="315">
        <f>C773</f>
        <v/>
      </c>
      <c r="J773" s="314" t="n"/>
      <c r="K773" s="315">
        <f>C773</f>
        <v/>
      </c>
      <c r="L773" s="316">
        <f>F773/$B$612*100</f>
        <v/>
      </c>
      <c r="M773" s="317" t="n"/>
      <c r="N773" s="73" t="n">
        <v>142</v>
      </c>
      <c r="O773" s="289">
        <f>+S772</f>
        <v/>
      </c>
      <c r="P773" s="287">
        <f>(IF(N773&lt;$B$613,PMT($B$615/12,$B$613,-$B$612,$B$617,0),IF(N773=$B$613,PMT($B$615/12,$B$613,-$B$612,$B$617,0)+$B$617,0)))</f>
        <v/>
      </c>
      <c r="Q773" s="289">
        <f>IF(N773&lt;=$B$613,O773*$B$615/12,0)</f>
        <v/>
      </c>
      <c r="R773" s="289">
        <f>P773-Q773</f>
        <v/>
      </c>
      <c r="S773" s="314">
        <f>(O773-R773)</f>
        <v/>
      </c>
      <c r="T773" s="112">
        <f>O773*(1-B$621)^($N773)</f>
        <v/>
      </c>
      <c r="U773" s="112">
        <f>IF(N773&lt;=$B$613,T773*$B$615/12,0)</f>
        <v/>
      </c>
      <c r="V773" s="315">
        <f>P773</f>
        <v/>
      </c>
      <c r="W773" s="314" t="n"/>
      <c r="X773" s="315">
        <f>P773</f>
        <v/>
      </c>
      <c r="Y773" s="316">
        <f>S773/$B$612*100</f>
        <v/>
      </c>
      <c r="Z773" s="46" t="n"/>
      <c r="AA773" s="313">
        <f>+V773-I773</f>
        <v/>
      </c>
    </row>
    <row r="774">
      <c r="A774" s="73" t="n">
        <v>143</v>
      </c>
      <c r="B774" s="289">
        <f>+F773</f>
        <v/>
      </c>
      <c r="C774" s="287">
        <f>(IF(A774&lt;$B$613,PMT($B$614/12,$B$613,-$B$612,$B$617,$B$620),IF(A774=$B$613,PMT($B$614/12,$B$613,-$B$612,$B$617,$B$620)+$B$617,0)))</f>
        <v/>
      </c>
      <c r="D774" s="289">
        <f>IF(A774&lt;=$B$613,B774*$B$614/12,0)</f>
        <v/>
      </c>
      <c r="E774" s="289">
        <f>C774-D774</f>
        <v/>
      </c>
      <c r="F774" s="314">
        <f>(B774-E774)</f>
        <v/>
      </c>
      <c r="G774" s="112">
        <f>B774*(1-B$621)^($A774)</f>
        <v/>
      </c>
      <c r="H774" s="112">
        <f>IF(A774&lt;=$B$613,G774*$B$614/12,0)</f>
        <v/>
      </c>
      <c r="I774" s="315">
        <f>C774</f>
        <v/>
      </c>
      <c r="J774" s="314" t="n"/>
      <c r="K774" s="315">
        <f>C774</f>
        <v/>
      </c>
      <c r="L774" s="316">
        <f>F774/$B$612*100</f>
        <v/>
      </c>
      <c r="M774" s="317" t="n"/>
      <c r="N774" s="73" t="n">
        <v>143</v>
      </c>
      <c r="O774" s="289">
        <f>+S773</f>
        <v/>
      </c>
      <c r="P774" s="287">
        <f>(IF(N774&lt;$B$613,PMT($B$615/12,$B$613,-$B$612,$B$617,0),IF(N774=$B$613,PMT($B$615/12,$B$613,-$B$612,$B$617,0)+$B$617,0)))</f>
        <v/>
      </c>
      <c r="Q774" s="289">
        <f>IF(N774&lt;=$B$613,O774*$B$615/12,0)</f>
        <v/>
      </c>
      <c r="R774" s="289">
        <f>P774-Q774</f>
        <v/>
      </c>
      <c r="S774" s="314">
        <f>(O774-R774)</f>
        <v/>
      </c>
      <c r="T774" s="112">
        <f>O774*(1-B$621)^($N774)</f>
        <v/>
      </c>
      <c r="U774" s="112">
        <f>IF(N774&lt;=$B$613,T774*$B$615/12,0)</f>
        <v/>
      </c>
      <c r="V774" s="315">
        <f>P774</f>
        <v/>
      </c>
      <c r="W774" s="314" t="n"/>
      <c r="X774" s="315">
        <f>P774</f>
        <v/>
      </c>
      <c r="Y774" s="316">
        <f>S774/$B$612*100</f>
        <v/>
      </c>
      <c r="Z774" s="46" t="n"/>
      <c r="AA774" s="313">
        <f>+V774-I774</f>
        <v/>
      </c>
    </row>
    <row r="775">
      <c r="A775" s="73" t="n">
        <v>144</v>
      </c>
      <c r="B775" s="289">
        <f>+F774</f>
        <v/>
      </c>
      <c r="C775" s="287">
        <f>(IF(A775&lt;$B$613,PMT($B$614/12,$B$613,-$B$612,$B$617,$B$620),IF(A775=$B$613,PMT($B$614/12,$B$613,-$B$612,$B$617,$B$620)+$B$617,0)))</f>
        <v/>
      </c>
      <c r="D775" s="289">
        <f>IF(A775&lt;=$B$613,B775*$B$614/12,0)</f>
        <v/>
      </c>
      <c r="E775" s="289">
        <f>C775-D775</f>
        <v/>
      </c>
      <c r="F775" s="314">
        <f>(B775-E775)</f>
        <v/>
      </c>
      <c r="G775" s="112">
        <f>B775*(1-B$621)^($A775)</f>
        <v/>
      </c>
      <c r="H775" s="112">
        <f>IF(A775&lt;=$B$613,G775*$B$614/12,0)</f>
        <v/>
      </c>
      <c r="I775" s="315">
        <f>C775</f>
        <v/>
      </c>
      <c r="J775" s="314" t="n"/>
      <c r="K775" s="315">
        <f>C775</f>
        <v/>
      </c>
      <c r="L775" s="316">
        <f>F775/$B$612*100</f>
        <v/>
      </c>
      <c r="M775" s="317" t="n"/>
      <c r="N775" s="73" t="n">
        <v>144</v>
      </c>
      <c r="O775" s="289">
        <f>+S774</f>
        <v/>
      </c>
      <c r="P775" s="287">
        <f>(IF(N775&lt;$B$613,PMT($B$615/12,$B$613,-$B$612,$B$617,0),IF(N775=$B$613,PMT($B$615/12,$B$613,-$B$612,$B$617,0)+$B$617,0)))</f>
        <v/>
      </c>
      <c r="Q775" s="289">
        <f>IF(N775&lt;=$B$613,O775*$B$615/12,0)</f>
        <v/>
      </c>
      <c r="R775" s="289">
        <f>P775-Q775</f>
        <v/>
      </c>
      <c r="S775" s="314">
        <f>(O775-R775)</f>
        <v/>
      </c>
      <c r="T775" s="112">
        <f>O775*(1-B$621)^($N775)</f>
        <v/>
      </c>
      <c r="U775" s="112">
        <f>IF(N775&lt;=$B$613,T775*$B$615/12,0)</f>
        <v/>
      </c>
      <c r="V775" s="315">
        <f>P775</f>
        <v/>
      </c>
      <c r="W775" s="314" t="n"/>
      <c r="X775" s="315">
        <f>P775</f>
        <v/>
      </c>
      <c r="Y775" s="316">
        <f>S775/$B$612*100</f>
        <v/>
      </c>
      <c r="Z775" s="46" t="n"/>
      <c r="AA775" s="313">
        <f>+V775-I775</f>
        <v/>
      </c>
    </row>
    <row r="776">
      <c r="A776" s="73" t="n">
        <v>145</v>
      </c>
      <c r="B776" s="289">
        <f>+F775</f>
        <v/>
      </c>
      <c r="C776" s="287">
        <f>(IF(A776&lt;$B$613,PMT($B$614/12,$B$613,-$B$612,$B$617,$B$620),IF(A776=$B$613,PMT($B$614/12,$B$613,-$B$612,$B$617,$B$620)+$B$617,0)))</f>
        <v/>
      </c>
      <c r="D776" s="289">
        <f>IF(A776&lt;=$B$613,B776*$B$614/12,0)</f>
        <v/>
      </c>
      <c r="E776" s="289">
        <f>C776-D776</f>
        <v/>
      </c>
      <c r="F776" s="314">
        <f>(B776-E776)</f>
        <v/>
      </c>
      <c r="G776" s="112">
        <f>B776*(1-B$621)^($A776)</f>
        <v/>
      </c>
      <c r="H776" s="112">
        <f>IF(A776&lt;=$B$613,G776*$B$614/12,0)</f>
        <v/>
      </c>
      <c r="I776" s="315">
        <f>C776</f>
        <v/>
      </c>
      <c r="J776" s="314" t="n"/>
      <c r="K776" s="315">
        <f>C776</f>
        <v/>
      </c>
      <c r="L776" s="316">
        <f>F776/$B$612*100</f>
        <v/>
      </c>
      <c r="M776" s="317" t="n"/>
      <c r="N776" s="73" t="n">
        <v>145</v>
      </c>
      <c r="O776" s="289">
        <f>+S775</f>
        <v/>
      </c>
      <c r="P776" s="287">
        <f>(IF(N776&lt;$B$613,PMT($B$615/12,$B$613,-$B$612,$B$617,0),IF(N776=$B$613,PMT($B$615/12,$B$613,-$B$612,$B$617,0)+$B$617,0)))</f>
        <v/>
      </c>
      <c r="Q776" s="289">
        <f>IF(N776&lt;=$B$613,O776*$B$615/12,0)</f>
        <v/>
      </c>
      <c r="R776" s="289">
        <f>P776-Q776</f>
        <v/>
      </c>
      <c r="S776" s="314">
        <f>(O776-R776)</f>
        <v/>
      </c>
      <c r="T776" s="112">
        <f>O776*(1-B$621)^($N776)</f>
        <v/>
      </c>
      <c r="U776" s="112">
        <f>IF(N776&lt;=$B$613,T776*$B$615/12,0)</f>
        <v/>
      </c>
      <c r="V776" s="315">
        <f>P776</f>
        <v/>
      </c>
      <c r="W776" s="314" t="n"/>
      <c r="X776" s="315">
        <f>P776</f>
        <v/>
      </c>
      <c r="Y776" s="316">
        <f>S776/$B$612*100</f>
        <v/>
      </c>
      <c r="Z776" s="46" t="n"/>
      <c r="AA776" s="313">
        <f>+V776-I776</f>
        <v/>
      </c>
    </row>
    <row r="777">
      <c r="A777" s="73" t="n">
        <v>146</v>
      </c>
      <c r="B777" s="289">
        <f>+F776</f>
        <v/>
      </c>
      <c r="C777" s="287">
        <f>(IF(A777&lt;$B$613,PMT($B$614/12,$B$613,-$B$612,$B$617,$B$620),IF(A777=$B$613,PMT($B$614/12,$B$613,-$B$612,$B$617,$B$620)+$B$617,0)))</f>
        <v/>
      </c>
      <c r="D777" s="289">
        <f>IF(A777&lt;=$B$613,B777*$B$614/12,0)</f>
        <v/>
      </c>
      <c r="E777" s="289">
        <f>C777-D777</f>
        <v/>
      </c>
      <c r="F777" s="314">
        <f>(B777-E777)</f>
        <v/>
      </c>
      <c r="G777" s="112">
        <f>B777*(1-B$621)^($A777)</f>
        <v/>
      </c>
      <c r="H777" s="112">
        <f>IF(A777&lt;=$B$613,G777*$B$614/12,0)</f>
        <v/>
      </c>
      <c r="I777" s="315">
        <f>C777</f>
        <v/>
      </c>
      <c r="J777" s="314" t="n"/>
      <c r="K777" s="315">
        <f>C777</f>
        <v/>
      </c>
      <c r="L777" s="316">
        <f>F777/$B$612*100</f>
        <v/>
      </c>
      <c r="M777" s="317" t="n"/>
      <c r="N777" s="73" t="n">
        <v>146</v>
      </c>
      <c r="O777" s="289">
        <f>+S776</f>
        <v/>
      </c>
      <c r="P777" s="287">
        <f>(IF(N777&lt;$B$613,PMT($B$615/12,$B$613,-$B$612,$B$617,0),IF(N777=$B$613,PMT($B$615/12,$B$613,-$B$612,$B$617,0)+$B$617,0)))</f>
        <v/>
      </c>
      <c r="Q777" s="289">
        <f>IF(N777&lt;=$B$613,O777*$B$615/12,0)</f>
        <v/>
      </c>
      <c r="R777" s="289">
        <f>P777-Q777</f>
        <v/>
      </c>
      <c r="S777" s="314">
        <f>(O777-R777)</f>
        <v/>
      </c>
      <c r="T777" s="112">
        <f>O777*(1-B$621)^($N777)</f>
        <v/>
      </c>
      <c r="U777" s="112">
        <f>IF(N777&lt;=$B$613,T777*$B$615/12,0)</f>
        <v/>
      </c>
      <c r="V777" s="315">
        <f>P777</f>
        <v/>
      </c>
      <c r="W777" s="314" t="n"/>
      <c r="X777" s="315">
        <f>P777</f>
        <v/>
      </c>
      <c r="Y777" s="316">
        <f>S777/$B$612*100</f>
        <v/>
      </c>
      <c r="Z777" s="46" t="n"/>
      <c r="AA777" s="313">
        <f>+V777-I777</f>
        <v/>
      </c>
    </row>
    <row r="778">
      <c r="A778" s="73" t="n">
        <v>147</v>
      </c>
      <c r="B778" s="289">
        <f>+F777</f>
        <v/>
      </c>
      <c r="C778" s="287">
        <f>(IF(A778&lt;$B$613,PMT($B$614/12,$B$613,-$B$612,$B$617,$B$620),IF(A778=$B$613,PMT($B$614/12,$B$613,-$B$612,$B$617,$B$620)+$B$617,0)))</f>
        <v/>
      </c>
      <c r="D778" s="289">
        <f>IF(A778&lt;=$B$613,B778*$B$614/12,0)</f>
        <v/>
      </c>
      <c r="E778" s="289">
        <f>C778-D778</f>
        <v/>
      </c>
      <c r="F778" s="314">
        <f>(B778-E778)</f>
        <v/>
      </c>
      <c r="G778" s="112">
        <f>B778*(1-B$621)^($A778)</f>
        <v/>
      </c>
      <c r="H778" s="112">
        <f>IF(A778&lt;=$B$613,G778*$B$614/12,0)</f>
        <v/>
      </c>
      <c r="I778" s="315">
        <f>C778</f>
        <v/>
      </c>
      <c r="J778" s="314" t="n"/>
      <c r="K778" s="315">
        <f>C778</f>
        <v/>
      </c>
      <c r="L778" s="316">
        <f>F778/$B$612*100</f>
        <v/>
      </c>
      <c r="M778" s="317" t="n"/>
      <c r="N778" s="73" t="n">
        <v>147</v>
      </c>
      <c r="O778" s="289">
        <f>+S777</f>
        <v/>
      </c>
      <c r="P778" s="287">
        <f>(IF(N778&lt;$B$613,PMT($B$615/12,$B$613,-$B$612,$B$617,0),IF(N778=$B$613,PMT($B$615/12,$B$613,-$B$612,$B$617,0)+$B$617,0)))</f>
        <v/>
      </c>
      <c r="Q778" s="289">
        <f>IF(N778&lt;=$B$613,O778*$B$615/12,0)</f>
        <v/>
      </c>
      <c r="R778" s="289">
        <f>P778-Q778</f>
        <v/>
      </c>
      <c r="S778" s="314">
        <f>(O778-R778)</f>
        <v/>
      </c>
      <c r="T778" s="112">
        <f>O778*(1-B$621)^($N778)</f>
        <v/>
      </c>
      <c r="U778" s="112">
        <f>IF(N778&lt;=$B$613,T778*$B$615/12,0)</f>
        <v/>
      </c>
      <c r="V778" s="315">
        <f>P778</f>
        <v/>
      </c>
      <c r="W778" s="314" t="n"/>
      <c r="X778" s="315">
        <f>P778</f>
        <v/>
      </c>
      <c r="Y778" s="316">
        <f>S778/$B$612*100</f>
        <v/>
      </c>
      <c r="Z778" s="46" t="n"/>
      <c r="AA778" s="313">
        <f>+V778-I778</f>
        <v/>
      </c>
    </row>
    <row r="779">
      <c r="A779" s="73" t="n">
        <v>148</v>
      </c>
      <c r="B779" s="289">
        <f>+F778</f>
        <v/>
      </c>
      <c r="C779" s="287">
        <f>(IF(A779&lt;$B$613,PMT($B$614/12,$B$613,-$B$612,$B$617,$B$620),IF(A779=$B$613,PMT($B$614/12,$B$613,-$B$612,$B$617,$B$620)+$B$617,0)))</f>
        <v/>
      </c>
      <c r="D779" s="289">
        <f>IF(A779&lt;=$B$613,B779*$B$614/12,0)</f>
        <v/>
      </c>
      <c r="E779" s="289">
        <f>C779-D779</f>
        <v/>
      </c>
      <c r="F779" s="314">
        <f>(B779-E779)</f>
        <v/>
      </c>
      <c r="G779" s="112">
        <f>B779*(1-B$621)^($A779)</f>
        <v/>
      </c>
      <c r="H779" s="112">
        <f>IF(A779&lt;=$B$613,G779*$B$614/12,0)</f>
        <v/>
      </c>
      <c r="I779" s="315">
        <f>C779</f>
        <v/>
      </c>
      <c r="J779" s="314" t="n"/>
      <c r="K779" s="315">
        <f>C779</f>
        <v/>
      </c>
      <c r="L779" s="316">
        <f>F779/$B$612*100</f>
        <v/>
      </c>
      <c r="M779" s="317" t="n"/>
      <c r="N779" s="73" t="n">
        <v>148</v>
      </c>
      <c r="O779" s="289">
        <f>+S778</f>
        <v/>
      </c>
      <c r="P779" s="287">
        <f>(IF(N779&lt;$B$613,PMT($B$615/12,$B$613,-$B$612,$B$617,0),IF(N779=$B$613,PMT($B$615/12,$B$613,-$B$612,$B$617,0)+$B$617,0)))</f>
        <v/>
      </c>
      <c r="Q779" s="289">
        <f>IF(N779&lt;=$B$613,O779*$B$615/12,0)</f>
        <v/>
      </c>
      <c r="R779" s="289">
        <f>P779-Q779</f>
        <v/>
      </c>
      <c r="S779" s="314">
        <f>(O779-R779)</f>
        <v/>
      </c>
      <c r="T779" s="112">
        <f>O779*(1-B$621)^($N779)</f>
        <v/>
      </c>
      <c r="U779" s="112">
        <f>IF(N779&lt;=$B$613,T779*$B$615/12,0)</f>
        <v/>
      </c>
      <c r="V779" s="315">
        <f>P779</f>
        <v/>
      </c>
      <c r="W779" s="314" t="n"/>
      <c r="X779" s="315">
        <f>P779</f>
        <v/>
      </c>
      <c r="Y779" s="316">
        <f>S779/$B$612*100</f>
        <v/>
      </c>
      <c r="Z779" s="46" t="n"/>
      <c r="AA779" s="313">
        <f>+V779-I779</f>
        <v/>
      </c>
    </row>
    <row r="780">
      <c r="A780" s="73" t="n">
        <v>149</v>
      </c>
      <c r="B780" s="289">
        <f>+F779</f>
        <v/>
      </c>
      <c r="C780" s="287">
        <f>(IF(A780&lt;$B$613,PMT($B$614/12,$B$613,-$B$612,$B$617,$B$620),IF(A780=$B$613,PMT($B$614/12,$B$613,-$B$612,$B$617,$B$620)+$B$617,0)))</f>
        <v/>
      </c>
      <c r="D780" s="289">
        <f>IF(A780&lt;=$B$613,B780*$B$614/12,0)</f>
        <v/>
      </c>
      <c r="E780" s="289">
        <f>C780-D780</f>
        <v/>
      </c>
      <c r="F780" s="314">
        <f>(B780-E780)</f>
        <v/>
      </c>
      <c r="G780" s="112">
        <f>B780*(1-B$621)^($A780)</f>
        <v/>
      </c>
      <c r="H780" s="112">
        <f>IF(A780&lt;=$B$613,G780*$B$614/12,0)</f>
        <v/>
      </c>
      <c r="I780" s="315">
        <f>C780</f>
        <v/>
      </c>
      <c r="J780" s="314" t="n"/>
      <c r="K780" s="315">
        <f>C780</f>
        <v/>
      </c>
      <c r="L780" s="316">
        <f>F780/$B$612*100</f>
        <v/>
      </c>
      <c r="M780" s="317" t="n"/>
      <c r="N780" s="73" t="n">
        <v>149</v>
      </c>
      <c r="O780" s="289">
        <f>+S779</f>
        <v/>
      </c>
      <c r="P780" s="287">
        <f>(IF(N780&lt;$B$613,PMT($B$615/12,$B$613,-$B$612,$B$617,0),IF(N780=$B$613,PMT($B$615/12,$B$613,-$B$612,$B$617,0)+$B$617,0)))</f>
        <v/>
      </c>
      <c r="Q780" s="289">
        <f>IF(N780&lt;=$B$613,O780*$B$615/12,0)</f>
        <v/>
      </c>
      <c r="R780" s="289">
        <f>P780-Q780</f>
        <v/>
      </c>
      <c r="S780" s="314">
        <f>(O780-R780)</f>
        <v/>
      </c>
      <c r="T780" s="112">
        <f>O780*(1-B$621)^($N780)</f>
        <v/>
      </c>
      <c r="U780" s="112">
        <f>IF(N780&lt;=$B$613,T780*$B$615/12,0)</f>
        <v/>
      </c>
      <c r="V780" s="315">
        <f>P780</f>
        <v/>
      </c>
      <c r="W780" s="314" t="n"/>
      <c r="X780" s="315">
        <f>P780</f>
        <v/>
      </c>
      <c r="Y780" s="316">
        <f>S780/$B$612*100</f>
        <v/>
      </c>
      <c r="Z780" s="46" t="n"/>
      <c r="AA780" s="313">
        <f>+V780-I780</f>
        <v/>
      </c>
    </row>
    <row r="781">
      <c r="A781" s="73" t="n">
        <v>150</v>
      </c>
      <c r="B781" s="289">
        <f>+F780</f>
        <v/>
      </c>
      <c r="C781" s="287">
        <f>(IF(A781&lt;$B$613,PMT($B$614/12,$B$613,-$B$612,$B$617,$B$620),IF(A781=$B$613,PMT($B$614/12,$B$613,-$B$612,$B$617,$B$620)+$B$617,0)))</f>
        <v/>
      </c>
      <c r="D781" s="289">
        <f>IF(A781&lt;=$B$613,B781*$B$614/12,0)</f>
        <v/>
      </c>
      <c r="E781" s="289">
        <f>C781-D781</f>
        <v/>
      </c>
      <c r="F781" s="314">
        <f>(B781-E781)</f>
        <v/>
      </c>
      <c r="G781" s="112">
        <f>B781*(1-B$621)^($A781)</f>
        <v/>
      </c>
      <c r="H781" s="112">
        <f>IF(A781&lt;=$B$613,G781*$B$614/12,0)</f>
        <v/>
      </c>
      <c r="I781" s="315">
        <f>C781</f>
        <v/>
      </c>
      <c r="J781" s="314" t="n"/>
      <c r="K781" s="315">
        <f>C781</f>
        <v/>
      </c>
      <c r="L781" s="316">
        <f>F781/$B$612*100</f>
        <v/>
      </c>
      <c r="M781" s="317" t="n"/>
      <c r="N781" s="73" t="n">
        <v>150</v>
      </c>
      <c r="O781" s="289">
        <f>+S780</f>
        <v/>
      </c>
      <c r="P781" s="287">
        <f>(IF(N781&lt;$B$613,PMT($B$615/12,$B$613,-$B$612,$B$617,0),IF(N781=$B$613,PMT($B$615/12,$B$613,-$B$612,$B$617,0)+$B$617,0)))</f>
        <v/>
      </c>
      <c r="Q781" s="289">
        <f>IF(N781&lt;=$B$613,O781*$B$615/12,0)</f>
        <v/>
      </c>
      <c r="R781" s="289">
        <f>P781-Q781</f>
        <v/>
      </c>
      <c r="S781" s="314">
        <f>(O781-R781)</f>
        <v/>
      </c>
      <c r="T781" s="112">
        <f>O781*(1-B$621)^($N781)</f>
        <v/>
      </c>
      <c r="U781" s="112">
        <f>IF(N781&lt;=$B$613,T781*$B$615/12,0)</f>
        <v/>
      </c>
      <c r="V781" s="315">
        <f>P781</f>
        <v/>
      </c>
      <c r="W781" s="314" t="n"/>
      <c r="X781" s="315">
        <f>P781</f>
        <v/>
      </c>
      <c r="Y781" s="316">
        <f>S781/$B$612*100</f>
        <v/>
      </c>
      <c r="Z781" s="46" t="n"/>
      <c r="AA781" s="313">
        <f>+V781-I781</f>
        <v/>
      </c>
    </row>
    <row r="782">
      <c r="A782" s="73" t="n">
        <v>151</v>
      </c>
      <c r="B782" s="289">
        <f>+F781</f>
        <v/>
      </c>
      <c r="C782" s="287">
        <f>(IF(A782&lt;$B$613,PMT($B$614/12,$B$613,-$B$612,$B$617,$B$620),IF(A782=$B$613,PMT($B$614/12,$B$613,-$B$612,$B$617,$B$620)+$B$617,0)))</f>
        <v/>
      </c>
      <c r="D782" s="289">
        <f>IF(A782&lt;=$B$613,B782*$B$614/12,0)</f>
        <v/>
      </c>
      <c r="E782" s="289">
        <f>C782-D782</f>
        <v/>
      </c>
      <c r="F782" s="314">
        <f>(B782-E782)</f>
        <v/>
      </c>
      <c r="G782" s="112">
        <f>B782*(1-B$621)^($A782)</f>
        <v/>
      </c>
      <c r="H782" s="112">
        <f>IF(A782&lt;=$B$613,G782*$B$614/12,0)</f>
        <v/>
      </c>
      <c r="I782" s="315">
        <f>C782</f>
        <v/>
      </c>
      <c r="J782" s="314" t="n"/>
      <c r="K782" s="315">
        <f>C782</f>
        <v/>
      </c>
      <c r="L782" s="316">
        <f>F782/$B$612*100</f>
        <v/>
      </c>
      <c r="M782" s="317" t="n"/>
      <c r="N782" s="73" t="n">
        <v>151</v>
      </c>
      <c r="O782" s="289">
        <f>+S781</f>
        <v/>
      </c>
      <c r="P782" s="287">
        <f>(IF(N782&lt;$B$613,PMT($B$615/12,$B$613,-$B$612,$B$617,0),IF(N782=$B$613,PMT($B$615/12,$B$613,-$B$612,$B$617,0)+$B$617,0)))</f>
        <v/>
      </c>
      <c r="Q782" s="289">
        <f>IF(N782&lt;=$B$613,O782*$B$615/12,0)</f>
        <v/>
      </c>
      <c r="R782" s="289">
        <f>P782-Q782</f>
        <v/>
      </c>
      <c r="S782" s="314">
        <f>(O782-R782)</f>
        <v/>
      </c>
      <c r="T782" s="112">
        <f>O782*(1-B$621)^($N782)</f>
        <v/>
      </c>
      <c r="U782" s="112">
        <f>IF(N782&lt;=$B$613,T782*$B$615/12,0)</f>
        <v/>
      </c>
      <c r="V782" s="315">
        <f>P782</f>
        <v/>
      </c>
      <c r="W782" s="314" t="n"/>
      <c r="X782" s="315">
        <f>P782</f>
        <v/>
      </c>
      <c r="Y782" s="316">
        <f>S782/$B$612*100</f>
        <v/>
      </c>
      <c r="Z782" s="46" t="n"/>
      <c r="AA782" s="313">
        <f>+V782-I782</f>
        <v/>
      </c>
    </row>
    <row r="783">
      <c r="A783" s="73" t="n">
        <v>152</v>
      </c>
      <c r="B783" s="289">
        <f>+F782</f>
        <v/>
      </c>
      <c r="C783" s="287">
        <f>(IF(A783&lt;$B$613,PMT($B$614/12,$B$613,-$B$612,$B$617,$B$620),IF(A783=$B$613,PMT($B$614/12,$B$613,-$B$612,$B$617,$B$620)+$B$617,0)))</f>
        <v/>
      </c>
      <c r="D783" s="289">
        <f>IF(A783&lt;=$B$613,B783*$B$614/12,0)</f>
        <v/>
      </c>
      <c r="E783" s="289">
        <f>C783-D783</f>
        <v/>
      </c>
      <c r="F783" s="314">
        <f>(B783-E783)</f>
        <v/>
      </c>
      <c r="G783" s="112">
        <f>B783*(1-B$621)^($A783)</f>
        <v/>
      </c>
      <c r="H783" s="112">
        <f>IF(A783&lt;=$B$613,G783*$B$614/12,0)</f>
        <v/>
      </c>
      <c r="I783" s="315">
        <f>C783</f>
        <v/>
      </c>
      <c r="J783" s="314" t="n"/>
      <c r="K783" s="315">
        <f>C783</f>
        <v/>
      </c>
      <c r="L783" s="316">
        <f>F783/$B$612*100</f>
        <v/>
      </c>
      <c r="M783" s="317" t="n"/>
      <c r="N783" s="73" t="n">
        <v>152</v>
      </c>
      <c r="O783" s="289">
        <f>+S782</f>
        <v/>
      </c>
      <c r="P783" s="287">
        <f>(IF(N783&lt;$B$613,PMT($B$615/12,$B$613,-$B$612,$B$617,0),IF(N783=$B$613,PMT($B$615/12,$B$613,-$B$612,$B$617,0)+$B$617,0)))</f>
        <v/>
      </c>
      <c r="Q783" s="289">
        <f>IF(N783&lt;=$B$613,O783*$B$615/12,0)</f>
        <v/>
      </c>
      <c r="R783" s="289">
        <f>P783-Q783</f>
        <v/>
      </c>
      <c r="S783" s="314">
        <f>(O783-R783)</f>
        <v/>
      </c>
      <c r="T783" s="112">
        <f>O783*(1-B$621)^($N783)</f>
        <v/>
      </c>
      <c r="U783" s="112">
        <f>IF(N783&lt;=$B$613,T783*$B$615/12,0)</f>
        <v/>
      </c>
      <c r="V783" s="315">
        <f>P783</f>
        <v/>
      </c>
      <c r="W783" s="314" t="n"/>
      <c r="X783" s="315">
        <f>P783</f>
        <v/>
      </c>
      <c r="Y783" s="316">
        <f>S783/$B$612*100</f>
        <v/>
      </c>
      <c r="Z783" s="46" t="n"/>
      <c r="AA783" s="313">
        <f>+V783-I783</f>
        <v/>
      </c>
    </row>
    <row r="784">
      <c r="A784" s="73" t="n">
        <v>153</v>
      </c>
      <c r="B784" s="289">
        <f>+F783</f>
        <v/>
      </c>
      <c r="C784" s="287">
        <f>(IF(A784&lt;$B$613,PMT($B$614/12,$B$613,-$B$612,$B$617,$B$620),IF(A784=$B$613,PMT($B$614/12,$B$613,-$B$612,$B$617,$B$620)+$B$617,0)))</f>
        <v/>
      </c>
      <c r="D784" s="289">
        <f>IF(A784&lt;=$B$613,B784*$B$614/12,0)</f>
        <v/>
      </c>
      <c r="E784" s="289">
        <f>C784-D784</f>
        <v/>
      </c>
      <c r="F784" s="314">
        <f>(B784-E784)</f>
        <v/>
      </c>
      <c r="G784" s="112">
        <f>B784*(1-B$621)^($A784)</f>
        <v/>
      </c>
      <c r="H784" s="112">
        <f>IF(A784&lt;=$B$613,G784*$B$614/12,0)</f>
        <v/>
      </c>
      <c r="I784" s="315">
        <f>C784</f>
        <v/>
      </c>
      <c r="J784" s="314" t="n"/>
      <c r="K784" s="315">
        <f>C784</f>
        <v/>
      </c>
      <c r="L784" s="316">
        <f>F784/$B$612*100</f>
        <v/>
      </c>
      <c r="M784" s="317" t="n"/>
      <c r="N784" s="73" t="n">
        <v>153</v>
      </c>
      <c r="O784" s="289">
        <f>+S783</f>
        <v/>
      </c>
      <c r="P784" s="287">
        <f>(IF(N784&lt;$B$613,PMT($B$615/12,$B$613,-$B$612,$B$617,0),IF(N784=$B$613,PMT($B$615/12,$B$613,-$B$612,$B$617,0)+$B$617,0)))</f>
        <v/>
      </c>
      <c r="Q784" s="289">
        <f>IF(N784&lt;=$B$613,O784*$B$615/12,0)</f>
        <v/>
      </c>
      <c r="R784" s="289">
        <f>P784-Q784</f>
        <v/>
      </c>
      <c r="S784" s="314">
        <f>(O784-R784)</f>
        <v/>
      </c>
      <c r="T784" s="112">
        <f>O784*(1-B$621)^($N784)</f>
        <v/>
      </c>
      <c r="U784" s="112">
        <f>IF(N784&lt;=$B$613,T784*$B$615/12,0)</f>
        <v/>
      </c>
      <c r="V784" s="315">
        <f>P784</f>
        <v/>
      </c>
      <c r="W784" s="314" t="n"/>
      <c r="X784" s="315">
        <f>P784</f>
        <v/>
      </c>
      <c r="Y784" s="316">
        <f>S784/$B$612*100</f>
        <v/>
      </c>
      <c r="Z784" s="46" t="n"/>
      <c r="AA784" s="313">
        <f>+V784-I784</f>
        <v/>
      </c>
    </row>
    <row r="785">
      <c r="A785" s="73" t="n">
        <v>154</v>
      </c>
      <c r="B785" s="289">
        <f>+F784</f>
        <v/>
      </c>
      <c r="C785" s="287">
        <f>(IF(A785&lt;$B$613,PMT($B$614/12,$B$613,-$B$612,$B$617,$B$620),IF(A785=$B$613,PMT($B$614/12,$B$613,-$B$612,$B$617,$B$620)+$B$617,0)))</f>
        <v/>
      </c>
      <c r="D785" s="289">
        <f>IF(A785&lt;=$B$613,B785*$B$614/12,0)</f>
        <v/>
      </c>
      <c r="E785" s="289">
        <f>C785-D785</f>
        <v/>
      </c>
      <c r="F785" s="314">
        <f>(B785-E785)</f>
        <v/>
      </c>
      <c r="G785" s="112">
        <f>B785*(1-B$621)^($A785)</f>
        <v/>
      </c>
      <c r="H785" s="112">
        <f>IF(A785&lt;=$B$613,G785*$B$614/12,0)</f>
        <v/>
      </c>
      <c r="I785" s="315">
        <f>C785</f>
        <v/>
      </c>
      <c r="J785" s="314" t="n"/>
      <c r="K785" s="315">
        <f>C785</f>
        <v/>
      </c>
      <c r="L785" s="316">
        <f>F785/$B$612*100</f>
        <v/>
      </c>
      <c r="M785" s="317" t="n"/>
      <c r="N785" s="73" t="n">
        <v>154</v>
      </c>
      <c r="O785" s="289">
        <f>+S784</f>
        <v/>
      </c>
      <c r="P785" s="287">
        <f>(IF(N785&lt;$B$613,PMT($B$615/12,$B$613,-$B$612,$B$617,0),IF(N785=$B$613,PMT($B$615/12,$B$613,-$B$612,$B$617,0)+$B$617,0)))</f>
        <v/>
      </c>
      <c r="Q785" s="289">
        <f>IF(N785&lt;=$B$613,O785*$B$615/12,0)</f>
        <v/>
      </c>
      <c r="R785" s="289">
        <f>P785-Q785</f>
        <v/>
      </c>
      <c r="S785" s="314">
        <f>(O785-R785)</f>
        <v/>
      </c>
      <c r="T785" s="112">
        <f>O785*(1-B$621)^($N785)</f>
        <v/>
      </c>
      <c r="U785" s="112">
        <f>IF(N785&lt;=$B$613,T785*$B$615/12,0)</f>
        <v/>
      </c>
      <c r="V785" s="315">
        <f>P785</f>
        <v/>
      </c>
      <c r="W785" s="314" t="n"/>
      <c r="X785" s="315">
        <f>P785</f>
        <v/>
      </c>
      <c r="Y785" s="316">
        <f>S785/$B$612*100</f>
        <v/>
      </c>
      <c r="Z785" s="46" t="n"/>
      <c r="AA785" s="313">
        <f>+V785-I785</f>
        <v/>
      </c>
    </row>
    <row r="786">
      <c r="A786" s="73" t="n">
        <v>155</v>
      </c>
      <c r="B786" s="289">
        <f>+F785</f>
        <v/>
      </c>
      <c r="C786" s="287">
        <f>(IF(A786&lt;$B$613,PMT($B$614/12,$B$613,-$B$612,$B$617,$B$620),IF(A786=$B$613,PMT($B$614/12,$B$613,-$B$612,$B$617,$B$620)+$B$617,0)))</f>
        <v/>
      </c>
      <c r="D786" s="289">
        <f>IF(A786&lt;=$B$613,B786*$B$614/12,0)</f>
        <v/>
      </c>
      <c r="E786" s="289">
        <f>C786-D786</f>
        <v/>
      </c>
      <c r="F786" s="314">
        <f>(B786-E786)</f>
        <v/>
      </c>
      <c r="G786" s="112">
        <f>B786*(1-B$621)^($A786)</f>
        <v/>
      </c>
      <c r="H786" s="112">
        <f>IF(A786&lt;=$B$613,G786*$B$614/12,0)</f>
        <v/>
      </c>
      <c r="I786" s="315">
        <f>C786</f>
        <v/>
      </c>
      <c r="J786" s="314" t="n"/>
      <c r="K786" s="315">
        <f>C786</f>
        <v/>
      </c>
      <c r="L786" s="316">
        <f>F786/$B$612*100</f>
        <v/>
      </c>
      <c r="M786" s="317" t="n"/>
      <c r="N786" s="73" t="n">
        <v>155</v>
      </c>
      <c r="O786" s="289">
        <f>+S785</f>
        <v/>
      </c>
      <c r="P786" s="287">
        <f>(IF(N786&lt;$B$613,PMT($B$615/12,$B$613,-$B$612,$B$617,0),IF(N786=$B$613,PMT($B$615/12,$B$613,-$B$612,$B$617,0)+$B$617,0)))</f>
        <v/>
      </c>
      <c r="Q786" s="289">
        <f>IF(N786&lt;=$B$613,O786*$B$615/12,0)</f>
        <v/>
      </c>
      <c r="R786" s="289">
        <f>P786-Q786</f>
        <v/>
      </c>
      <c r="S786" s="314">
        <f>(O786-R786)</f>
        <v/>
      </c>
      <c r="T786" s="112">
        <f>O786*(1-B$621)^($N786)</f>
        <v/>
      </c>
      <c r="U786" s="112">
        <f>IF(N786&lt;=$B$613,T786*$B$615/12,0)</f>
        <v/>
      </c>
      <c r="V786" s="315">
        <f>P786</f>
        <v/>
      </c>
      <c r="W786" s="314" t="n"/>
      <c r="X786" s="315">
        <f>P786</f>
        <v/>
      </c>
      <c r="Y786" s="316">
        <f>S786/$B$612*100</f>
        <v/>
      </c>
      <c r="Z786" s="46" t="n"/>
      <c r="AA786" s="313">
        <f>+V786-I786</f>
        <v/>
      </c>
    </row>
    <row r="787">
      <c r="A787" s="73" t="n">
        <v>156</v>
      </c>
      <c r="B787" s="289">
        <f>+F786</f>
        <v/>
      </c>
      <c r="C787" s="287">
        <f>(IF(A787&lt;$B$613,PMT($B$614/12,$B$613,-$B$612,$B$617,$B$620),IF(A787=$B$613,PMT($B$614/12,$B$613,-$B$612,$B$617,$B$620)+$B$617,0)))</f>
        <v/>
      </c>
      <c r="D787" s="289">
        <f>IF(A787&lt;=$B$613,B787*$B$614/12,0)</f>
        <v/>
      </c>
      <c r="E787" s="289">
        <f>C787-D787</f>
        <v/>
      </c>
      <c r="F787" s="314">
        <f>(B787-E787)</f>
        <v/>
      </c>
      <c r="G787" s="112">
        <f>B787*(1-B$621)^($A787)</f>
        <v/>
      </c>
      <c r="H787" s="112">
        <f>IF(A787&lt;=$B$613,G787*$B$614/12,0)</f>
        <v/>
      </c>
      <c r="I787" s="315">
        <f>C787</f>
        <v/>
      </c>
      <c r="J787" s="314" t="n"/>
      <c r="K787" s="315">
        <f>C787</f>
        <v/>
      </c>
      <c r="L787" s="316">
        <f>F787/$B$612*100</f>
        <v/>
      </c>
      <c r="M787" s="317" t="n"/>
      <c r="N787" s="73" t="n">
        <v>156</v>
      </c>
      <c r="O787" s="289">
        <f>+S786</f>
        <v/>
      </c>
      <c r="P787" s="287">
        <f>(IF(N787&lt;$B$613,PMT($B$615/12,$B$613,-$B$612,$B$617,0),IF(N787=$B$613,PMT($B$615/12,$B$613,-$B$612,$B$617,0)+$B$617,0)))</f>
        <v/>
      </c>
      <c r="Q787" s="289">
        <f>IF(N787&lt;=$B$613,O787*$B$615/12,0)</f>
        <v/>
      </c>
      <c r="R787" s="289">
        <f>P787-Q787</f>
        <v/>
      </c>
      <c r="S787" s="314">
        <f>(O787-R787)</f>
        <v/>
      </c>
      <c r="T787" s="112">
        <f>O787*(1-B$621)^($N787)</f>
        <v/>
      </c>
      <c r="U787" s="112">
        <f>IF(N787&lt;=$B$613,T787*$B$615/12,0)</f>
        <v/>
      </c>
      <c r="V787" s="315">
        <f>P787</f>
        <v/>
      </c>
      <c r="W787" s="314" t="n"/>
      <c r="X787" s="315">
        <f>P787</f>
        <v/>
      </c>
      <c r="Y787" s="316">
        <f>S787/$B$612*100</f>
        <v/>
      </c>
      <c r="Z787" s="46" t="n"/>
      <c r="AA787" s="313">
        <f>+V787-I787</f>
        <v/>
      </c>
    </row>
    <row r="788">
      <c r="A788" s="73" t="n">
        <v>157</v>
      </c>
      <c r="B788" s="289">
        <f>+F787</f>
        <v/>
      </c>
      <c r="C788" s="287">
        <f>(IF(A788&lt;$B$613,PMT($B$614/12,$B$613,-$B$612,$B$617,$B$620),IF(A788=$B$613,PMT($B$614/12,$B$613,-$B$612,$B$617,$B$620)+$B$617,0)))</f>
        <v/>
      </c>
      <c r="D788" s="289">
        <f>IF(A788&lt;=$B$613,B788*$B$614/12,0)</f>
        <v/>
      </c>
      <c r="E788" s="289">
        <f>C788-D788</f>
        <v/>
      </c>
      <c r="F788" s="314">
        <f>(B788-E788)</f>
        <v/>
      </c>
      <c r="G788" s="112">
        <f>B788*(1-B$621)^($A788)</f>
        <v/>
      </c>
      <c r="H788" s="112">
        <f>IF(A788&lt;=$B$613,G788*$B$614/12,0)</f>
        <v/>
      </c>
      <c r="I788" s="315">
        <f>C788</f>
        <v/>
      </c>
      <c r="J788" s="314" t="n"/>
      <c r="K788" s="315">
        <f>C788</f>
        <v/>
      </c>
      <c r="L788" s="316">
        <f>F788/$B$612*100</f>
        <v/>
      </c>
      <c r="M788" s="317" t="n"/>
      <c r="N788" s="73" t="n">
        <v>157</v>
      </c>
      <c r="O788" s="289">
        <f>+S787</f>
        <v/>
      </c>
      <c r="P788" s="287">
        <f>(IF(N788&lt;$B$613,PMT($B$615/12,$B$613,-$B$612,$B$617,0),IF(N788=$B$613,PMT($B$615/12,$B$613,-$B$612,$B$617,0)+$B$617,0)))</f>
        <v/>
      </c>
      <c r="Q788" s="289">
        <f>IF(N788&lt;=$B$613,O788*$B$615/12,0)</f>
        <v/>
      </c>
      <c r="R788" s="289">
        <f>P788-Q788</f>
        <v/>
      </c>
      <c r="S788" s="314">
        <f>(O788-R788)</f>
        <v/>
      </c>
      <c r="T788" s="112">
        <f>O788*(1-B$621)^($N788)</f>
        <v/>
      </c>
      <c r="U788" s="112">
        <f>IF(N788&lt;=$B$613,T788*$B$615/12,0)</f>
        <v/>
      </c>
      <c r="V788" s="315">
        <f>P788</f>
        <v/>
      </c>
      <c r="W788" s="314" t="n"/>
      <c r="X788" s="315">
        <f>P788</f>
        <v/>
      </c>
      <c r="Y788" s="316">
        <f>S788/$B$612*100</f>
        <v/>
      </c>
      <c r="Z788" s="46" t="n"/>
      <c r="AA788" s="313">
        <f>+V788-I788</f>
        <v/>
      </c>
    </row>
    <row r="789">
      <c r="A789" s="73" t="n">
        <v>158</v>
      </c>
      <c r="B789" s="289">
        <f>+F788</f>
        <v/>
      </c>
      <c r="C789" s="287">
        <f>(IF(A789&lt;$B$613,PMT($B$614/12,$B$613,-$B$612,$B$617,$B$620),IF(A789=$B$613,PMT($B$614/12,$B$613,-$B$612,$B$617,$B$620)+$B$617,0)))</f>
        <v/>
      </c>
      <c r="D789" s="289">
        <f>IF(A789&lt;=$B$613,B789*$B$614/12,0)</f>
        <v/>
      </c>
      <c r="E789" s="289">
        <f>C789-D789</f>
        <v/>
      </c>
      <c r="F789" s="314">
        <f>(B789-E789)</f>
        <v/>
      </c>
      <c r="G789" s="112">
        <f>B789*(1-B$621)^($A789)</f>
        <v/>
      </c>
      <c r="H789" s="112">
        <f>IF(A789&lt;=$B$613,G789*$B$614/12,0)</f>
        <v/>
      </c>
      <c r="I789" s="315">
        <f>C789</f>
        <v/>
      </c>
      <c r="J789" s="314" t="n"/>
      <c r="K789" s="315">
        <f>C789</f>
        <v/>
      </c>
      <c r="L789" s="316">
        <f>F789/$B$612*100</f>
        <v/>
      </c>
      <c r="M789" s="317" t="n"/>
      <c r="N789" s="73" t="n">
        <v>158</v>
      </c>
      <c r="O789" s="289">
        <f>+S788</f>
        <v/>
      </c>
      <c r="P789" s="287">
        <f>(IF(N789&lt;$B$613,PMT($B$615/12,$B$613,-$B$612,$B$617,0),IF(N789=$B$613,PMT($B$615/12,$B$613,-$B$612,$B$617,0)+$B$617,0)))</f>
        <v/>
      </c>
      <c r="Q789" s="289">
        <f>IF(N789&lt;=$B$613,O789*$B$615/12,0)</f>
        <v/>
      </c>
      <c r="R789" s="289">
        <f>P789-Q789</f>
        <v/>
      </c>
      <c r="S789" s="314">
        <f>(O789-R789)</f>
        <v/>
      </c>
      <c r="T789" s="112">
        <f>O789*(1-B$621)^($N789)</f>
        <v/>
      </c>
      <c r="U789" s="112">
        <f>IF(N789&lt;=$B$613,T789*$B$615/12,0)</f>
        <v/>
      </c>
      <c r="V789" s="315">
        <f>P789</f>
        <v/>
      </c>
      <c r="W789" s="314" t="n"/>
      <c r="X789" s="315">
        <f>P789</f>
        <v/>
      </c>
      <c r="Y789" s="316">
        <f>S789/$B$612*100</f>
        <v/>
      </c>
      <c r="Z789" s="46" t="n"/>
      <c r="AA789" s="313">
        <f>+V789-I789</f>
        <v/>
      </c>
    </row>
    <row r="790">
      <c r="A790" s="73" t="n">
        <v>159</v>
      </c>
      <c r="B790" s="289">
        <f>+F789</f>
        <v/>
      </c>
      <c r="C790" s="287">
        <f>(IF(A790&lt;$B$613,PMT($B$614/12,$B$613,-$B$612,$B$617,$B$620),IF(A790=$B$613,PMT($B$614/12,$B$613,-$B$612,$B$617,$B$620)+$B$617,0)))</f>
        <v/>
      </c>
      <c r="D790" s="289">
        <f>IF(A790&lt;=$B$613,B790*$B$614/12,0)</f>
        <v/>
      </c>
      <c r="E790" s="289">
        <f>C790-D790</f>
        <v/>
      </c>
      <c r="F790" s="314">
        <f>(B790-E790)</f>
        <v/>
      </c>
      <c r="G790" s="112">
        <f>B790*(1-B$621)^($A790)</f>
        <v/>
      </c>
      <c r="H790" s="112">
        <f>IF(A790&lt;=$B$613,G790*$B$614/12,0)</f>
        <v/>
      </c>
      <c r="I790" s="315">
        <f>C790</f>
        <v/>
      </c>
      <c r="J790" s="314" t="n"/>
      <c r="K790" s="315">
        <f>C790</f>
        <v/>
      </c>
      <c r="L790" s="316">
        <f>F790/$B$612*100</f>
        <v/>
      </c>
      <c r="M790" s="317" t="n"/>
      <c r="N790" s="73" t="n">
        <v>159</v>
      </c>
      <c r="O790" s="289">
        <f>+S789</f>
        <v/>
      </c>
      <c r="P790" s="287">
        <f>(IF(N790&lt;$B$613,PMT($B$615/12,$B$613,-$B$612,$B$617,0),IF(N790=$B$613,PMT($B$615/12,$B$613,-$B$612,$B$617,0)+$B$617,0)))</f>
        <v/>
      </c>
      <c r="Q790" s="289">
        <f>IF(N790&lt;=$B$613,O790*$B$615/12,0)</f>
        <v/>
      </c>
      <c r="R790" s="289">
        <f>P790-Q790</f>
        <v/>
      </c>
      <c r="S790" s="314">
        <f>(O790-R790)</f>
        <v/>
      </c>
      <c r="T790" s="112">
        <f>O790*(1-B$621)^($N790)</f>
        <v/>
      </c>
      <c r="U790" s="112">
        <f>IF(N790&lt;=$B$613,T790*$B$615/12,0)</f>
        <v/>
      </c>
      <c r="V790" s="315">
        <f>P790</f>
        <v/>
      </c>
      <c r="W790" s="314" t="n"/>
      <c r="X790" s="315">
        <f>P790</f>
        <v/>
      </c>
      <c r="Y790" s="316">
        <f>S790/$B$612*100</f>
        <v/>
      </c>
      <c r="Z790" s="46" t="n"/>
      <c r="AA790" s="313">
        <f>+V790-I790</f>
        <v/>
      </c>
    </row>
    <row r="791">
      <c r="A791" s="73" t="n">
        <v>160</v>
      </c>
      <c r="B791" s="289">
        <f>+F790</f>
        <v/>
      </c>
      <c r="C791" s="287">
        <f>(IF(A791&lt;$B$613,PMT($B$614/12,$B$613,-$B$612,$B$617,$B$620),IF(A791=$B$613,PMT($B$614/12,$B$613,-$B$612,$B$617,$B$620)+$B$617,0)))</f>
        <v/>
      </c>
      <c r="D791" s="289">
        <f>IF(A791&lt;=$B$613,B791*$B$614/12,0)</f>
        <v/>
      </c>
      <c r="E791" s="289">
        <f>C791-D791</f>
        <v/>
      </c>
      <c r="F791" s="314">
        <f>(B791-E791)</f>
        <v/>
      </c>
      <c r="G791" s="112">
        <f>B791*(1-B$621)^($A791)</f>
        <v/>
      </c>
      <c r="H791" s="112">
        <f>IF(A791&lt;=$B$613,G791*$B$614/12,0)</f>
        <v/>
      </c>
      <c r="I791" s="315">
        <f>C791</f>
        <v/>
      </c>
      <c r="J791" s="314" t="n"/>
      <c r="K791" s="315">
        <f>C791</f>
        <v/>
      </c>
      <c r="L791" s="316">
        <f>F791/$B$612*100</f>
        <v/>
      </c>
      <c r="M791" s="317" t="n"/>
      <c r="N791" s="73" t="n">
        <v>160</v>
      </c>
      <c r="O791" s="289">
        <f>+S790</f>
        <v/>
      </c>
      <c r="P791" s="287">
        <f>(IF(N791&lt;$B$613,PMT($B$615/12,$B$613,-$B$612,$B$617,0),IF(N791=$B$613,PMT($B$615/12,$B$613,-$B$612,$B$617,0)+$B$617,0)))</f>
        <v/>
      </c>
      <c r="Q791" s="289">
        <f>IF(N791&lt;=$B$613,O791*$B$615/12,0)</f>
        <v/>
      </c>
      <c r="R791" s="289">
        <f>P791-Q791</f>
        <v/>
      </c>
      <c r="S791" s="314">
        <f>(O791-R791)</f>
        <v/>
      </c>
      <c r="T791" s="112">
        <f>O791*(1-B$621)^($N791)</f>
        <v/>
      </c>
      <c r="U791" s="112">
        <f>IF(N791&lt;=$B$613,T791*$B$615/12,0)</f>
        <v/>
      </c>
      <c r="V791" s="315">
        <f>P791</f>
        <v/>
      </c>
      <c r="W791" s="314" t="n"/>
      <c r="X791" s="315">
        <f>P791</f>
        <v/>
      </c>
      <c r="Y791" s="316">
        <f>S791/$B$612*100</f>
        <v/>
      </c>
      <c r="Z791" s="46" t="n"/>
      <c r="AA791" s="313">
        <f>+V791-I791</f>
        <v/>
      </c>
    </row>
    <row r="792">
      <c r="A792" s="73" t="n">
        <v>161</v>
      </c>
      <c r="B792" s="289">
        <f>+F791</f>
        <v/>
      </c>
      <c r="C792" s="287">
        <f>(IF(A792&lt;$B$613,PMT($B$614/12,$B$613,-$B$612,$B$617,$B$620),IF(A792=$B$613,PMT($B$614/12,$B$613,-$B$612,$B$617,$B$620)+$B$617,0)))</f>
        <v/>
      </c>
      <c r="D792" s="289">
        <f>IF(A792&lt;=$B$613,B792*$B$614/12,0)</f>
        <v/>
      </c>
      <c r="E792" s="289">
        <f>C792-D792</f>
        <v/>
      </c>
      <c r="F792" s="314">
        <f>(B792-E792)</f>
        <v/>
      </c>
      <c r="G792" s="112">
        <f>B792*(1-B$621)^($A792)</f>
        <v/>
      </c>
      <c r="H792" s="112">
        <f>IF(A792&lt;=$B$613,G792*$B$614/12,0)</f>
        <v/>
      </c>
      <c r="I792" s="315">
        <f>C792</f>
        <v/>
      </c>
      <c r="J792" s="314" t="n"/>
      <c r="K792" s="315">
        <f>C792</f>
        <v/>
      </c>
      <c r="L792" s="316">
        <f>F792/$B$612*100</f>
        <v/>
      </c>
      <c r="M792" s="317" t="n"/>
      <c r="N792" s="73" t="n">
        <v>161</v>
      </c>
      <c r="O792" s="289">
        <f>+S791</f>
        <v/>
      </c>
      <c r="P792" s="287">
        <f>(IF(N792&lt;$B$613,PMT($B$615/12,$B$613,-$B$612,$B$617,0),IF(N792=$B$613,PMT($B$615/12,$B$613,-$B$612,$B$617,0)+$B$617,0)))</f>
        <v/>
      </c>
      <c r="Q792" s="289">
        <f>IF(N792&lt;=$B$613,O792*$B$615/12,0)</f>
        <v/>
      </c>
      <c r="R792" s="289">
        <f>P792-Q792</f>
        <v/>
      </c>
      <c r="S792" s="314">
        <f>(O792-R792)</f>
        <v/>
      </c>
      <c r="T792" s="112">
        <f>O792*(1-B$621)^($N792)</f>
        <v/>
      </c>
      <c r="U792" s="112">
        <f>IF(N792&lt;=$B$613,T792*$B$615/12,0)</f>
        <v/>
      </c>
      <c r="V792" s="315">
        <f>P792</f>
        <v/>
      </c>
      <c r="W792" s="314" t="n"/>
      <c r="X792" s="315">
        <f>P792</f>
        <v/>
      </c>
      <c r="Y792" s="316">
        <f>S792/$B$612*100</f>
        <v/>
      </c>
      <c r="Z792" s="46" t="n"/>
      <c r="AA792" s="313">
        <f>+V792-I792</f>
        <v/>
      </c>
    </row>
    <row r="793">
      <c r="A793" s="73" t="n">
        <v>162</v>
      </c>
      <c r="B793" s="289">
        <f>+F792</f>
        <v/>
      </c>
      <c r="C793" s="287">
        <f>(IF(A793&lt;$B$613,PMT($B$614/12,$B$613,-$B$612,$B$617,$B$620),IF(A793=$B$613,PMT($B$614/12,$B$613,-$B$612,$B$617,$B$620)+$B$617,0)))</f>
        <v/>
      </c>
      <c r="D793" s="289">
        <f>IF(A793&lt;=$B$613,B793*$B$614/12,0)</f>
        <v/>
      </c>
      <c r="E793" s="289">
        <f>C793-D793</f>
        <v/>
      </c>
      <c r="F793" s="314">
        <f>(B793-E793)</f>
        <v/>
      </c>
      <c r="G793" s="112">
        <f>B793*(1-B$621)^($A793)</f>
        <v/>
      </c>
      <c r="H793" s="112">
        <f>IF(A793&lt;=$B$613,G793*$B$614/12,0)</f>
        <v/>
      </c>
      <c r="I793" s="315">
        <f>C793</f>
        <v/>
      </c>
      <c r="J793" s="314" t="n"/>
      <c r="K793" s="315">
        <f>C793</f>
        <v/>
      </c>
      <c r="L793" s="316">
        <f>F793/$B$612*100</f>
        <v/>
      </c>
      <c r="M793" s="317" t="n"/>
      <c r="N793" s="73" t="n">
        <v>162</v>
      </c>
      <c r="O793" s="289">
        <f>+S792</f>
        <v/>
      </c>
      <c r="P793" s="287">
        <f>(IF(N793&lt;$B$613,PMT($B$615/12,$B$613,-$B$612,$B$617,0),IF(N793=$B$613,PMT($B$615/12,$B$613,-$B$612,$B$617,0)+$B$617,0)))</f>
        <v/>
      </c>
      <c r="Q793" s="289">
        <f>IF(N793&lt;=$B$613,O793*$B$615/12,0)</f>
        <v/>
      </c>
      <c r="R793" s="289">
        <f>P793-Q793</f>
        <v/>
      </c>
      <c r="S793" s="314">
        <f>(O793-R793)</f>
        <v/>
      </c>
      <c r="T793" s="112">
        <f>O793*(1-B$621)^($N793)</f>
        <v/>
      </c>
      <c r="U793" s="112">
        <f>IF(N793&lt;=$B$613,T793*$B$615/12,0)</f>
        <v/>
      </c>
      <c r="V793" s="315">
        <f>P793</f>
        <v/>
      </c>
      <c r="W793" s="314" t="n"/>
      <c r="X793" s="315">
        <f>P793</f>
        <v/>
      </c>
      <c r="Y793" s="316">
        <f>S793/$B$612*100</f>
        <v/>
      </c>
      <c r="Z793" s="46" t="n"/>
      <c r="AA793" s="313">
        <f>+V793-I793</f>
        <v/>
      </c>
    </row>
    <row r="794">
      <c r="A794" s="73" t="n">
        <v>163</v>
      </c>
      <c r="B794" s="289">
        <f>+F793</f>
        <v/>
      </c>
      <c r="C794" s="287">
        <f>(IF(A794&lt;$B$613,PMT($B$614/12,$B$613,-$B$612,$B$617,$B$620),IF(A794=$B$613,PMT($B$614/12,$B$613,-$B$612,$B$617,$B$620)+$B$617,0)))</f>
        <v/>
      </c>
      <c r="D794" s="289">
        <f>IF(A794&lt;=$B$613,B794*$B$614/12,0)</f>
        <v/>
      </c>
      <c r="E794" s="289">
        <f>C794-D794</f>
        <v/>
      </c>
      <c r="F794" s="314">
        <f>(B794-E794)</f>
        <v/>
      </c>
      <c r="G794" s="112">
        <f>B794*(1-B$621)^($A794)</f>
        <v/>
      </c>
      <c r="H794" s="112">
        <f>IF(A794&lt;=$B$613,G794*$B$614/12,0)</f>
        <v/>
      </c>
      <c r="I794" s="315">
        <f>C794</f>
        <v/>
      </c>
      <c r="J794" s="314" t="n"/>
      <c r="K794" s="315">
        <f>C794</f>
        <v/>
      </c>
      <c r="L794" s="316">
        <f>F794/$B$612*100</f>
        <v/>
      </c>
      <c r="M794" s="317" t="n"/>
      <c r="N794" s="73" t="n">
        <v>163</v>
      </c>
      <c r="O794" s="289">
        <f>+S793</f>
        <v/>
      </c>
      <c r="P794" s="287">
        <f>(IF(N794&lt;$B$613,PMT($B$615/12,$B$613,-$B$612,$B$617,0),IF(N794=$B$613,PMT($B$615/12,$B$613,-$B$612,$B$617,0)+$B$617,0)))</f>
        <v/>
      </c>
      <c r="Q794" s="289">
        <f>IF(N794&lt;=$B$613,O794*$B$615/12,0)</f>
        <v/>
      </c>
      <c r="R794" s="289">
        <f>P794-Q794</f>
        <v/>
      </c>
      <c r="S794" s="314">
        <f>(O794-R794)</f>
        <v/>
      </c>
      <c r="T794" s="112">
        <f>O794*(1-B$621)^($N794)</f>
        <v/>
      </c>
      <c r="U794" s="112">
        <f>IF(N794&lt;=$B$613,T794*$B$615/12,0)</f>
        <v/>
      </c>
      <c r="V794" s="315">
        <f>P794</f>
        <v/>
      </c>
      <c r="W794" s="314" t="n"/>
      <c r="X794" s="315">
        <f>P794</f>
        <v/>
      </c>
      <c r="Y794" s="316">
        <f>S794/$B$612*100</f>
        <v/>
      </c>
      <c r="Z794" s="46" t="n"/>
      <c r="AA794" s="313">
        <f>+V794-I794</f>
        <v/>
      </c>
    </row>
    <row r="795">
      <c r="A795" s="73" t="n">
        <v>164</v>
      </c>
      <c r="B795" s="289">
        <f>+F794</f>
        <v/>
      </c>
      <c r="C795" s="287">
        <f>(IF(A795&lt;$B$613,PMT($B$614/12,$B$613,-$B$612,$B$617,$B$620),IF(A795=$B$613,PMT($B$614/12,$B$613,-$B$612,$B$617,$B$620)+$B$617,0)))</f>
        <v/>
      </c>
      <c r="D795" s="289">
        <f>IF(A795&lt;=$B$613,B795*$B$614/12,0)</f>
        <v/>
      </c>
      <c r="E795" s="289">
        <f>C795-D795</f>
        <v/>
      </c>
      <c r="F795" s="314">
        <f>(B795-E795)</f>
        <v/>
      </c>
      <c r="G795" s="112">
        <f>B795*(1-B$621)^($A795)</f>
        <v/>
      </c>
      <c r="H795" s="112">
        <f>IF(A795&lt;=$B$613,G795*$B$614/12,0)</f>
        <v/>
      </c>
      <c r="I795" s="315">
        <f>C795</f>
        <v/>
      </c>
      <c r="J795" s="314" t="n"/>
      <c r="K795" s="315">
        <f>C795</f>
        <v/>
      </c>
      <c r="L795" s="316">
        <f>F795/$B$612*100</f>
        <v/>
      </c>
      <c r="M795" s="317" t="n"/>
      <c r="N795" s="73" t="n">
        <v>164</v>
      </c>
      <c r="O795" s="289">
        <f>+S794</f>
        <v/>
      </c>
      <c r="P795" s="287">
        <f>(IF(N795&lt;$B$613,PMT($B$615/12,$B$613,-$B$612,$B$617,0),IF(N795=$B$613,PMT($B$615/12,$B$613,-$B$612,$B$617,0)+$B$617,0)))</f>
        <v/>
      </c>
      <c r="Q795" s="289">
        <f>IF(N795&lt;=$B$613,O795*$B$615/12,0)</f>
        <v/>
      </c>
      <c r="R795" s="289">
        <f>P795-Q795</f>
        <v/>
      </c>
      <c r="S795" s="314">
        <f>(O795-R795)</f>
        <v/>
      </c>
      <c r="T795" s="112">
        <f>O795*(1-B$621)^($N795)</f>
        <v/>
      </c>
      <c r="U795" s="112">
        <f>IF(N795&lt;=$B$613,T795*$B$615/12,0)</f>
        <v/>
      </c>
      <c r="V795" s="315">
        <f>P795</f>
        <v/>
      </c>
      <c r="W795" s="314" t="n"/>
      <c r="X795" s="315">
        <f>P795</f>
        <v/>
      </c>
      <c r="Y795" s="316">
        <f>S795/$B$612*100</f>
        <v/>
      </c>
      <c r="Z795" s="46" t="n"/>
      <c r="AA795" s="313">
        <f>+V795-I795</f>
        <v/>
      </c>
    </row>
    <row r="796">
      <c r="A796" s="73" t="n">
        <v>165</v>
      </c>
      <c r="B796" s="289">
        <f>+F795</f>
        <v/>
      </c>
      <c r="C796" s="287">
        <f>(IF(A796&lt;$B$613,PMT($B$614/12,$B$613,-$B$612,$B$617,$B$620),IF(A796=$B$613,PMT($B$614/12,$B$613,-$B$612,$B$617,$B$620)+$B$617,0)))</f>
        <v/>
      </c>
      <c r="D796" s="289">
        <f>IF(A796&lt;=$B$613,B796*$B$614/12,0)</f>
        <v/>
      </c>
      <c r="E796" s="289">
        <f>C796-D796</f>
        <v/>
      </c>
      <c r="F796" s="314">
        <f>(B796-E796)</f>
        <v/>
      </c>
      <c r="G796" s="112">
        <f>B796*(1-B$621)^($A796)</f>
        <v/>
      </c>
      <c r="H796" s="112">
        <f>IF(A796&lt;=$B$613,G796*$B$614/12,0)</f>
        <v/>
      </c>
      <c r="I796" s="315">
        <f>C796</f>
        <v/>
      </c>
      <c r="J796" s="314" t="n"/>
      <c r="K796" s="315">
        <f>C796</f>
        <v/>
      </c>
      <c r="L796" s="316">
        <f>F796/$B$612*100</f>
        <v/>
      </c>
      <c r="M796" s="317" t="n"/>
      <c r="N796" s="73" t="n">
        <v>165</v>
      </c>
      <c r="O796" s="289">
        <f>+S795</f>
        <v/>
      </c>
      <c r="P796" s="287">
        <f>(IF(N796&lt;$B$613,PMT($B$615/12,$B$613,-$B$612,$B$617,0),IF(N796=$B$613,PMT($B$615/12,$B$613,-$B$612,$B$617,0)+$B$617,0)))</f>
        <v/>
      </c>
      <c r="Q796" s="289">
        <f>IF(N796&lt;=$B$613,O796*$B$615/12,0)</f>
        <v/>
      </c>
      <c r="R796" s="289">
        <f>P796-Q796</f>
        <v/>
      </c>
      <c r="S796" s="314">
        <f>(O796-R796)</f>
        <v/>
      </c>
      <c r="T796" s="112">
        <f>O796*(1-B$621)^($N796)</f>
        <v/>
      </c>
      <c r="U796" s="112">
        <f>IF(N796&lt;=$B$613,T796*$B$615/12,0)</f>
        <v/>
      </c>
      <c r="V796" s="315">
        <f>P796</f>
        <v/>
      </c>
      <c r="W796" s="314" t="n"/>
      <c r="X796" s="315">
        <f>P796</f>
        <v/>
      </c>
      <c r="Y796" s="316">
        <f>S796/$B$612*100</f>
        <v/>
      </c>
      <c r="Z796" s="46" t="n"/>
      <c r="AA796" s="313">
        <f>+V796-I796</f>
        <v/>
      </c>
    </row>
    <row r="797">
      <c r="A797" s="73" t="n">
        <v>166</v>
      </c>
      <c r="B797" s="289">
        <f>+F796</f>
        <v/>
      </c>
      <c r="C797" s="287">
        <f>(IF(A797&lt;$B$613,PMT($B$614/12,$B$613,-$B$612,$B$617,$B$620),IF(A797=$B$613,PMT($B$614/12,$B$613,-$B$612,$B$617,$B$620)+$B$617,0)))</f>
        <v/>
      </c>
      <c r="D797" s="289">
        <f>IF(A797&lt;=$B$613,B797*$B$614/12,0)</f>
        <v/>
      </c>
      <c r="E797" s="289">
        <f>C797-D797</f>
        <v/>
      </c>
      <c r="F797" s="314">
        <f>(B797-E797)</f>
        <v/>
      </c>
      <c r="G797" s="112">
        <f>B797*(1-B$621)^($A797)</f>
        <v/>
      </c>
      <c r="H797" s="112">
        <f>IF(A797&lt;=$B$613,G797*$B$614/12,0)</f>
        <v/>
      </c>
      <c r="I797" s="315">
        <f>C797</f>
        <v/>
      </c>
      <c r="J797" s="314" t="n"/>
      <c r="K797" s="315">
        <f>C797</f>
        <v/>
      </c>
      <c r="L797" s="316">
        <f>F797/$B$612*100</f>
        <v/>
      </c>
      <c r="M797" s="317" t="n"/>
      <c r="N797" s="73" t="n">
        <v>166</v>
      </c>
      <c r="O797" s="289">
        <f>+S796</f>
        <v/>
      </c>
      <c r="P797" s="287">
        <f>(IF(N797&lt;$B$613,PMT($B$615/12,$B$613,-$B$612,$B$617,0),IF(N797=$B$613,PMT($B$615/12,$B$613,-$B$612,$B$617,0)+$B$617,0)))</f>
        <v/>
      </c>
      <c r="Q797" s="289">
        <f>IF(N797&lt;=$B$613,O797*$B$615/12,0)</f>
        <v/>
      </c>
      <c r="R797" s="289">
        <f>P797-Q797</f>
        <v/>
      </c>
      <c r="S797" s="314">
        <f>(O797-R797)</f>
        <v/>
      </c>
      <c r="T797" s="112">
        <f>O797*(1-B$621)^($N797)</f>
        <v/>
      </c>
      <c r="U797" s="112">
        <f>IF(N797&lt;=$B$613,T797*$B$615/12,0)</f>
        <v/>
      </c>
      <c r="V797" s="315">
        <f>P797</f>
        <v/>
      </c>
      <c r="W797" s="314" t="n"/>
      <c r="X797" s="315">
        <f>P797</f>
        <v/>
      </c>
      <c r="Y797" s="316">
        <f>S797/$B$612*100</f>
        <v/>
      </c>
      <c r="Z797" s="46" t="n"/>
      <c r="AA797" s="313">
        <f>+V797-I797</f>
        <v/>
      </c>
    </row>
    <row r="798">
      <c r="A798" s="73" t="n">
        <v>167</v>
      </c>
      <c r="B798" s="289">
        <f>+F797</f>
        <v/>
      </c>
      <c r="C798" s="287">
        <f>(IF(A798&lt;$B$613,PMT($B$614/12,$B$613,-$B$612,$B$617,$B$620),IF(A798=$B$613,PMT($B$614/12,$B$613,-$B$612,$B$617,$B$620)+$B$617,0)))</f>
        <v/>
      </c>
      <c r="D798" s="289">
        <f>IF(A798&lt;=$B$613,B798*$B$614/12,0)</f>
        <v/>
      </c>
      <c r="E798" s="289">
        <f>C798-D798</f>
        <v/>
      </c>
      <c r="F798" s="314">
        <f>(B798-E798)</f>
        <v/>
      </c>
      <c r="G798" s="112">
        <f>B798*(1-B$621)^($A798)</f>
        <v/>
      </c>
      <c r="H798" s="112">
        <f>IF(A798&lt;=$B$613,G798*$B$614/12,0)</f>
        <v/>
      </c>
      <c r="I798" s="315">
        <f>C798</f>
        <v/>
      </c>
      <c r="J798" s="314" t="n"/>
      <c r="K798" s="315">
        <f>C798</f>
        <v/>
      </c>
      <c r="L798" s="316">
        <f>F798/$B$612*100</f>
        <v/>
      </c>
      <c r="M798" s="317" t="n"/>
      <c r="N798" s="73" t="n">
        <v>167</v>
      </c>
      <c r="O798" s="289">
        <f>+S797</f>
        <v/>
      </c>
      <c r="P798" s="287">
        <f>(IF(N798&lt;$B$613,PMT($B$615/12,$B$613,-$B$612,$B$617,0),IF(N798=$B$613,PMT($B$615/12,$B$613,-$B$612,$B$617,0)+$B$617,0)))</f>
        <v/>
      </c>
      <c r="Q798" s="289">
        <f>IF(N798&lt;=$B$613,O798*$B$615/12,0)</f>
        <v/>
      </c>
      <c r="R798" s="289">
        <f>P798-Q798</f>
        <v/>
      </c>
      <c r="S798" s="314">
        <f>(O798-R798)</f>
        <v/>
      </c>
      <c r="T798" s="112">
        <f>O798*(1-B$621)^($N798)</f>
        <v/>
      </c>
      <c r="U798" s="112">
        <f>IF(N798&lt;=$B$613,T798*$B$615/12,0)</f>
        <v/>
      </c>
      <c r="V798" s="315">
        <f>P798</f>
        <v/>
      </c>
      <c r="W798" s="314" t="n"/>
      <c r="X798" s="315">
        <f>P798</f>
        <v/>
      </c>
      <c r="Y798" s="316">
        <f>S798/$B$612*100</f>
        <v/>
      </c>
      <c r="Z798" s="46" t="n"/>
      <c r="AA798" s="313">
        <f>+V798-I798</f>
        <v/>
      </c>
    </row>
    <row r="799">
      <c r="A799" s="73" t="n">
        <v>168</v>
      </c>
      <c r="B799" s="289">
        <f>+F798</f>
        <v/>
      </c>
      <c r="C799" s="287">
        <f>(IF(A799&lt;$B$613,PMT($B$614/12,$B$613,-$B$612,$B$617,$B$620),IF(A799=$B$613,PMT($B$614/12,$B$613,-$B$612,$B$617,$B$620)+$B$617,0)))</f>
        <v/>
      </c>
      <c r="D799" s="289">
        <f>IF(A799&lt;=$B$613,B799*$B$614/12,0)</f>
        <v/>
      </c>
      <c r="E799" s="289">
        <f>C799-D799</f>
        <v/>
      </c>
      <c r="F799" s="314">
        <f>(B799-E799)</f>
        <v/>
      </c>
      <c r="G799" s="112">
        <f>B799*(1-B$621)^($A799)</f>
        <v/>
      </c>
      <c r="H799" s="112">
        <f>IF(A799&lt;=$B$613,G799*$B$614/12,0)</f>
        <v/>
      </c>
      <c r="I799" s="315">
        <f>C799</f>
        <v/>
      </c>
      <c r="J799" s="314" t="n"/>
      <c r="K799" s="315">
        <f>C799</f>
        <v/>
      </c>
      <c r="L799" s="316">
        <f>F799/$B$612*100</f>
        <v/>
      </c>
      <c r="M799" s="317" t="n"/>
      <c r="N799" s="73" t="n">
        <v>168</v>
      </c>
      <c r="O799" s="289">
        <f>+S798</f>
        <v/>
      </c>
      <c r="P799" s="287">
        <f>(IF(N799&lt;$B$613,PMT($B$615/12,$B$613,-$B$612,$B$617,0),IF(N799=$B$613,PMT($B$615/12,$B$613,-$B$612,$B$617,0)+$B$617,0)))</f>
        <v/>
      </c>
      <c r="Q799" s="289">
        <f>IF(N799&lt;=$B$613,O799*$B$615/12,0)</f>
        <v/>
      </c>
      <c r="R799" s="289">
        <f>P799-Q799</f>
        <v/>
      </c>
      <c r="S799" s="314">
        <f>(O799-R799)</f>
        <v/>
      </c>
      <c r="T799" s="112">
        <f>O799*(1-B$621)^($N799)</f>
        <v/>
      </c>
      <c r="U799" s="112">
        <f>IF(N799&lt;=$B$613,T799*$B$615/12,0)</f>
        <v/>
      </c>
      <c r="V799" s="315">
        <f>P799</f>
        <v/>
      </c>
      <c r="W799" s="314" t="n"/>
      <c r="X799" s="315">
        <f>P799</f>
        <v/>
      </c>
      <c r="Y799" s="316">
        <f>S799/$B$612*100</f>
        <v/>
      </c>
      <c r="Z799" s="46" t="n"/>
      <c r="AA799" s="313">
        <f>+V799-I799</f>
        <v/>
      </c>
    </row>
    <row r="800">
      <c r="A800" s="73" t="n">
        <v>169</v>
      </c>
      <c r="B800" s="289">
        <f>+F799</f>
        <v/>
      </c>
      <c r="C800" s="287">
        <f>(IF(A800&lt;$B$613,PMT($B$614/12,$B$613,-$B$612,$B$617,$B$620),IF(A800=$B$613,PMT($B$614/12,$B$613,-$B$612,$B$617,$B$620)+$B$617,0)))</f>
        <v/>
      </c>
      <c r="D800" s="289">
        <f>IF(A800&lt;=$B$613,B800*$B$614/12,0)</f>
        <v/>
      </c>
      <c r="E800" s="289">
        <f>C800-D800</f>
        <v/>
      </c>
      <c r="F800" s="314">
        <f>(B800-E800)</f>
        <v/>
      </c>
      <c r="G800" s="112">
        <f>B800*(1-B$621)^($A800)</f>
        <v/>
      </c>
      <c r="H800" s="112">
        <f>IF(A800&lt;=$B$613,G800*$B$614/12,0)</f>
        <v/>
      </c>
      <c r="I800" s="315">
        <f>C800</f>
        <v/>
      </c>
      <c r="J800" s="314" t="n"/>
      <c r="K800" s="315">
        <f>C800</f>
        <v/>
      </c>
      <c r="L800" s="316">
        <f>F800/$B$612*100</f>
        <v/>
      </c>
      <c r="M800" s="317" t="n"/>
      <c r="N800" s="73" t="n">
        <v>169</v>
      </c>
      <c r="O800" s="289">
        <f>+S799</f>
        <v/>
      </c>
      <c r="P800" s="287">
        <f>(IF(N800&lt;$B$613,PMT($B$615/12,$B$613,-$B$612,$B$617,0),IF(N800=$B$613,PMT($B$615/12,$B$613,-$B$612,$B$617,0)+$B$617,0)))</f>
        <v/>
      </c>
      <c r="Q800" s="289">
        <f>IF(N800&lt;=$B$613,O800*$B$615/12,0)</f>
        <v/>
      </c>
      <c r="R800" s="289">
        <f>P800-Q800</f>
        <v/>
      </c>
      <c r="S800" s="314">
        <f>(O800-R800)</f>
        <v/>
      </c>
      <c r="T800" s="112">
        <f>O800*(1-B$621)^($N800)</f>
        <v/>
      </c>
      <c r="U800" s="112">
        <f>IF(N800&lt;=$B$613,T800*$B$615/12,0)</f>
        <v/>
      </c>
      <c r="V800" s="315">
        <f>P800</f>
        <v/>
      </c>
      <c r="W800" s="314" t="n"/>
      <c r="X800" s="315">
        <f>P800</f>
        <v/>
      </c>
      <c r="Y800" s="316">
        <f>S800/$B$612*100</f>
        <v/>
      </c>
      <c r="Z800" s="46" t="n"/>
      <c r="AA800" s="313">
        <f>+V800-I800</f>
        <v/>
      </c>
    </row>
    <row r="801">
      <c r="A801" s="73" t="n">
        <v>170</v>
      </c>
      <c r="B801" s="289">
        <f>+F800</f>
        <v/>
      </c>
      <c r="C801" s="287">
        <f>(IF(A801&lt;$B$613,PMT($B$614/12,$B$613,-$B$612,$B$617,$B$620),IF(A801=$B$613,PMT($B$614/12,$B$613,-$B$612,$B$617,$B$620)+$B$617,0)))</f>
        <v/>
      </c>
      <c r="D801" s="289">
        <f>IF(A801&lt;=$B$613,B801*$B$614/12,0)</f>
        <v/>
      </c>
      <c r="E801" s="289">
        <f>C801-D801</f>
        <v/>
      </c>
      <c r="F801" s="314">
        <f>(B801-E801)</f>
        <v/>
      </c>
      <c r="G801" s="112">
        <f>B801*(1-B$621)^($A801)</f>
        <v/>
      </c>
      <c r="H801" s="112">
        <f>IF(A801&lt;=$B$613,G801*$B$614/12,0)</f>
        <v/>
      </c>
      <c r="I801" s="315">
        <f>C801</f>
        <v/>
      </c>
      <c r="J801" s="314" t="n"/>
      <c r="K801" s="315">
        <f>C801</f>
        <v/>
      </c>
      <c r="L801" s="316">
        <f>F801/$B$612*100</f>
        <v/>
      </c>
      <c r="M801" s="317" t="n"/>
      <c r="N801" s="73" t="n">
        <v>170</v>
      </c>
      <c r="O801" s="289">
        <f>+S800</f>
        <v/>
      </c>
      <c r="P801" s="287">
        <f>(IF(N801&lt;$B$613,PMT($B$615/12,$B$613,-$B$612,$B$617,0),IF(N801=$B$613,PMT($B$615/12,$B$613,-$B$612,$B$617,0)+$B$617,0)))</f>
        <v/>
      </c>
      <c r="Q801" s="289">
        <f>IF(N801&lt;=$B$613,O801*$B$615/12,0)</f>
        <v/>
      </c>
      <c r="R801" s="289">
        <f>P801-Q801</f>
        <v/>
      </c>
      <c r="S801" s="314">
        <f>(O801-R801)</f>
        <v/>
      </c>
      <c r="T801" s="112">
        <f>O801*(1-B$621)^($N801)</f>
        <v/>
      </c>
      <c r="U801" s="112">
        <f>IF(N801&lt;=$B$613,T801*$B$615/12,0)</f>
        <v/>
      </c>
      <c r="V801" s="315">
        <f>P801</f>
        <v/>
      </c>
      <c r="W801" s="314" t="n"/>
      <c r="X801" s="315">
        <f>P801</f>
        <v/>
      </c>
      <c r="Y801" s="316">
        <f>S801/$B$612*100</f>
        <v/>
      </c>
      <c r="Z801" s="46" t="n"/>
      <c r="AA801" s="313">
        <f>+V801-I801</f>
        <v/>
      </c>
    </row>
    <row r="802">
      <c r="A802" s="73" t="n">
        <v>171</v>
      </c>
      <c r="B802" s="289">
        <f>+F801</f>
        <v/>
      </c>
      <c r="C802" s="287">
        <f>(IF(A802&lt;$B$613,PMT($B$614/12,$B$613,-$B$612,$B$617,$B$620),IF(A802=$B$613,PMT($B$614/12,$B$613,-$B$612,$B$617,$B$620)+$B$617,0)))</f>
        <v/>
      </c>
      <c r="D802" s="289">
        <f>IF(A802&lt;=$B$613,B802*$B$614/12,0)</f>
        <v/>
      </c>
      <c r="E802" s="289">
        <f>C802-D802</f>
        <v/>
      </c>
      <c r="F802" s="314">
        <f>(B802-E802)</f>
        <v/>
      </c>
      <c r="G802" s="112">
        <f>B802*(1-B$621)^($A802)</f>
        <v/>
      </c>
      <c r="H802" s="112">
        <f>IF(A802&lt;=$B$613,G802*$B$614/12,0)</f>
        <v/>
      </c>
      <c r="I802" s="315">
        <f>C802</f>
        <v/>
      </c>
      <c r="J802" s="314" t="n"/>
      <c r="K802" s="315">
        <f>C802</f>
        <v/>
      </c>
      <c r="L802" s="316">
        <f>F802/$B$612*100</f>
        <v/>
      </c>
      <c r="M802" s="317" t="n"/>
      <c r="N802" s="73" t="n">
        <v>171</v>
      </c>
      <c r="O802" s="289">
        <f>+S801</f>
        <v/>
      </c>
      <c r="P802" s="287">
        <f>(IF(N802&lt;$B$613,PMT($B$615/12,$B$613,-$B$612,$B$617,0),IF(N802=$B$613,PMT($B$615/12,$B$613,-$B$612,$B$617,0)+$B$617,0)))</f>
        <v/>
      </c>
      <c r="Q802" s="289">
        <f>IF(N802&lt;=$B$613,O802*$B$615/12,0)</f>
        <v/>
      </c>
      <c r="R802" s="289">
        <f>P802-Q802</f>
        <v/>
      </c>
      <c r="S802" s="314">
        <f>(O802-R802)</f>
        <v/>
      </c>
      <c r="T802" s="112">
        <f>O802*(1-B$621)^($N802)</f>
        <v/>
      </c>
      <c r="U802" s="112">
        <f>IF(N802&lt;=$B$613,T802*$B$615/12,0)</f>
        <v/>
      </c>
      <c r="V802" s="315">
        <f>P802</f>
        <v/>
      </c>
      <c r="W802" s="314" t="n"/>
      <c r="X802" s="315">
        <f>P802</f>
        <v/>
      </c>
      <c r="Y802" s="316">
        <f>S802/$B$612*100</f>
        <v/>
      </c>
      <c r="Z802" s="46" t="n"/>
      <c r="AA802" s="313">
        <f>+V802-I802</f>
        <v/>
      </c>
    </row>
    <row r="803">
      <c r="A803" s="73" t="n">
        <v>172</v>
      </c>
      <c r="B803" s="289">
        <f>+F802</f>
        <v/>
      </c>
      <c r="C803" s="287">
        <f>(IF(A803&lt;$B$613,PMT($B$614/12,$B$613,-$B$612,$B$617,$B$620),IF(A803=$B$613,PMT($B$614/12,$B$613,-$B$612,$B$617,$B$620)+$B$617,0)))</f>
        <v/>
      </c>
      <c r="D803" s="289">
        <f>IF(A803&lt;=$B$613,B803*$B$614/12,0)</f>
        <v/>
      </c>
      <c r="E803" s="289">
        <f>C803-D803</f>
        <v/>
      </c>
      <c r="F803" s="314">
        <f>(B803-E803)</f>
        <v/>
      </c>
      <c r="G803" s="112">
        <f>B803*(1-B$621)^($A803)</f>
        <v/>
      </c>
      <c r="H803" s="112">
        <f>IF(A803&lt;=$B$613,G803*$B$614/12,0)</f>
        <v/>
      </c>
      <c r="I803" s="315">
        <f>C803</f>
        <v/>
      </c>
      <c r="J803" s="314" t="n"/>
      <c r="K803" s="315">
        <f>C803</f>
        <v/>
      </c>
      <c r="L803" s="316">
        <f>F803/$B$612*100</f>
        <v/>
      </c>
      <c r="M803" s="317" t="n"/>
      <c r="N803" s="73" t="n">
        <v>172</v>
      </c>
      <c r="O803" s="289">
        <f>+S802</f>
        <v/>
      </c>
      <c r="P803" s="287">
        <f>(IF(N803&lt;$B$613,PMT($B$615/12,$B$613,-$B$612,$B$617,0),IF(N803=$B$613,PMT($B$615/12,$B$613,-$B$612,$B$617,0)+$B$617,0)))</f>
        <v/>
      </c>
      <c r="Q803" s="289">
        <f>IF(N803&lt;=$B$613,O803*$B$615/12,0)</f>
        <v/>
      </c>
      <c r="R803" s="289">
        <f>P803-Q803</f>
        <v/>
      </c>
      <c r="S803" s="314">
        <f>(O803-R803)</f>
        <v/>
      </c>
      <c r="T803" s="112">
        <f>O803*(1-B$621)^($N803)</f>
        <v/>
      </c>
      <c r="U803" s="112">
        <f>IF(N803&lt;=$B$613,T803*$B$615/12,0)</f>
        <v/>
      </c>
      <c r="V803" s="315">
        <f>P803</f>
        <v/>
      </c>
      <c r="W803" s="314" t="n"/>
      <c r="X803" s="315">
        <f>P803</f>
        <v/>
      </c>
      <c r="Y803" s="316">
        <f>S803/$B$612*100</f>
        <v/>
      </c>
      <c r="Z803" s="46" t="n"/>
      <c r="AA803" s="313">
        <f>+V803-I803</f>
        <v/>
      </c>
    </row>
    <row r="804">
      <c r="A804" s="73" t="n">
        <v>173</v>
      </c>
      <c r="B804" s="289">
        <f>+F803</f>
        <v/>
      </c>
      <c r="C804" s="287">
        <f>(IF(A804&lt;$B$613,PMT($B$614/12,$B$613,-$B$612,$B$617,$B$620),IF(A804=$B$613,PMT($B$614/12,$B$613,-$B$612,$B$617,$B$620)+$B$617,0)))</f>
        <v/>
      </c>
      <c r="D804" s="289">
        <f>IF(A804&lt;=$B$613,B804*$B$614/12,0)</f>
        <v/>
      </c>
      <c r="E804" s="289">
        <f>C804-D804</f>
        <v/>
      </c>
      <c r="F804" s="314">
        <f>(B804-E804)</f>
        <v/>
      </c>
      <c r="G804" s="112">
        <f>B804*(1-B$621)^($A804)</f>
        <v/>
      </c>
      <c r="H804" s="112">
        <f>IF(A804&lt;=$B$613,G804*$B$614/12,0)</f>
        <v/>
      </c>
      <c r="I804" s="315">
        <f>C804</f>
        <v/>
      </c>
      <c r="J804" s="314" t="n"/>
      <c r="K804" s="315">
        <f>C804</f>
        <v/>
      </c>
      <c r="L804" s="316">
        <f>F804/$B$612*100</f>
        <v/>
      </c>
      <c r="M804" s="317" t="n"/>
      <c r="N804" s="73" t="n">
        <v>173</v>
      </c>
      <c r="O804" s="289">
        <f>+S803</f>
        <v/>
      </c>
      <c r="P804" s="287">
        <f>(IF(N804&lt;$B$613,PMT($B$615/12,$B$613,-$B$612,$B$617,0),IF(N804=$B$613,PMT($B$615/12,$B$613,-$B$612,$B$617,0)+$B$617,0)))</f>
        <v/>
      </c>
      <c r="Q804" s="289">
        <f>IF(N804&lt;=$B$613,O804*$B$615/12,0)</f>
        <v/>
      </c>
      <c r="R804" s="289">
        <f>P804-Q804</f>
        <v/>
      </c>
      <c r="S804" s="314">
        <f>(O804-R804)</f>
        <v/>
      </c>
      <c r="T804" s="112">
        <f>O804*(1-B$621)^($N804)</f>
        <v/>
      </c>
      <c r="U804" s="112">
        <f>IF(N804&lt;=$B$613,T804*$B$615/12,0)</f>
        <v/>
      </c>
      <c r="V804" s="315">
        <f>P804</f>
        <v/>
      </c>
      <c r="W804" s="314" t="n"/>
      <c r="X804" s="315">
        <f>P804</f>
        <v/>
      </c>
      <c r="Y804" s="316">
        <f>S804/$B$612*100</f>
        <v/>
      </c>
      <c r="Z804" s="46" t="n"/>
      <c r="AA804" s="313">
        <f>+V804-I804</f>
        <v/>
      </c>
    </row>
    <row r="805">
      <c r="A805" s="73" t="n">
        <v>174</v>
      </c>
      <c r="B805" s="289">
        <f>+F804</f>
        <v/>
      </c>
      <c r="C805" s="287">
        <f>(IF(A805&lt;$B$613,PMT($B$614/12,$B$613,-$B$612,$B$617,$B$620),IF(A805=$B$613,PMT($B$614/12,$B$613,-$B$612,$B$617,$B$620)+$B$617,0)))</f>
        <v/>
      </c>
      <c r="D805" s="289">
        <f>IF(A805&lt;=$B$613,B805*$B$614/12,0)</f>
        <v/>
      </c>
      <c r="E805" s="289">
        <f>C805-D805</f>
        <v/>
      </c>
      <c r="F805" s="314">
        <f>(B805-E805)</f>
        <v/>
      </c>
      <c r="G805" s="112">
        <f>B805*(1-B$621)^($A805)</f>
        <v/>
      </c>
      <c r="H805" s="112">
        <f>IF(A805&lt;=$B$613,G805*$B$614/12,0)</f>
        <v/>
      </c>
      <c r="I805" s="315">
        <f>C805</f>
        <v/>
      </c>
      <c r="J805" s="314" t="n"/>
      <c r="K805" s="315">
        <f>C805</f>
        <v/>
      </c>
      <c r="L805" s="316">
        <f>F805/$B$612*100</f>
        <v/>
      </c>
      <c r="M805" s="317" t="n"/>
      <c r="N805" s="73" t="n">
        <v>174</v>
      </c>
      <c r="O805" s="289">
        <f>+S804</f>
        <v/>
      </c>
      <c r="P805" s="287">
        <f>(IF(N805&lt;$B$613,PMT($B$615/12,$B$613,-$B$612,$B$617,0),IF(N805=$B$613,PMT($B$615/12,$B$613,-$B$612,$B$617,0)+$B$617,0)))</f>
        <v/>
      </c>
      <c r="Q805" s="289">
        <f>IF(N805&lt;=$B$613,O805*$B$615/12,0)</f>
        <v/>
      </c>
      <c r="R805" s="289">
        <f>P805-Q805</f>
        <v/>
      </c>
      <c r="S805" s="314">
        <f>(O805-R805)</f>
        <v/>
      </c>
      <c r="T805" s="112">
        <f>O805*(1-B$621)^($N805)</f>
        <v/>
      </c>
      <c r="U805" s="112">
        <f>IF(N805&lt;=$B$613,T805*$B$615/12,0)</f>
        <v/>
      </c>
      <c r="V805" s="315">
        <f>P805</f>
        <v/>
      </c>
      <c r="W805" s="314" t="n"/>
      <c r="X805" s="315">
        <f>P805</f>
        <v/>
      </c>
      <c r="Y805" s="316">
        <f>S805/$B$612*100</f>
        <v/>
      </c>
      <c r="Z805" s="46" t="n"/>
      <c r="AA805" s="313">
        <f>+V805-I805</f>
        <v/>
      </c>
    </row>
    <row r="806">
      <c r="A806" s="73" t="n">
        <v>175</v>
      </c>
      <c r="B806" s="289">
        <f>+F805</f>
        <v/>
      </c>
      <c r="C806" s="287">
        <f>(IF(A806&lt;$B$613,PMT($B$614/12,$B$613,-$B$612,$B$617,$B$620),IF(A806=$B$613,PMT($B$614/12,$B$613,-$B$612,$B$617,$B$620)+$B$617,0)))</f>
        <v/>
      </c>
      <c r="D806" s="289">
        <f>IF(A806&lt;=$B$613,B806*$B$614/12,0)</f>
        <v/>
      </c>
      <c r="E806" s="289">
        <f>C806-D806</f>
        <v/>
      </c>
      <c r="F806" s="314">
        <f>(B806-E806)</f>
        <v/>
      </c>
      <c r="G806" s="112">
        <f>B806*(1-B$621)^($A806)</f>
        <v/>
      </c>
      <c r="H806" s="112">
        <f>IF(A806&lt;=$B$613,G806*$B$614/12,0)</f>
        <v/>
      </c>
      <c r="I806" s="315">
        <f>C806</f>
        <v/>
      </c>
      <c r="J806" s="314" t="n"/>
      <c r="K806" s="315">
        <f>C806</f>
        <v/>
      </c>
      <c r="L806" s="316">
        <f>F806/$B$612*100</f>
        <v/>
      </c>
      <c r="M806" s="317" t="n"/>
      <c r="N806" s="73" t="n">
        <v>175</v>
      </c>
      <c r="O806" s="289">
        <f>+S805</f>
        <v/>
      </c>
      <c r="P806" s="287">
        <f>(IF(N806&lt;$B$613,PMT($B$615/12,$B$613,-$B$612,$B$617,0),IF(N806=$B$613,PMT($B$615/12,$B$613,-$B$612,$B$617,0)+$B$617,0)))</f>
        <v/>
      </c>
      <c r="Q806" s="289">
        <f>IF(N806&lt;=$B$613,O806*$B$615/12,0)</f>
        <v/>
      </c>
      <c r="R806" s="289">
        <f>P806-Q806</f>
        <v/>
      </c>
      <c r="S806" s="314">
        <f>(O806-R806)</f>
        <v/>
      </c>
      <c r="T806" s="112">
        <f>O806*(1-B$621)^($N806)</f>
        <v/>
      </c>
      <c r="U806" s="112">
        <f>IF(N806&lt;=$B$613,T806*$B$615/12,0)</f>
        <v/>
      </c>
      <c r="V806" s="315">
        <f>P806</f>
        <v/>
      </c>
      <c r="W806" s="314" t="n"/>
      <c r="X806" s="315">
        <f>P806</f>
        <v/>
      </c>
      <c r="Y806" s="316">
        <f>S806/$B$612*100</f>
        <v/>
      </c>
      <c r="Z806" s="46" t="n"/>
      <c r="AA806" s="313">
        <f>+V806-I806</f>
        <v/>
      </c>
    </row>
    <row r="807">
      <c r="A807" s="73" t="n">
        <v>176</v>
      </c>
      <c r="B807" s="289">
        <f>+F806</f>
        <v/>
      </c>
      <c r="C807" s="287">
        <f>(IF(A807&lt;$B$613,PMT($B$614/12,$B$613,-$B$612,$B$617,$B$620),IF(A807=$B$613,PMT($B$614/12,$B$613,-$B$612,$B$617,$B$620)+$B$617,0)))</f>
        <v/>
      </c>
      <c r="D807" s="289">
        <f>IF(A807&lt;=$B$613,B807*$B$614/12,0)</f>
        <v/>
      </c>
      <c r="E807" s="289">
        <f>C807-D807</f>
        <v/>
      </c>
      <c r="F807" s="314">
        <f>(B807-E807)</f>
        <v/>
      </c>
      <c r="G807" s="112">
        <f>B807*(1-B$621)^($A807)</f>
        <v/>
      </c>
      <c r="H807" s="112">
        <f>IF(A807&lt;=$B$613,G807*$B$614/12,0)</f>
        <v/>
      </c>
      <c r="I807" s="315">
        <f>C807</f>
        <v/>
      </c>
      <c r="J807" s="314" t="n"/>
      <c r="K807" s="315">
        <f>C807</f>
        <v/>
      </c>
      <c r="L807" s="316">
        <f>F807/$B$612*100</f>
        <v/>
      </c>
      <c r="M807" s="317" t="n"/>
      <c r="N807" s="73" t="n">
        <v>176</v>
      </c>
      <c r="O807" s="289">
        <f>+S806</f>
        <v/>
      </c>
      <c r="P807" s="287">
        <f>(IF(N807&lt;$B$613,PMT($B$615/12,$B$613,-$B$612,$B$617,0),IF(N807=$B$613,PMT($B$615/12,$B$613,-$B$612,$B$617,0)+$B$617,0)))</f>
        <v/>
      </c>
      <c r="Q807" s="289">
        <f>IF(N807&lt;=$B$613,O807*$B$615/12,0)</f>
        <v/>
      </c>
      <c r="R807" s="289">
        <f>P807-Q807</f>
        <v/>
      </c>
      <c r="S807" s="314">
        <f>(O807-R807)</f>
        <v/>
      </c>
      <c r="T807" s="112">
        <f>O807*(1-B$621)^($N807)</f>
        <v/>
      </c>
      <c r="U807" s="112">
        <f>IF(N807&lt;=$B$613,T807*$B$615/12,0)</f>
        <v/>
      </c>
      <c r="V807" s="315">
        <f>P807</f>
        <v/>
      </c>
      <c r="W807" s="314" t="n"/>
      <c r="X807" s="315">
        <f>P807</f>
        <v/>
      </c>
      <c r="Y807" s="316">
        <f>S807/$B$612*100</f>
        <v/>
      </c>
      <c r="Z807" s="46" t="n"/>
      <c r="AA807" s="313">
        <f>+V807-I807</f>
        <v/>
      </c>
    </row>
    <row r="808">
      <c r="A808" s="73" t="n">
        <v>177</v>
      </c>
      <c r="B808" s="289">
        <f>+F807</f>
        <v/>
      </c>
      <c r="C808" s="287">
        <f>(IF(A808&lt;$B$613,PMT($B$614/12,$B$613,-$B$612,$B$617,$B$620),IF(A808=$B$613,PMT($B$614/12,$B$613,-$B$612,$B$617,$B$620)+$B$617,0)))</f>
        <v/>
      </c>
      <c r="D808" s="289">
        <f>IF(A808&lt;=$B$613,B808*$B$614/12,0)</f>
        <v/>
      </c>
      <c r="E808" s="289">
        <f>C808-D808</f>
        <v/>
      </c>
      <c r="F808" s="314">
        <f>(B808-E808)</f>
        <v/>
      </c>
      <c r="G808" s="112">
        <f>B808*(1-B$621)^($A808)</f>
        <v/>
      </c>
      <c r="H808" s="112">
        <f>IF(A808&lt;=$B$613,G808*$B$614/12,0)</f>
        <v/>
      </c>
      <c r="I808" s="315">
        <f>C808</f>
        <v/>
      </c>
      <c r="J808" s="314" t="n"/>
      <c r="K808" s="315">
        <f>C808</f>
        <v/>
      </c>
      <c r="L808" s="316">
        <f>F808/$B$612*100</f>
        <v/>
      </c>
      <c r="M808" s="317" t="n"/>
      <c r="N808" s="73" t="n">
        <v>177</v>
      </c>
      <c r="O808" s="289">
        <f>+S807</f>
        <v/>
      </c>
      <c r="P808" s="287">
        <f>(IF(N808&lt;$B$613,PMT($B$615/12,$B$613,-$B$612,$B$617,0),IF(N808=$B$613,PMT($B$615/12,$B$613,-$B$612,$B$617,0)+$B$617,0)))</f>
        <v/>
      </c>
      <c r="Q808" s="289">
        <f>IF(N808&lt;=$B$613,O808*$B$615/12,0)</f>
        <v/>
      </c>
      <c r="R808" s="289">
        <f>P808-Q808</f>
        <v/>
      </c>
      <c r="S808" s="314">
        <f>(O808-R808)</f>
        <v/>
      </c>
      <c r="T808" s="112">
        <f>O808*(1-B$621)^($N808)</f>
        <v/>
      </c>
      <c r="U808" s="112">
        <f>IF(N808&lt;=$B$613,T808*$B$615/12,0)</f>
        <v/>
      </c>
      <c r="V808" s="315">
        <f>P808</f>
        <v/>
      </c>
      <c r="W808" s="314" t="n"/>
      <c r="X808" s="315">
        <f>P808</f>
        <v/>
      </c>
      <c r="Y808" s="316">
        <f>S808/$B$612*100</f>
        <v/>
      </c>
      <c r="Z808" s="46" t="n"/>
      <c r="AA808" s="313">
        <f>+V808-I808</f>
        <v/>
      </c>
    </row>
    <row r="809">
      <c r="A809" s="73" t="n">
        <v>178</v>
      </c>
      <c r="B809" s="289">
        <f>+F808</f>
        <v/>
      </c>
      <c r="C809" s="287">
        <f>(IF(A809&lt;$B$613,PMT($B$614/12,$B$613,-$B$612,$B$617,$B$620),IF(A809=$B$613,PMT($B$614/12,$B$613,-$B$612,$B$617,$B$620)+$B$617,0)))</f>
        <v/>
      </c>
      <c r="D809" s="289">
        <f>IF(A809&lt;=$B$613,B809*$B$614/12,0)</f>
        <v/>
      </c>
      <c r="E809" s="289">
        <f>C809-D809</f>
        <v/>
      </c>
      <c r="F809" s="314">
        <f>(B809-E809)</f>
        <v/>
      </c>
      <c r="G809" s="112">
        <f>B809*(1-B$621)^($A809)</f>
        <v/>
      </c>
      <c r="H809" s="112">
        <f>IF(A809&lt;=$B$613,G809*$B$614/12,0)</f>
        <v/>
      </c>
      <c r="I809" s="315">
        <f>C809</f>
        <v/>
      </c>
      <c r="J809" s="314" t="n"/>
      <c r="K809" s="315">
        <f>C809</f>
        <v/>
      </c>
      <c r="L809" s="316">
        <f>F809/$B$612*100</f>
        <v/>
      </c>
      <c r="M809" s="317" t="n"/>
      <c r="N809" s="73" t="n">
        <v>178</v>
      </c>
      <c r="O809" s="289">
        <f>+S808</f>
        <v/>
      </c>
      <c r="P809" s="287">
        <f>(IF(N809&lt;$B$613,PMT($B$615/12,$B$613,-$B$612,$B$617,0),IF(N809=$B$613,PMT($B$615/12,$B$613,-$B$612,$B$617,0)+$B$617,0)))</f>
        <v/>
      </c>
      <c r="Q809" s="289">
        <f>IF(N809&lt;=$B$613,O809*$B$615/12,0)</f>
        <v/>
      </c>
      <c r="R809" s="289">
        <f>P809-Q809</f>
        <v/>
      </c>
      <c r="S809" s="314">
        <f>(O809-R809)</f>
        <v/>
      </c>
      <c r="T809" s="112">
        <f>O809*(1-B$621)^($N809)</f>
        <v/>
      </c>
      <c r="U809" s="112">
        <f>IF(N809&lt;=$B$613,T809*$B$615/12,0)</f>
        <v/>
      </c>
      <c r="V809" s="315">
        <f>P809</f>
        <v/>
      </c>
      <c r="W809" s="314" t="n"/>
      <c r="X809" s="315">
        <f>P809</f>
        <v/>
      </c>
      <c r="Y809" s="316">
        <f>S809/$B$612*100</f>
        <v/>
      </c>
      <c r="Z809" s="46" t="n"/>
      <c r="AA809" s="313">
        <f>+V809-I809</f>
        <v/>
      </c>
    </row>
    <row r="810">
      <c r="A810" s="73" t="n">
        <v>179</v>
      </c>
      <c r="B810" s="289">
        <f>+F809</f>
        <v/>
      </c>
      <c r="C810" s="287">
        <f>(IF(A810&lt;$B$613,PMT($B$614/12,$B$613,-$B$612,$B$617,$B$620),IF(A810=$B$613,PMT($B$614/12,$B$613,-$B$612,$B$617,$B$620)+$B$617,0)))</f>
        <v/>
      </c>
      <c r="D810" s="289">
        <f>IF(A810&lt;=$B$613,B810*$B$614/12,0)</f>
        <v/>
      </c>
      <c r="E810" s="289">
        <f>C810-D810</f>
        <v/>
      </c>
      <c r="F810" s="314">
        <f>(B810-E810)</f>
        <v/>
      </c>
      <c r="G810" s="112">
        <f>B810*(1-B$621)^($A810)</f>
        <v/>
      </c>
      <c r="H810" s="112">
        <f>IF(A810&lt;=$B$613,G810*$B$614/12,0)</f>
        <v/>
      </c>
      <c r="I810" s="315">
        <f>C810</f>
        <v/>
      </c>
      <c r="J810" s="314" t="n"/>
      <c r="K810" s="315">
        <f>C810</f>
        <v/>
      </c>
      <c r="L810" s="316">
        <f>F810/$B$612*100</f>
        <v/>
      </c>
      <c r="M810" s="317" t="n"/>
      <c r="N810" s="73" t="n">
        <v>179</v>
      </c>
      <c r="O810" s="289">
        <f>+S809</f>
        <v/>
      </c>
      <c r="P810" s="287">
        <f>(IF(N810&lt;$B$613,PMT($B$615/12,$B$613,-$B$612,$B$617,0),IF(N810=$B$613,PMT($B$615/12,$B$613,-$B$612,$B$617,0)+$B$617,0)))</f>
        <v/>
      </c>
      <c r="Q810" s="289">
        <f>IF(N810&lt;=$B$613,O810*$B$615/12,0)</f>
        <v/>
      </c>
      <c r="R810" s="289">
        <f>P810-Q810</f>
        <v/>
      </c>
      <c r="S810" s="314">
        <f>(O810-R810)</f>
        <v/>
      </c>
      <c r="T810" s="112">
        <f>O810*(1-B$621)^($N810)</f>
        <v/>
      </c>
      <c r="U810" s="112">
        <f>IF(N810&lt;=$B$613,T810*$B$615/12,0)</f>
        <v/>
      </c>
      <c r="V810" s="315">
        <f>P810</f>
        <v/>
      </c>
      <c r="W810" s="314" t="n"/>
      <c r="X810" s="315">
        <f>P810</f>
        <v/>
      </c>
      <c r="Y810" s="316">
        <f>S810/$B$612*100</f>
        <v/>
      </c>
      <c r="Z810" s="46" t="n"/>
      <c r="AA810" s="313">
        <f>+V810-I810</f>
        <v/>
      </c>
    </row>
    <row r="811">
      <c r="A811" s="73" t="n">
        <v>180</v>
      </c>
      <c r="B811" s="289">
        <f>+F810</f>
        <v/>
      </c>
      <c r="C811" s="287">
        <f>(IF(A811&lt;$B$613,PMT($B$614/12,$B$613,-$B$612,$B$617,$B$620),IF(A811=$B$613,PMT($B$614/12,$B$613,-$B$612,$B$617,$B$620)+$B$617,0)))</f>
        <v/>
      </c>
      <c r="D811" s="289">
        <f>IF(A811&lt;=$B$613,B811*$B$614/12,0)</f>
        <v/>
      </c>
      <c r="E811" s="289">
        <f>C811-D811</f>
        <v/>
      </c>
      <c r="F811" s="314">
        <f>(B811-E811)</f>
        <v/>
      </c>
      <c r="G811" s="112">
        <f>B811*(1-B$621)^($A811)</f>
        <v/>
      </c>
      <c r="H811" s="112">
        <f>IF(A811&lt;=$B$613,G811*$B$614/12,0)</f>
        <v/>
      </c>
      <c r="I811" s="315">
        <f>C811</f>
        <v/>
      </c>
      <c r="J811" s="314" t="n"/>
      <c r="K811" s="315">
        <f>C811</f>
        <v/>
      </c>
      <c r="L811" s="316">
        <f>F811/$B$612*100</f>
        <v/>
      </c>
      <c r="M811" s="317" t="n"/>
      <c r="N811" s="73" t="n">
        <v>180</v>
      </c>
      <c r="O811" s="289">
        <f>+S810</f>
        <v/>
      </c>
      <c r="P811" s="287">
        <f>(IF(N811&lt;$B$613,PMT($B$615/12,$B$613,-$B$612,$B$617,0),IF(N811=$B$613,PMT($B$615/12,$B$613,-$B$612,$B$617,0)+$B$617,0)))</f>
        <v/>
      </c>
      <c r="Q811" s="289">
        <f>IF(N811&lt;=$B$613,O811*$B$615/12,0)</f>
        <v/>
      </c>
      <c r="R811" s="289">
        <f>P811-Q811</f>
        <v/>
      </c>
      <c r="S811" s="314">
        <f>(O811-R811)</f>
        <v/>
      </c>
      <c r="T811" s="112">
        <f>O811*(1-B$621)^($N811)</f>
        <v/>
      </c>
      <c r="U811" s="112">
        <f>IF(N811&lt;=$B$613,T811*$B$615/12,0)</f>
        <v/>
      </c>
      <c r="V811" s="315">
        <f>P811</f>
        <v/>
      </c>
      <c r="W811" s="314" t="n"/>
      <c r="X811" s="315">
        <f>P811</f>
        <v/>
      </c>
      <c r="Y811" s="316">
        <f>S811/$B$612*100</f>
        <v/>
      </c>
      <c r="Z811" s="46" t="n"/>
      <c r="AA811" s="313">
        <f>+V811-I811</f>
        <v/>
      </c>
    </row>
    <row r="812">
      <c r="A812" s="73" t="n">
        <v>181</v>
      </c>
      <c r="B812" s="289">
        <f>+F811</f>
        <v/>
      </c>
      <c r="C812" s="287">
        <f>(IF(A812&lt;$B$613,PMT($B$614/12,$B$613,-$B$612,$B$617,$B$620),IF(A812=$B$613,PMT($B$614/12,$B$613,-$B$612,$B$617,$B$620)+$B$617,0)))</f>
        <v/>
      </c>
      <c r="D812" s="289">
        <f>IF(A812&lt;=$B$613,B812*$B$614/12,0)</f>
        <v/>
      </c>
      <c r="E812" s="289">
        <f>C812-D812</f>
        <v/>
      </c>
      <c r="F812" s="314">
        <f>(B812-E812)</f>
        <v/>
      </c>
      <c r="G812" s="112">
        <f>B812*(1-B$621)^($A812)</f>
        <v/>
      </c>
      <c r="H812" s="112">
        <f>IF(A812&lt;=$B$613,G812*$B$614/12,0)</f>
        <v/>
      </c>
      <c r="I812" s="315">
        <f>C812</f>
        <v/>
      </c>
      <c r="J812" s="314" t="n"/>
      <c r="K812" s="315">
        <f>C812</f>
        <v/>
      </c>
      <c r="L812" s="316">
        <f>F812/$B$612*100</f>
        <v/>
      </c>
      <c r="M812" s="317" t="n"/>
      <c r="N812" s="73" t="n">
        <v>181</v>
      </c>
      <c r="O812" s="289">
        <f>+S811</f>
        <v/>
      </c>
      <c r="P812" s="287">
        <f>(IF(N812&lt;$B$613,PMT($B$615/12,$B$613,-$B$612,$B$617,0),IF(N812=$B$613,PMT($B$615/12,$B$613,-$B$612,$B$617,0)+$B$617,0)))</f>
        <v/>
      </c>
      <c r="Q812" s="289">
        <f>IF(N812&lt;=$B$613,O812*$B$615/12,0)</f>
        <v/>
      </c>
      <c r="R812" s="289">
        <f>P812-Q812</f>
        <v/>
      </c>
      <c r="S812" s="314">
        <f>(O812-R812)</f>
        <v/>
      </c>
      <c r="T812" s="112">
        <f>O812*(1-B$621)^($N812)</f>
        <v/>
      </c>
      <c r="U812" s="112">
        <f>IF(N812&lt;=$B$613,T812*$B$615/12,0)</f>
        <v/>
      </c>
      <c r="V812" s="315">
        <f>P812</f>
        <v/>
      </c>
      <c r="W812" s="314" t="n"/>
      <c r="X812" s="315">
        <f>P812</f>
        <v/>
      </c>
      <c r="Y812" s="316">
        <f>S812/$B$612*100</f>
        <v/>
      </c>
      <c r="Z812" s="46" t="n"/>
      <c r="AA812" s="313">
        <f>+V812-I812</f>
        <v/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priority="1" operator="greaterThan" dxfId="0">
      <formula>$D$33</formula>
    </cfRule>
  </conditionalFormatting>
  <printOptions horizontalCentered="1"/>
  <pageMargins left="0" right="0" top="0.7874015748031497" bottom="0.7874015748031497" header="0" footer="0"/>
  <pageSetup orientation="landscape" scale="9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AE812"/>
  <sheetViews>
    <sheetView showGridLines="0" tabSelected="1" topLeftCell="A618" zoomScale="130" zoomScaleNormal="130" workbookViewId="0">
      <selection activeCell="E624" sqref="E624"/>
    </sheetView>
  </sheetViews>
  <sheetFormatPr baseColWidth="10" defaultColWidth="11.42578125" defaultRowHeight="12" outlineLevelRow="1"/>
  <cols>
    <col width="27.42578125" customWidth="1" style="1" min="1" max="1"/>
    <col width="43.42578125" customWidth="1" style="2" min="2" max="2"/>
    <col width="10.28515625" bestFit="1" customWidth="1" style="1" min="3" max="3"/>
    <col width="40.85546875" customWidth="1" style="1" min="4" max="4"/>
    <col width="11.42578125" customWidth="1" style="1" min="5" max="14"/>
    <col width="11.42578125" customWidth="1" style="1" min="15" max="16384"/>
  </cols>
  <sheetData>
    <row r="1" hidden="1" outlineLevel="1">
      <c r="D1" s="3">
        <f>IF(OR(ISBLANK(#REF!),ISBLANK(#REF!),ISBLANK(D$25),ISBLANK(D$23)),0,1)</f>
        <v/>
      </c>
      <c r="E1" s="3">
        <f>IF(OR(ISBLANK(#REF!),ISBLANK(#REF!),ISBLANK(E$25),ISBLANK(E$23)),0,1)</f>
        <v/>
      </c>
      <c r="F1" s="3">
        <f>IF(OR(ISBLANK(#REF!),ISBLANK(#REF!),ISBLANK(F$25),ISBLANK(F$23)),0,1)</f>
        <v/>
      </c>
      <c r="G1" s="3">
        <f>IF(OR(ISBLANK(#REF!),ISBLANK(#REF!),ISBLANK(G$25),ISBLANK(G$23)),0,1)</f>
        <v/>
      </c>
      <c r="H1" s="3">
        <f>IF(OR(ISBLANK(#REF!),ISBLANK(#REF!),ISBLANK(H$25),ISBLANK(H$23)),0,1)</f>
        <v/>
      </c>
      <c r="I1" s="3">
        <f>IF(OR(ISBLANK(#REF!),ISBLANK(#REF!),ISBLANK(I$25),ISBLANK(I$23)),0,1)</f>
        <v/>
      </c>
      <c r="J1" s="3">
        <f>IF(OR(ISBLANK(#REF!),ISBLANK(#REF!),ISBLANK(J$25),ISBLANK(J$23)),0,1)</f>
        <v/>
      </c>
      <c r="K1" s="3">
        <f>IF(OR(ISBLANK(#REF!),ISBLANK(#REF!),ISBLANK(K$25),ISBLANK(K$23)),0,1)</f>
        <v/>
      </c>
      <c r="L1" s="3">
        <f>IF(OR(ISBLANK(#REF!),ISBLANK(#REF!),ISBLANK(L$25),ISBLANK(L$23)),0,1)</f>
        <v/>
      </c>
      <c r="M1" s="3">
        <f>IF(OR(ISBLANK(#REF!),ISBLANK(#REF!),ISBLANK(M$25),ISBLANK(M$23)),0,1)</f>
        <v/>
      </c>
    </row>
    <row r="2" collapsed="1"/>
    <row r="3" ht="36" customHeight="1">
      <c r="B3" s="238" t="inlineStr">
        <is>
          <t xml:space="preserve">Subsidies calculator incl. early repayment
</t>
        </is>
      </c>
    </row>
    <row r="5">
      <c r="B5" s="12" t="n"/>
      <c r="C5" s="13" t="n"/>
      <c r="D5" s="13" t="n"/>
      <c r="E5" s="13" t="n"/>
      <c r="F5" s="13" t="n"/>
      <c r="G5" s="13" t="n"/>
      <c r="H5" s="13" t="n"/>
      <c r="I5" s="13" t="n"/>
      <c r="J5" s="13" t="n"/>
      <c r="K5" s="13" t="n"/>
      <c r="L5" s="13" t="n"/>
      <c r="M5" s="14" t="n"/>
    </row>
    <row r="6">
      <c r="B6" s="240" t="inlineStr">
        <is>
          <t>principles</t>
        </is>
      </c>
      <c r="D6" s="19" t="inlineStr">
        <is>
          <t>Financed amount without downpayment</t>
        </is>
      </c>
      <c r="M6" s="15" t="n"/>
    </row>
    <row r="7">
      <c r="B7" s="248" t="n"/>
      <c r="D7" s="101" t="n"/>
      <c r="M7" s="15" t="n"/>
    </row>
    <row r="8" hidden="1">
      <c r="B8" s="248" t="n"/>
      <c r="D8" s="20" t="n"/>
      <c r="M8" s="15" t="n"/>
    </row>
    <row r="9" hidden="1">
      <c r="B9" s="248" t="n"/>
      <c r="D9" s="23" t="n"/>
      <c r="M9" s="15" t="n"/>
    </row>
    <row r="10" hidden="1">
      <c r="B10" s="248" t="n"/>
      <c r="D10" s="24" t="n"/>
      <c r="M10" s="15" t="n"/>
    </row>
    <row r="11" hidden="1">
      <c r="B11" s="16" t="n"/>
      <c r="C11" s="5" t="n"/>
      <c r="D11" s="17" t="n"/>
      <c r="E11" s="5" t="n"/>
      <c r="F11" s="5" t="n"/>
      <c r="G11" s="5" t="n"/>
      <c r="H11" s="5" t="n"/>
      <c r="I11" s="5" t="n"/>
      <c r="J11" s="5" t="n"/>
      <c r="K11" s="5" t="n"/>
      <c r="L11" s="5" t="n"/>
      <c r="M11" s="18" t="n"/>
    </row>
    <row r="14" ht="21" customHeight="1">
      <c r="D14" s="9" t="inlineStr">
        <is>
          <t>simul_1</t>
        </is>
      </c>
      <c r="E14" s="9" t="inlineStr">
        <is>
          <t>simul_2</t>
        </is>
      </c>
      <c r="F14" s="9" t="inlineStr">
        <is>
          <t>simul_3</t>
        </is>
      </c>
      <c r="G14" s="9" t="inlineStr">
        <is>
          <t>simul_4</t>
        </is>
      </c>
      <c r="H14" s="9" t="inlineStr">
        <is>
          <t>simul_5</t>
        </is>
      </c>
      <c r="I14" s="9" t="inlineStr">
        <is>
          <t>simul_6</t>
        </is>
      </c>
      <c r="J14" s="9" t="inlineStr">
        <is>
          <t>simul_7</t>
        </is>
      </c>
      <c r="K14" s="9" t="inlineStr">
        <is>
          <t>simul_8</t>
        </is>
      </c>
      <c r="L14" s="9" t="inlineStr">
        <is>
          <t>simul_9</t>
        </is>
      </c>
      <c r="M14" s="9" t="inlineStr">
        <is>
          <t>simul_10</t>
        </is>
      </c>
    </row>
    <row r="15">
      <c r="D15" s="188" t="n"/>
      <c r="E15" s="7" t="n"/>
      <c r="F15" s="7" t="n"/>
      <c r="G15" s="7" t="n"/>
      <c r="H15" s="7" t="n"/>
      <c r="I15" s="7" t="n"/>
      <c r="J15" s="7" t="n"/>
      <c r="K15" s="7" t="n"/>
      <c r="L15" s="7" t="n"/>
      <c r="M15" s="7" t="n"/>
    </row>
    <row r="16">
      <c r="B16" s="6" t="inlineStr">
        <is>
          <t>Main caracteristics</t>
        </is>
      </c>
      <c r="D16" s="188" t="n"/>
      <c r="E16" s="7" t="n"/>
      <c r="F16" s="7" t="n"/>
      <c r="G16" s="7" t="n"/>
      <c r="H16" s="7" t="n"/>
      <c r="I16" s="7" t="n"/>
      <c r="J16" s="7" t="n"/>
      <c r="K16" s="7" t="n"/>
      <c r="L16" s="7" t="n"/>
      <c r="M16" s="7" t="n"/>
    </row>
    <row r="17" outlineLevel="1">
      <c r="B17" s="117" t="inlineStr">
        <is>
          <t>MSRP (VAT Included</t>
        </is>
      </c>
      <c r="D17" s="249" t="n"/>
      <c r="E17" s="7" t="n"/>
      <c r="F17" s="7" t="n"/>
      <c r="G17" s="7" t="n"/>
      <c r="H17" s="7" t="n"/>
      <c r="I17" s="7" t="n"/>
      <c r="J17" s="7" t="n"/>
      <c r="K17" s="7" t="n"/>
      <c r="L17" s="7" t="n"/>
      <c r="M17" s="7" t="n"/>
    </row>
    <row r="18" outlineLevel="1">
      <c r="B18" s="4" t="inlineStr">
        <is>
          <t>Discount HMF (VAT included)</t>
        </is>
      </c>
      <c r="D18" s="249" t="n"/>
      <c r="E18" s="7" t="n"/>
      <c r="F18" s="7" t="n"/>
      <c r="G18" s="7" t="n"/>
      <c r="H18" s="7" t="n"/>
      <c r="I18" s="7" t="n"/>
      <c r="J18" s="7" t="n"/>
      <c r="K18" s="7" t="n"/>
      <c r="L18" s="7" t="n"/>
      <c r="M18" s="7" t="n"/>
    </row>
    <row r="19" outlineLevel="1">
      <c r="B19" s="4" t="inlineStr">
        <is>
          <t>MSRP discounted (VAT included)</t>
        </is>
      </c>
      <c r="D19" s="250" t="n"/>
      <c r="E19" s="7" t="n"/>
      <c r="F19" s="7" t="n"/>
      <c r="G19" s="7" t="n"/>
      <c r="H19" s="7" t="n"/>
      <c r="I19" s="7" t="n"/>
      <c r="J19" s="7" t="n"/>
      <c r="K19" s="7" t="n"/>
      <c r="L19" s="7" t="n"/>
      <c r="M19" s="7" t="n"/>
      <c r="N19" s="251" t="n"/>
    </row>
    <row r="20" outlineLevel="1">
      <c r="B20" s="4" t="inlineStr">
        <is>
          <t>Down payment (VAT included)</t>
        </is>
      </c>
      <c r="D20" s="249">
        <f>compensation!B4</f>
        <v/>
      </c>
      <c r="E20" s="7" t="n"/>
      <c r="F20" s="7" t="n"/>
      <c r="G20" s="7" t="n"/>
      <c r="H20" s="7" t="n"/>
      <c r="I20" s="7" t="n"/>
      <c r="J20" s="7" t="n"/>
      <c r="K20" s="7" t="n"/>
      <c r="L20" s="7" t="n"/>
      <c r="M20" s="7" t="n"/>
      <c r="N20" s="251" t="n"/>
    </row>
    <row r="21" outlineLevel="1">
      <c r="B21" s="4" t="inlineStr">
        <is>
          <t>Financed amount (VAT included)</t>
        </is>
      </c>
      <c r="D21" s="250" t="n"/>
      <c r="E21" s="7" t="n"/>
      <c r="F21" s="7" t="n"/>
      <c r="G21" s="7" t="n"/>
      <c r="H21" s="7" t="n"/>
      <c r="I21" s="7" t="n"/>
      <c r="J21" s="7" t="n"/>
      <c r="K21" s="7" t="n"/>
      <c r="L21" s="7" t="n"/>
      <c r="M21" s="7" t="n"/>
    </row>
    <row r="22" ht="11.25" customHeight="1">
      <c r="B22" s="4" t="inlineStr">
        <is>
          <t>Financed amount (HT)</t>
        </is>
      </c>
      <c r="D22" s="252">
        <f>+compensation!B5</f>
        <v/>
      </c>
      <c r="E22" s="253" t="n"/>
      <c r="F22" s="253" t="n"/>
      <c r="G22" s="253" t="n"/>
      <c r="H22" s="253" t="n"/>
      <c r="I22" s="253" t="n"/>
      <c r="J22" s="253" t="n"/>
      <c r="K22" s="253" t="n"/>
      <c r="L22" s="253" t="n"/>
      <c r="M22" s="253" t="n"/>
    </row>
    <row r="23" outlineLevel="1" ht="11.25" customHeight="1">
      <c r="B23" s="4" t="inlineStr">
        <is>
          <t>Durée</t>
        </is>
      </c>
      <c r="D23" s="254">
        <f>+IF(D20=0,D24,D24-1)</f>
        <v/>
      </c>
      <c r="E23" s="255" t="n"/>
      <c r="F23" s="255" t="n"/>
      <c r="G23" s="255" t="n"/>
      <c r="H23" s="255" t="n"/>
      <c r="I23" s="255" t="n"/>
      <c r="J23" s="255" t="n"/>
      <c r="K23" s="255" t="n"/>
      <c r="L23" s="255" t="n"/>
      <c r="M23" s="255" t="n"/>
      <c r="N23" s="256" t="n"/>
    </row>
    <row r="24" ht="11.25" customHeight="1">
      <c r="B24" s="4" t="inlineStr">
        <is>
          <t>Duration with linear first payment</t>
        </is>
      </c>
      <c r="D24" s="254">
        <f>compensation!B7</f>
        <v/>
      </c>
      <c r="E24" s="255" t="n"/>
      <c r="F24" s="255" t="n"/>
      <c r="G24" s="255" t="n"/>
      <c r="H24" s="255" t="n"/>
      <c r="I24" s="255" t="n"/>
      <c r="J24" s="255" t="n"/>
      <c r="K24" s="255" t="n"/>
      <c r="L24" s="255" t="n"/>
      <c r="M24" s="255" t="n"/>
      <c r="N24" s="257" t="n"/>
    </row>
    <row r="25">
      <c r="B25" s="4" t="inlineStr">
        <is>
          <t>Reference Rate</t>
        </is>
      </c>
      <c r="D25" s="210">
        <f>+compensation!B8</f>
        <v/>
      </c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93" t="n"/>
      <c r="O25" s="93" t="n"/>
    </row>
    <row r="26">
      <c r="B26" s="4" t="inlineStr">
        <is>
          <t>Customer APR (Promo rate)</t>
        </is>
      </c>
      <c r="D26" s="211">
        <f>+compensation!B11</f>
        <v/>
      </c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  <c r="N26" s="93" t="n"/>
    </row>
    <row r="27">
      <c r="B27" s="4" t="inlineStr">
        <is>
          <t>Residual Value (% of the financed amount)</t>
        </is>
      </c>
      <c r="D27" s="211">
        <f>+D29/D22</f>
        <v/>
      </c>
      <c r="E27" s="10" t="n"/>
      <c r="F27" s="10" t="n"/>
      <c r="G27" s="10" t="n"/>
      <c r="H27" s="10" t="n"/>
      <c r="I27" s="10" t="n"/>
      <c r="J27" s="10" t="n"/>
      <c r="K27" s="10" t="n"/>
      <c r="L27" s="10" t="n"/>
      <c r="M27" s="10" t="n"/>
    </row>
    <row r="28" hidden="1" outlineLevel="1">
      <c r="B28" s="4" t="inlineStr">
        <is>
          <t>Amount of the RV (in € - VAT included)</t>
        </is>
      </c>
      <c r="D28" s="258" t="n"/>
      <c r="E28" s="258">
        <f>IF(E22=0,"",E27*E22)</f>
        <v/>
      </c>
      <c r="F28" s="258">
        <f>IF(F22=0,"",F27*F22)</f>
        <v/>
      </c>
      <c r="G28" s="258">
        <f>IF(G22=0,"",G27*G22)</f>
        <v/>
      </c>
      <c r="H28" s="258">
        <f>IF(H22=0,"",H27*H22)</f>
        <v/>
      </c>
      <c r="I28" s="258">
        <f>IF(I22=0,"",I27*I22)</f>
        <v/>
      </c>
      <c r="J28" s="258">
        <f>IF(J22=0,"",J27*J22)</f>
        <v/>
      </c>
      <c r="K28" s="258">
        <f>IF(K22=0,"",K27*K22)</f>
        <v/>
      </c>
      <c r="L28" s="258">
        <f>IF(L22=0,"",L27*L22)</f>
        <v/>
      </c>
      <c r="M28" s="259">
        <f>IF(M22=0,"",M27*M22)</f>
        <v/>
      </c>
      <c r="N28" s="183">
        <f>+D28/D17</f>
        <v/>
      </c>
      <c r="O28" s="184" t="n"/>
      <c r="P28" s="260" t="n"/>
    </row>
    <row r="29" collapsed="1" ht="11.45" customHeight="1">
      <c r="B29" s="4" t="inlineStr">
        <is>
          <t>Amount of the RV (in € - HT)</t>
        </is>
      </c>
      <c r="D29" s="252">
        <f>+compensation!B9</f>
        <v/>
      </c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9" t="n"/>
      <c r="N29" s="261">
        <f>+D29/D22</f>
        <v/>
      </c>
      <c r="P29" s="260" t="n"/>
    </row>
    <row r="30" hidden="1" outlineLevel="1">
      <c r="B30" s="2" t="inlineStr">
        <is>
          <t>VAT rate</t>
        </is>
      </c>
      <c r="D30" s="88" t="n"/>
      <c r="E30" s="258" t="n"/>
      <c r="F30" s="258" t="n"/>
      <c r="G30" s="258" t="n"/>
      <c r="H30" s="258" t="n"/>
      <c r="I30" s="258" t="n"/>
      <c r="J30" s="258" t="n"/>
      <c r="K30" s="258" t="n"/>
      <c r="L30" s="258" t="n"/>
      <c r="M30" s="259" t="n"/>
      <c r="N30" s="185" t="n"/>
      <c r="O30" s="185" t="n"/>
      <c r="P30" s="260" t="n"/>
    </row>
    <row r="31" collapsed="1">
      <c r="D31" s="188" t="n"/>
      <c r="E31" s="7" t="n"/>
      <c r="F31" s="7" t="n"/>
      <c r="G31" s="7" t="n"/>
      <c r="H31" s="7" t="n"/>
      <c r="I31" s="7" t="n"/>
      <c r="J31" s="7" t="n"/>
      <c r="K31" s="7" t="n"/>
      <c r="L31" s="7" t="n"/>
      <c r="M31" s="7" t="n"/>
      <c r="N31" s="185" t="n"/>
      <c r="O31" s="262" t="n"/>
    </row>
    <row r="32" ht="21" customHeight="1">
      <c r="B32" s="6" t="inlineStr">
        <is>
          <t>Dealer commission</t>
        </is>
      </c>
      <c r="D32" s="188" t="n"/>
      <c r="E32" s="7" t="n"/>
      <c r="F32" s="7" t="n"/>
      <c r="G32" s="7" t="n"/>
      <c r="H32" s="7" t="n"/>
      <c r="I32" s="7" t="n"/>
      <c r="J32" s="7" t="n"/>
      <c r="K32" s="7" t="n"/>
      <c r="L32" s="7" t="n"/>
      <c r="M32" s="7" t="n"/>
      <c r="N32" s="185" t="n"/>
      <c r="O32" s="185" t="n"/>
    </row>
    <row r="33" hidden="1" outlineLevel="1">
      <c r="B33" s="4" t="inlineStr">
        <is>
          <t>Standard commission of the reference rate (average)</t>
        </is>
      </c>
      <c r="D33" s="88" t="n">
        <v>0</v>
      </c>
      <c r="E33" s="211">
        <f>IF(E22=0,"",2.5%)</f>
        <v/>
      </c>
      <c r="F33" s="211">
        <f>IF(F22=0,"",2.5%)</f>
        <v/>
      </c>
      <c r="G33" s="211">
        <f>IF(G22=0,"",2.5%)</f>
        <v/>
      </c>
      <c r="H33" s="211">
        <f>IF(H22=0,"",2.5%)</f>
        <v/>
      </c>
      <c r="I33" s="211">
        <f>IF(I22=0,"",2.5%)</f>
        <v/>
      </c>
      <c r="J33" s="211">
        <f>IF(J22=0,"",2.5%)</f>
        <v/>
      </c>
      <c r="K33" s="211">
        <f>IF(K22=0,"",2.5%)</f>
        <v/>
      </c>
      <c r="L33" s="211">
        <f>IF(L22=0,"",2.5%)</f>
        <v/>
      </c>
      <c r="M33" s="211">
        <f>IF(M22=0,"",2.5%)</f>
        <v/>
      </c>
      <c r="N33" s="185" t="n"/>
      <c r="O33" s="185" t="n"/>
    </row>
    <row r="34" collapsed="1">
      <c r="B34" s="4" t="inlineStr">
        <is>
          <t>Commission agreed with the OEM</t>
        </is>
      </c>
      <c r="D34" s="181" t="n"/>
      <c r="E34" s="10" t="n"/>
      <c r="F34" s="10" t="n"/>
      <c r="G34" s="10" t="n"/>
      <c r="H34" s="10" t="n"/>
      <c r="I34" s="10" t="n"/>
      <c r="J34" s="10" t="n"/>
      <c r="K34" s="10" t="n"/>
      <c r="L34" s="10" t="n"/>
      <c r="M34" s="10" t="n"/>
      <c r="N34" s="185" t="n"/>
      <c r="O34" s="185" t="n"/>
    </row>
    <row r="35"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  <c r="M35" s="7" t="n"/>
      <c r="N35" s="185" t="n"/>
      <c r="O35" s="185" t="n"/>
      <c r="R35" s="120" t="n"/>
    </row>
    <row r="36" ht="21" customHeight="1">
      <c r="B36" s="119" t="inlineStr">
        <is>
          <t xml:space="preserve"> Subsidies (rate / prod)</t>
        </is>
      </c>
      <c r="D36" s="8">
        <f>IF(D1=0,"",(D25*D40-D33)-(D26*D43-D34))</f>
        <v/>
      </c>
      <c r="E36" s="8">
        <f>IF(E1=0,"",(E25*E40-E33)-(E26*E43-E34))</f>
        <v/>
      </c>
      <c r="F36" s="8">
        <f>IF(F1=0,"",(F25*F40-F33)-(F26*F43-F34))</f>
        <v/>
      </c>
      <c r="G36" s="8">
        <f>IF(G1=0,"",(G25*G40-G33)-(G26*G43-G34))</f>
        <v/>
      </c>
      <c r="H36" s="8">
        <f>IF(H1=0,"",(H25*H40-H33)-(H26*H43-H34))</f>
        <v/>
      </c>
      <c r="I36" s="8">
        <f>IF(I1=0,"",(I25*I40-I33)-(I26*I43-I34))</f>
        <v/>
      </c>
      <c r="J36" s="8">
        <f>IF(J1=0,"",(J25*J40-J33)-(J26*J43-J34))</f>
        <v/>
      </c>
      <c r="K36" s="8">
        <f>IF(K1=0,"",(K25*K40-K33)-(K26*K43-K34))</f>
        <v/>
      </c>
      <c r="L36" s="8">
        <f>IF(L1=0,"",(L25*L40-L33)-(L26*L43-L34))</f>
        <v/>
      </c>
      <c r="M36" s="8">
        <f>IF(M1=0,"",(M25*M40-M33)-(M26*M43-M34))</f>
        <v/>
      </c>
      <c r="N36" s="185" t="n"/>
      <c r="O36" s="185" t="n"/>
      <c r="R36" s="120" t="n"/>
    </row>
    <row r="37" ht="21" customHeight="1">
      <c r="B37" s="119" t="inlineStr">
        <is>
          <t>Subsidies per unit (in €) - VAT excluded</t>
        </is>
      </c>
      <c r="D37" s="263">
        <f>IF(D36="","",D22*D36)</f>
        <v/>
      </c>
      <c r="E37" s="8" t="n"/>
      <c r="F37" s="8" t="n"/>
      <c r="G37" s="8" t="n"/>
      <c r="H37" s="8" t="n"/>
      <c r="I37" s="8" t="n"/>
      <c r="J37" s="8" t="n"/>
      <c r="K37" s="8" t="n"/>
      <c r="L37" s="8" t="n"/>
      <c r="M37" s="90" t="n"/>
      <c r="N37" s="264">
        <f>+D37*1.2</f>
        <v/>
      </c>
      <c r="O37" s="184" t="inlineStr">
        <is>
          <t>with VAT</t>
        </is>
      </c>
      <c r="P37" s="260" t="n"/>
      <c r="Q37" s="265" t="n"/>
      <c r="R37" s="266" t="n"/>
    </row>
    <row r="38" ht="21" customHeight="1">
      <c r="B38" s="119" t="inlineStr">
        <is>
          <t>Monthly payment - VAT excluded</t>
        </is>
      </c>
      <c r="D38" s="263">
        <f>'CALCULETTE (2)'!C632</f>
        <v/>
      </c>
      <c r="E38" s="8" t="n"/>
      <c r="F38" s="8" t="n"/>
      <c r="G38" s="8" t="n"/>
      <c r="H38" s="8" t="n"/>
      <c r="I38" s="8" t="n"/>
      <c r="J38" s="8" t="n"/>
      <c r="K38" s="8" t="n"/>
      <c r="L38" s="8" t="n"/>
      <c r="M38" s="8" t="n"/>
      <c r="N38" s="264">
        <f>+(ROUND(PMT(D26/12,IF(IF(D20=0,0,1)&gt;0,+D24-1,D24-0),-(FV(D26/12,0,0/(1+D30),-(((1-ROUND(D20/D19,5))/(1+D30))-0)*(1+D26*(+D24-(IF(IF(D20=0,0,1)&gt;0,+D24-1,D24-0)+0))/12),1)),ROUND(+D28/D19,5)/(1+D30)-0,1)*(1+D30),6)*D19)</f>
        <v/>
      </c>
      <c r="O38" s="184" t="inlineStr">
        <is>
          <t>with VAT</t>
        </is>
      </c>
      <c r="P38" s="265" t="n"/>
      <c r="Q38" s="267" t="n"/>
    </row>
    <row r="39">
      <c r="D39" s="120" t="n"/>
      <c r="E39" s="120" t="n"/>
    </row>
    <row r="40" hidden="1" outlineLevel="1" customFormat="1" s="36">
      <c r="B40" s="34" t="inlineStr">
        <is>
          <t>Ratio Outstanding/Production with Reference Rate</t>
        </is>
      </c>
      <c r="D40" s="268">
        <f>IF(D$1=0,"",SUM(D53:D232)/12)</f>
        <v/>
      </c>
      <c r="E40" s="268">
        <f>IF(E$1=0,"",SUM(E53:E232)/12)</f>
        <v/>
      </c>
      <c r="F40" s="268">
        <f>IF(F$1=0,"",SUM(F53:F232)/12)</f>
        <v/>
      </c>
      <c r="G40" s="268">
        <f>IF(G$1=0,"",SUM(G53:G232)/12)</f>
        <v/>
      </c>
      <c r="H40" s="268">
        <f>IF(H$1=0,"",SUM(H53:H232)/12)</f>
        <v/>
      </c>
      <c r="I40" s="268">
        <f>IF(I$1=0,"",SUM(I53:I232)/12)</f>
        <v/>
      </c>
      <c r="J40" s="268">
        <f>IF(J$1=0,"",SUM(J53:J232)/12)</f>
        <v/>
      </c>
      <c r="K40" s="268">
        <f>IF(K$1=0,"",SUM(K53:K232)/12)</f>
        <v/>
      </c>
      <c r="L40" s="268">
        <f>IF(L$1=0,"",SUM(L53:L232)/12)</f>
        <v/>
      </c>
      <c r="M40" s="268">
        <f>IF(M$1=0,"",SUM(M53:M232)/12)</f>
        <v/>
      </c>
      <c r="O40" s="267" t="n"/>
      <c r="P40" s="269" t="n"/>
    </row>
    <row r="41" hidden="1" outlineLevel="1" customFormat="1" s="36">
      <c r="B41" s="81" t="inlineStr">
        <is>
          <t>Outstandings</t>
        </is>
      </c>
      <c r="D41" s="270">
        <f>D40*D22</f>
        <v/>
      </c>
      <c r="E41" s="271" t="n"/>
      <c r="F41" s="271" t="n"/>
      <c r="G41" s="271" t="n"/>
      <c r="H41" s="271" t="n"/>
      <c r="I41" s="271" t="n"/>
      <c r="J41" s="271" t="n"/>
      <c r="K41" s="271" t="n"/>
      <c r="L41" s="271" t="n"/>
      <c r="M41" s="271" t="n"/>
      <c r="P41" s="260" t="n"/>
    </row>
    <row r="42" hidden="1" outlineLevel="1" customFormat="1" s="30">
      <c r="B42" s="31" t="inlineStr">
        <is>
          <t>Interest generated with Reference Rate</t>
        </is>
      </c>
      <c r="D42" s="272">
        <f>IF(D22=0,"",D40*D22*D25)</f>
        <v/>
      </c>
      <c r="E42" s="272">
        <f>IF(E22=0,"",E40*E22*E25)</f>
        <v/>
      </c>
      <c r="F42" s="272">
        <f>IF(F22=0,"",F40*F22*F25)</f>
        <v/>
      </c>
      <c r="G42" s="272">
        <f>IF(G22=0,"",G40*G22*G25)</f>
        <v/>
      </c>
      <c r="H42" s="272">
        <f>IF(H22=0,"",H40*H22*H25)</f>
        <v/>
      </c>
      <c r="I42" s="272">
        <f>IF(I22=0,"",I40*I22*I25)</f>
        <v/>
      </c>
      <c r="J42" s="272">
        <f>IF(J22=0,"",J40*J22*J25)</f>
        <v/>
      </c>
      <c r="K42" s="272">
        <f>IF(K22=0,"",K40*K22*K25)</f>
        <v/>
      </c>
      <c r="L42" s="272">
        <f>IF(L22=0,"",L40*L22*L25)</f>
        <v/>
      </c>
      <c r="M42" s="272">
        <f>IF(M22=0,"",M40*M22*M25)</f>
        <v/>
      </c>
      <c r="P42" s="260" t="n"/>
    </row>
    <row r="43" hidden="1" outlineLevel="1" customFormat="1" s="36">
      <c r="B43" s="34" t="inlineStr">
        <is>
          <t>Ration O/P With Promo campaign</t>
        </is>
      </c>
      <c r="D43" s="268">
        <f>IF(D$1=0,"",SUM(D235:D596)/12)</f>
        <v/>
      </c>
      <c r="E43" s="268">
        <f>IF(E$1=0,"",SUM(E235:E596)/12)</f>
        <v/>
      </c>
      <c r="F43" s="268">
        <f>IF(F$1=0,"",SUM(F235:F596)/12)</f>
        <v/>
      </c>
      <c r="G43" s="268">
        <f>IF(G$1=0,"",SUM(G235:G596)/12)</f>
        <v/>
      </c>
      <c r="H43" s="268">
        <f>IF(H$1=0,"",SUM(H235:H596)/12)</f>
        <v/>
      </c>
      <c r="I43" s="268">
        <f>IF(I$1=0,"",SUM(I235:I596)/12)</f>
        <v/>
      </c>
      <c r="J43" s="268">
        <f>IF(J$1=0,"",SUM(J235:J596)/12)</f>
        <v/>
      </c>
      <c r="K43" s="268">
        <f>IF(K$1=0,"",SUM(K235:K596)/12)</f>
        <v/>
      </c>
      <c r="L43" s="268">
        <f>IF(L$1=0,"",SUM(L235:L596)/12)</f>
        <v/>
      </c>
      <c r="M43" s="268">
        <f>IF(M$1=0,"",SUM(M235:M596)/12)</f>
        <v/>
      </c>
    </row>
    <row r="44" hidden="1" outlineLevel="1" customFormat="1" s="36">
      <c r="B44" s="81" t="inlineStr">
        <is>
          <t>Outstandings</t>
        </is>
      </c>
      <c r="D44" s="270">
        <f>D43*D22</f>
        <v/>
      </c>
      <c r="E44" s="271" t="n"/>
      <c r="F44" s="271" t="n"/>
      <c r="G44" s="271" t="n"/>
      <c r="H44" s="271" t="n"/>
      <c r="I44" s="271" t="n"/>
      <c r="J44" s="271" t="n"/>
      <c r="K44" s="271" t="n"/>
      <c r="L44" s="271" t="n"/>
      <c r="M44" s="271" t="n"/>
      <c r="P44" s="260" t="n"/>
    </row>
    <row r="45" hidden="1" outlineLevel="1" customFormat="1" s="30">
      <c r="B45" s="31" t="inlineStr">
        <is>
          <t>Interests generated with Promo Rate</t>
        </is>
      </c>
      <c r="D45" s="273">
        <f>IF(D22=0,"",D43*D22*D26)</f>
        <v/>
      </c>
      <c r="E45" s="273">
        <f>IF(E22=0,"",E43*E22*E26)</f>
        <v/>
      </c>
      <c r="F45" s="273">
        <f>IF(F22=0,"",F43*F22*F26)</f>
        <v/>
      </c>
      <c r="G45" s="273">
        <f>IF(G22=0,"",G43*G22*G26)</f>
        <v/>
      </c>
      <c r="H45" s="273">
        <f>IF(H22=0,"",H43*H22*H26)</f>
        <v/>
      </c>
      <c r="I45" s="273">
        <f>IF(I22=0,"",I43*I22*I26)</f>
        <v/>
      </c>
      <c r="J45" s="273">
        <f>IF(J22=0,"",J43*J22*J26)</f>
        <v/>
      </c>
      <c r="K45" s="273">
        <f>IF(K22=0,"",K43*K22*K26)</f>
        <v/>
      </c>
      <c r="L45" s="273">
        <f>IF(L22=0,"",L43*L22*L26)</f>
        <v/>
      </c>
      <c r="M45" s="273">
        <f>IF(M22=0,"",M43*M22*M26)</f>
        <v/>
      </c>
      <c r="O45" s="274" t="n"/>
      <c r="P45" s="260" t="n"/>
    </row>
    <row r="46" hidden="1" outlineLevel="1" customFormat="1" s="30">
      <c r="B46" s="37" t="inlineStr">
        <is>
          <t>Ecart de rémunération</t>
        </is>
      </c>
      <c r="C46" s="1" t="n"/>
      <c r="D46" s="275">
        <f>IF(D22=0,"",D42-D45)</f>
        <v/>
      </c>
      <c r="E46" s="275">
        <f>IF(E22=0,"",E42-E45)</f>
        <v/>
      </c>
      <c r="F46" s="275">
        <f>IF(F22=0,"",F42-F45)</f>
        <v/>
      </c>
      <c r="G46" s="275">
        <f>IF(G22=0,"",G42-G45)</f>
        <v/>
      </c>
      <c r="H46" s="275">
        <f>IF(H22=0,"",H42-H45)</f>
        <v/>
      </c>
      <c r="I46" s="275">
        <f>IF(I22=0,"",I42-I45)</f>
        <v/>
      </c>
      <c r="J46" s="275">
        <f>IF(J22=0,"",J42-J45)</f>
        <v/>
      </c>
      <c r="K46" s="275">
        <f>IF(K22=0,"",K42-K45)</f>
        <v/>
      </c>
      <c r="L46" s="275">
        <f>IF(L22=0,"",L42-L45)</f>
        <v/>
      </c>
      <c r="M46" s="275">
        <f>IF(M22=0,"",M42-M45)</f>
        <v/>
      </c>
      <c r="O46" s="274" t="n"/>
    </row>
    <row r="47" hidden="1" outlineLevel="1">
      <c r="B47" s="38" t="inlineStr">
        <is>
          <t>Standard Commissions (reference)</t>
        </is>
      </c>
      <c r="D47" s="276">
        <f>IF(D22=0,"",D33*D22)</f>
        <v/>
      </c>
      <c r="E47" s="276">
        <f>IF(E22=0,"",E33*E22)</f>
        <v/>
      </c>
      <c r="F47" s="276">
        <f>IF(F22=0,"",F33*F22)</f>
        <v/>
      </c>
      <c r="G47" s="276">
        <f>IF(G22=0,"",G33*G22)</f>
        <v/>
      </c>
      <c r="H47" s="276">
        <f>IF(H22=0,"",H33*H22)</f>
        <v/>
      </c>
      <c r="I47" s="276">
        <f>IF(I22=0,"",I33*I22)</f>
        <v/>
      </c>
      <c r="J47" s="276">
        <f>IF(J22=0,"",J33*J22)</f>
        <v/>
      </c>
      <c r="K47" s="276">
        <f>IF(K22=0,"",K33*K22)</f>
        <v/>
      </c>
      <c r="L47" s="276">
        <f>IF(L22=0,"",L33*L22)</f>
        <v/>
      </c>
      <c r="M47" s="276">
        <f>IF(M22=0,"",M33*M22)</f>
        <v/>
      </c>
    </row>
    <row r="48" hidden="1" outlineLevel="1">
      <c r="B48" s="38" t="inlineStr">
        <is>
          <t>commissions agreed with the OEM</t>
        </is>
      </c>
      <c r="D48" s="276">
        <f>IF(D22=0,"",D22*D34)</f>
        <v/>
      </c>
      <c r="E48" s="276">
        <f>IF(E22=0,"",E22*E34)</f>
        <v/>
      </c>
      <c r="F48" s="276">
        <f>IF(F22=0,"",F22*F34)</f>
        <v/>
      </c>
      <c r="G48" s="276">
        <f>IF(G22=0,"",G22*G34)</f>
        <v/>
      </c>
      <c r="H48" s="276">
        <f>IF(H22=0,"",H22*H34)</f>
        <v/>
      </c>
      <c r="I48" s="276">
        <f>IF(I22=0,"",I22*I34)</f>
        <v/>
      </c>
      <c r="J48" s="276">
        <f>IF(J22=0,"",J22*J34)</f>
        <v/>
      </c>
      <c r="K48" s="276">
        <f>IF(K22=0,"",K22*K34)</f>
        <v/>
      </c>
      <c r="L48" s="276">
        <f>IF(L22=0,"",L22*L34)</f>
        <v/>
      </c>
      <c r="M48" s="276">
        <f>IF(M22=0,"",M22*M34)</f>
        <v/>
      </c>
      <c r="O48" s="265" t="n"/>
    </row>
    <row r="49" hidden="1" outlineLevel="1">
      <c r="B49" s="39" t="inlineStr">
        <is>
          <t>Commission delta (standard - agreed)</t>
        </is>
      </c>
      <c r="D49" s="277">
        <f>IF(D22=0,"",D47-D48)</f>
        <v/>
      </c>
      <c r="E49" s="277">
        <f>IF(E22=0,"",E47-E48)</f>
        <v/>
      </c>
      <c r="F49" s="277">
        <f>IF(F22=0,"",F47-F48)</f>
        <v/>
      </c>
      <c r="G49" s="277">
        <f>IF(G22=0,"",G47-G48)</f>
        <v/>
      </c>
      <c r="H49" s="277">
        <f>IF(H22=0,"",H47-H48)</f>
        <v/>
      </c>
      <c r="I49" s="277">
        <f>IF(I22=0,"",I47-I48)</f>
        <v/>
      </c>
      <c r="J49" s="277">
        <f>IF(J22=0,"",J47-J48)</f>
        <v/>
      </c>
      <c r="K49" s="277">
        <f>IF(K22=0,"",K47-K48)</f>
        <v/>
      </c>
      <c r="L49" s="277">
        <f>IF(L22=0,"",L47-L48)</f>
        <v/>
      </c>
      <c r="M49" s="277">
        <f>IF(M22=0,"",M47-M48)</f>
        <v/>
      </c>
      <c r="O49" s="265" t="n"/>
      <c r="P49" s="260" t="n"/>
    </row>
    <row r="50" collapsed="1">
      <c r="D50" s="278" t="n"/>
    </row>
    <row r="51">
      <c r="D51" s="278" t="n"/>
    </row>
    <row r="52" hidden="1" outlineLevel="1">
      <c r="B52" s="21" t="inlineStr">
        <is>
          <t>amort tx std</t>
        </is>
      </c>
      <c r="R52" s="1" t="n">
        <v>607.7036000000001</v>
      </c>
    </row>
    <row r="53" hidden="1" outlineLevel="1">
      <c r="B53" s="2" t="n">
        <v>0</v>
      </c>
      <c r="D53" s="279">
        <f>IF(B53&lt;$D$24,(+'CALCULETTE (2)'!T632/'CALCULETTE (2)'!$B$612),0)</f>
        <v/>
      </c>
      <c r="E53" s="279">
        <f>IF(E$1=0,"",1)</f>
        <v/>
      </c>
      <c r="F53" s="279">
        <f>IF(F$1=0,"",1)</f>
        <v/>
      </c>
      <c r="G53" s="279">
        <f>IF(G$1=0,"",1)</f>
        <v/>
      </c>
      <c r="H53" s="279">
        <f>IF(H$1=0,"",1)</f>
        <v/>
      </c>
      <c r="I53" s="279">
        <f>IF(I$1=0,"",1)</f>
        <v/>
      </c>
      <c r="J53" s="279">
        <f>IF(J$1=0,"",1)</f>
        <v/>
      </c>
      <c r="K53" s="279">
        <f>IF(K$1=0,"",1)</f>
        <v/>
      </c>
      <c r="L53" s="279">
        <f>IF(L$1=0,"",1)</f>
        <v/>
      </c>
      <c r="M53" s="279">
        <f>IF(M$1=0,"",1)</f>
        <v/>
      </c>
      <c r="N53" s="280" t="n"/>
      <c r="O53" s="281" t="n"/>
      <c r="R53" s="1" t="n">
        <v>789.7107</v>
      </c>
    </row>
    <row r="54" hidden="1" outlineLevel="1">
      <c r="B54" s="2">
        <f>B53+1</f>
        <v/>
      </c>
      <c r="D54" s="279">
        <f>IF(B54&lt;$D$24,(+'CALCULETTE (2)'!T633/'CALCULETTE (2)'!$B$612),0)</f>
        <v/>
      </c>
      <c r="E54" s="279">
        <f>IF(E$1=0,"",IF($B54&lt;E$23,E53+PPMT(E$25/12,$B54,E$23,E$53,-E$27,0),IF($B54=E$23,E53+PPMT(E$25/12,$B54,E$23,E$53,-E$27,0)-E$27,0)))</f>
        <v/>
      </c>
      <c r="F54" s="279">
        <f>IF(F$1=0,"",IF($B54&lt;F$23,F53+PPMT(F$25/12,$B54,F$23,F$53,-F$27,0),IF($B54=F$23,F53+PPMT(F$25/12,$B54,F$23,F$53,-F$27,0)-F$27,0)))</f>
        <v/>
      </c>
      <c r="G54" s="279">
        <f>IF(G$1=0,"",IF($B54&lt;G$23,G53+PPMT(G$25/12,$B54,G$23,G$53,-G$27,0),IF($B54=G$23,G53+PPMT(G$25/12,$B54,G$23,G$53,-G$27,0)-G$27,0)))</f>
        <v/>
      </c>
      <c r="H54" s="279">
        <f>IF(H$1=0,"",IF($B54&lt;H$23,H53+PPMT(H$25/12,$B54,H$23,H$53,-H$27,0),IF($B54=H$23,H53+PPMT(H$25/12,$B54,H$23,H$53,-H$27,0)-H$27,0)))</f>
        <v/>
      </c>
      <c r="I54" s="279">
        <f>IF(I$1=0,"",IF($B54&lt;I$23,I53+PPMT(I$25/12,$B54,I$23,I$53,-I$27,0),IF($B54=I$23,I53+PPMT(I$25/12,$B54,I$23,I$53,-I$27,0)-I$27,0)))</f>
        <v/>
      </c>
      <c r="J54" s="279">
        <f>IF(J$1=0,"",IF($B54&lt;J$23,J53+PPMT(J$25/12,$B54,J$23,J$53,-J$27,0),IF($B54=J$23,J53+PPMT(J$25/12,$B54,J$23,J$53,-J$27,0)-J$27,0)))</f>
        <v/>
      </c>
      <c r="K54" s="279">
        <f>IF(K$1=0,"",IF($B54&lt;K$23,K53+PPMT(K$25/12,$B54,K$23,K$53,-K$27,0),IF($B54=K$23,K53+PPMT(K$25/12,$B54,K$23,K$53,-K$27,0)-K$27,0)))</f>
        <v/>
      </c>
      <c r="L54" s="279">
        <f>IF(L$1=0,"",IF($B54&lt;L$23,L53+PPMT(L$25/12,$B54,L$23,L$53,-L$27,0),IF($B54=L$23,L53+PPMT(L$25/12,$B54,L$23,L$53,-L$27,0)-L$27,0)))</f>
        <v/>
      </c>
      <c r="M54" s="279">
        <f>IF(M$1=0,"",IF($B54&lt;M$23,M53+PPMT(M$25/12,$B54,M$23,M$53,-M$27,0),IF($B54=M$23,M53+PPMT(M$25/12,$B54,M$23,M$53,-M$27,0)-M$27,0)))</f>
        <v/>
      </c>
      <c r="N54" s="280" t="n"/>
      <c r="O54" s="281" t="n"/>
      <c r="R54" s="1" t="n">
        <v>670.6819</v>
      </c>
    </row>
    <row r="55" hidden="1" outlineLevel="1">
      <c r="B55" s="2">
        <f>B54+1</f>
        <v/>
      </c>
      <c r="D55" s="279">
        <f>IF(B55&lt;$D$24,(+'CALCULETTE (2)'!T634/'CALCULETTE (2)'!$B$612),0)</f>
        <v/>
      </c>
      <c r="E55" s="279">
        <f>IF(E$1=0,"",IF($B55&lt;E$23,E54+PPMT(E$25/12,$B55,E$23,E$53,-E$27,0),IF($B55=E$23,E54+PPMT(E$25/12,$B55,E$23,E$53,-E$27,0)-E$27,0)))</f>
        <v/>
      </c>
      <c r="F55" s="279">
        <f>IF(F$1=0,"",IF($B55&lt;F$23,F54+PPMT(F$25/12,$B55,F$23,F$53,-F$27,0),IF($B55=F$23,F54+PPMT(F$25/12,$B55,F$23,F$53,-F$27,0)-F$27,0)))</f>
        <v/>
      </c>
      <c r="G55" s="279">
        <f>IF(G$1=0,"",IF($B55&lt;G$23,G54+PPMT(G$25/12,$B55,G$23,G$53,-G$27,0),IF($B55=G$23,G54+PPMT(G$25/12,$B55,G$23,G$53,-G$27,0)-G$27,0)))</f>
        <v/>
      </c>
      <c r="H55" s="279">
        <f>IF(H$1=0,"",IF($B55&lt;H$23,H54+PPMT(H$25/12,$B55,H$23,H$53,-H$27,0),IF($B55=H$23,H54+PPMT(H$25/12,$B55,H$23,H$53,-H$27,0)-H$27,0)))</f>
        <v/>
      </c>
      <c r="I55" s="279">
        <f>IF(I$1=0,"",IF($B55&lt;I$23,I54+PPMT(I$25/12,$B55,I$23,I$53,-I$27,0),IF($B55=I$23,I54+PPMT(I$25/12,$B55,I$23,I$53,-I$27,0)-I$27,0)))</f>
        <v/>
      </c>
      <c r="J55" s="279">
        <f>IF(J$1=0,"",IF($B55&lt;J$23,J54+PPMT(J$25/12,$B55,J$23,J$53,-J$27,0),IF($B55=J$23,J54+PPMT(J$25/12,$B55,J$23,J$53,-J$27,0)-J$27,0)))</f>
        <v/>
      </c>
      <c r="K55" s="279">
        <f>IF(K$1=0,"",IF($B55&lt;K$23,K54+PPMT(K$25/12,$B55,K$23,K$53,-K$27,0),IF($B55=K$23,K54+PPMT(K$25/12,$B55,K$23,K$53,-K$27,0)-K$27,0)))</f>
        <v/>
      </c>
      <c r="L55" s="279">
        <f>IF(L$1=0,"",IF($B55&lt;L$23,L54+PPMT(L$25/12,$B55,L$23,L$53,-L$27,0),IF($B55=L$23,L54+PPMT(L$25/12,$B55,L$23,L$53,-L$27,0)-L$27,0)))</f>
        <v/>
      </c>
      <c r="M55" s="279">
        <f>IF(M$1=0,"",IF($B55&lt;M$23,M54+PPMT(M$25/12,$B55,M$23,M$53,-M$27,0),IF($B55=M$23,M54+PPMT(M$25/12,$B55,M$23,M$53,-M$27,0)-M$27,0)))</f>
        <v/>
      </c>
      <c r="N55" s="280" t="n"/>
      <c r="O55" s="281" t="n"/>
      <c r="R55" s="1" t="n">
        <v>720.0637</v>
      </c>
    </row>
    <row r="56" hidden="1" outlineLevel="1">
      <c r="B56" s="2">
        <f>B55+1</f>
        <v/>
      </c>
      <c r="D56" s="279">
        <f>IF(B56&lt;$D$24,(+'CALCULETTE (2)'!T635/'CALCULETTE (2)'!$B$612),0)</f>
        <v/>
      </c>
      <c r="E56" s="279">
        <f>IF(E$1=0,"",IF($B56&lt;E$23,E55+PPMT(E$25/12,$B56,E$23,E$53,-E$27,0),IF($B56=E$23,E55+PPMT(E$25/12,$B56,E$23,E$53,-E$27,0)-E$27,0)))</f>
        <v/>
      </c>
      <c r="F56" s="279">
        <f>IF(F$1=0,"",IF($B56&lt;F$23,F55+PPMT(F$25/12,$B56,F$23,F$53,-F$27,0),IF($B56=F$23,F55+PPMT(F$25/12,$B56,F$23,F$53,-F$27,0)-F$27,0)))</f>
        <v/>
      </c>
      <c r="G56" s="279">
        <f>IF(G$1=0,"",IF($B56&lt;G$23,G55+PPMT(G$25/12,$B56,G$23,G$53,-G$27,0),IF($B56=G$23,G55+PPMT(G$25/12,$B56,G$23,G$53,-G$27,0)-G$27,0)))</f>
        <v/>
      </c>
      <c r="H56" s="279">
        <f>IF(H$1=0,"",IF($B56&lt;H$23,H55+PPMT(H$25/12,$B56,H$23,H$53,-H$27,0),IF($B56=H$23,H55+PPMT(H$25/12,$B56,H$23,H$53,-H$27,0)-H$27,0)))</f>
        <v/>
      </c>
      <c r="I56" s="279">
        <f>IF(I$1=0,"",IF($B56&lt;I$23,I55+PPMT(I$25/12,$B56,I$23,I$53,-I$27,0),IF($B56=I$23,I55+PPMT(I$25/12,$B56,I$23,I$53,-I$27,0)-I$27,0)))</f>
        <v/>
      </c>
      <c r="J56" s="279">
        <f>IF(J$1=0,"",IF($B56&lt;J$23,J55+PPMT(J$25/12,$B56,J$23,J$53,-J$27,0),IF($B56=J$23,J55+PPMT(J$25/12,$B56,J$23,J$53,-J$27,0)-J$27,0)))</f>
        <v/>
      </c>
      <c r="K56" s="279">
        <f>IF(K$1=0,"",IF($B56&lt;K$23,K55+PPMT(K$25/12,$B56,K$23,K$53,-K$27,0),IF($B56=K$23,K55+PPMT(K$25/12,$B56,K$23,K$53,-K$27,0)-K$27,0)))</f>
        <v/>
      </c>
      <c r="L56" s="279">
        <f>IF(L$1=0,"",IF($B56&lt;L$23,L55+PPMT(L$25/12,$B56,L$23,L$53,-L$27,0),IF($B56=L$23,L55+PPMT(L$25/12,$B56,L$23,L$53,-L$27,0)-L$27,0)))</f>
        <v/>
      </c>
      <c r="M56" s="279">
        <f>IF(M$1=0,"",IF($B56&lt;M$23,M55+PPMT(M$25/12,$B56,M$23,M$53,-M$27,0),IF($B56=M$23,M55+PPMT(M$25/12,$B56,M$23,M$53,-M$27,0)-M$27,0)))</f>
        <v/>
      </c>
      <c r="N56" s="280" t="n"/>
      <c r="O56" s="281" t="n"/>
      <c r="R56" s="1" t="n">
        <v>326.0798</v>
      </c>
    </row>
    <row r="57" hidden="1" outlineLevel="1">
      <c r="B57" s="2">
        <f>B56+1</f>
        <v/>
      </c>
      <c r="D57" s="279">
        <f>IF(B57&lt;$D$24,(+'CALCULETTE (2)'!T636/'CALCULETTE (2)'!$B$612),0)</f>
        <v/>
      </c>
      <c r="E57" s="279">
        <f>IF(E$1=0,"",IF($B57&lt;E$23,E56+PPMT(E$25/12,$B57,E$23,E$53,-E$27,0),IF($B57=E$23,E56+PPMT(E$25/12,$B57,E$23,E$53,-E$27,0)-E$27,0)))</f>
        <v/>
      </c>
      <c r="F57" s="279">
        <f>IF(F$1=0,"",IF($B57&lt;F$23,F56+PPMT(F$25/12,$B57,F$23,F$53,-F$27,0),IF($B57=F$23,F56+PPMT(F$25/12,$B57,F$23,F$53,-F$27,0)-F$27,0)))</f>
        <v/>
      </c>
      <c r="G57" s="279">
        <f>IF(G$1=0,"",IF($B57&lt;G$23,G56+PPMT(G$25/12,$B57,G$23,G$53,-G$27,0),IF($B57=G$23,G56+PPMT(G$25/12,$B57,G$23,G$53,-G$27,0)-G$27,0)))</f>
        <v/>
      </c>
      <c r="H57" s="279">
        <f>IF(H$1=0,"",IF($B57&lt;H$23,H56+PPMT(H$25/12,$B57,H$23,H$53,-H$27,0),IF($B57=H$23,H56+PPMT(H$25/12,$B57,H$23,H$53,-H$27,0)-H$27,0)))</f>
        <v/>
      </c>
      <c r="I57" s="279">
        <f>IF(I$1=0,"",IF($B57&lt;I$23,I56+PPMT(I$25/12,$B57,I$23,I$53,-I$27,0),IF($B57=I$23,I56+PPMT(I$25/12,$B57,I$23,I$53,-I$27,0)-I$27,0)))</f>
        <v/>
      </c>
      <c r="J57" s="279">
        <f>IF(J$1=0,"",IF($B57&lt;J$23,J56+PPMT(J$25/12,$B57,J$23,J$53,-J$27,0),IF($B57=J$23,J56+PPMT(J$25/12,$B57,J$23,J$53,-J$27,0)-J$27,0)))</f>
        <v/>
      </c>
      <c r="K57" s="279">
        <f>IF(K$1=0,"",IF($B57&lt;K$23,K56+PPMT(K$25/12,$B57,K$23,K$53,-K$27,0),IF($B57=K$23,K56+PPMT(K$25/12,$B57,K$23,K$53,-K$27,0)-K$27,0)))</f>
        <v/>
      </c>
      <c r="L57" s="279">
        <f>IF(L$1=0,"",IF($B57&lt;L$23,L56+PPMT(L$25/12,$B57,L$23,L$53,-L$27,0),IF($B57=L$23,L56+PPMT(L$25/12,$B57,L$23,L$53,-L$27,0)-L$27,0)))</f>
        <v/>
      </c>
      <c r="M57" s="279">
        <f>IF(M$1=0,"",IF($B57&lt;M$23,M56+PPMT(M$25/12,$B57,M$23,M$53,-M$27,0),IF($B57=M$23,M56+PPMT(M$25/12,$B57,M$23,M$53,-M$27,0)-M$27,0)))</f>
        <v/>
      </c>
      <c r="N57" s="280" t="n"/>
      <c r="O57" s="281" t="n"/>
      <c r="R57" s="1" t="n">
        <v>731.3092</v>
      </c>
    </row>
    <row r="58" hidden="1" outlineLevel="1">
      <c r="B58" s="2">
        <f>B57+1</f>
        <v/>
      </c>
      <c r="D58" s="279">
        <f>IF(B58&lt;$D$24,(+'CALCULETTE (2)'!T637/'CALCULETTE (2)'!$B$612),0)</f>
        <v/>
      </c>
      <c r="E58" s="279">
        <f>IF(E$1=0,"",IF($B58&lt;E$23,E57+PPMT(E$25/12,$B58,E$23,E$53,-E$27,0),IF($B58=E$23,E57+PPMT(E$25/12,$B58,E$23,E$53,-E$27,0)-E$27,0)))</f>
        <v/>
      </c>
      <c r="F58" s="279">
        <f>IF(F$1=0,"",IF($B58&lt;F$23,F57+PPMT(F$25/12,$B58,F$23,F$53,-F$27,0),IF($B58=F$23,F57+PPMT(F$25/12,$B58,F$23,F$53,-F$27,0)-F$27,0)))</f>
        <v/>
      </c>
      <c r="G58" s="279">
        <f>IF(G$1=0,"",IF($B58&lt;G$23,G57+PPMT(G$25/12,$B58,G$23,G$53,-G$27,0),IF($B58=G$23,G57+PPMT(G$25/12,$B58,G$23,G$53,-G$27,0)-G$27,0)))</f>
        <v/>
      </c>
      <c r="H58" s="279">
        <f>IF(H$1=0,"",IF($B58&lt;H$23,H57+PPMT(H$25/12,$B58,H$23,H$53,-H$27,0),IF($B58=H$23,H57+PPMT(H$25/12,$B58,H$23,H$53,-H$27,0)-H$27,0)))</f>
        <v/>
      </c>
      <c r="I58" s="279">
        <f>IF(I$1=0,"",IF($B58&lt;I$23,I57+PPMT(I$25/12,$B58,I$23,I$53,-I$27,0),IF($B58=I$23,I57+PPMT(I$25/12,$B58,I$23,I$53,-I$27,0)-I$27,0)))</f>
        <v/>
      </c>
      <c r="J58" s="279">
        <f>IF(J$1=0,"",IF($B58&lt;J$23,J57+PPMT(J$25/12,$B58,J$23,J$53,-J$27,0),IF($B58=J$23,J57+PPMT(J$25/12,$B58,J$23,J$53,-J$27,0)-J$27,0)))</f>
        <v/>
      </c>
      <c r="K58" s="279">
        <f>IF(K$1=0,"",IF($B58&lt;K$23,K57+PPMT(K$25/12,$B58,K$23,K$53,-K$27,0),IF($B58=K$23,K57+PPMT(K$25/12,$B58,K$23,K$53,-K$27,0)-K$27,0)))</f>
        <v/>
      </c>
      <c r="L58" s="279">
        <f>IF(L$1=0,"",IF($B58&lt;L$23,L57+PPMT(L$25/12,$B58,L$23,L$53,-L$27,0),IF($B58=L$23,L57+PPMT(L$25/12,$B58,L$23,L$53,-L$27,0)-L$27,0)))</f>
        <v/>
      </c>
      <c r="M58" s="279">
        <f>IF(M$1=0,"",IF($B58&lt;M$23,M57+PPMT(M$25/12,$B58,M$23,M$53,-M$27,0),IF($B58=M$23,M57+PPMT(M$25/12,$B58,M$23,M$53,-M$27,0)-M$27,0)))</f>
        <v/>
      </c>
      <c r="N58" s="280" t="n"/>
      <c r="O58" s="281" t="n"/>
      <c r="R58" s="1" t="n">
        <v>414.4938</v>
      </c>
    </row>
    <row r="59" hidden="1" outlineLevel="1">
      <c r="B59" s="2">
        <f>B58+1</f>
        <v/>
      </c>
      <c r="D59" s="279">
        <f>IF(B59&lt;$D$24,(+'CALCULETTE (2)'!T638/'CALCULETTE (2)'!$B$612),0)</f>
        <v/>
      </c>
      <c r="E59" s="279">
        <f>IF(E$1=0,"",IF($B59&lt;E$23,E58+PPMT(E$25/12,$B59,E$23,E$53,-E$27,0),IF($B59=E$23,E58+PPMT(E$25/12,$B59,E$23,E$53,-E$27,0)-E$27,0)))</f>
        <v/>
      </c>
      <c r="F59" s="279">
        <f>IF(F$1=0,"",IF($B59&lt;F$23,F58+PPMT(F$25/12,$B59,F$23,F$53,-F$27,0),IF($B59=F$23,F58+PPMT(F$25/12,$B59,F$23,F$53,-F$27,0)-F$27,0)))</f>
        <v/>
      </c>
      <c r="G59" s="279">
        <f>IF(G$1=0,"",IF($B59&lt;G$23,G58+PPMT(G$25/12,$B59,G$23,G$53,-G$27,0),IF($B59=G$23,G58+PPMT(G$25/12,$B59,G$23,G$53,-G$27,0)-G$27,0)))</f>
        <v/>
      </c>
      <c r="H59" s="279">
        <f>IF(H$1=0,"",IF($B59&lt;H$23,H58+PPMT(H$25/12,$B59,H$23,H$53,-H$27,0),IF($B59=H$23,H58+PPMT(H$25/12,$B59,H$23,H$53,-H$27,0)-H$27,0)))</f>
        <v/>
      </c>
      <c r="I59" s="279">
        <f>IF(I$1=0,"",IF($B59&lt;I$23,I58+PPMT(I$25/12,$B59,I$23,I$53,-I$27,0),IF($B59=I$23,I58+PPMT(I$25/12,$B59,I$23,I$53,-I$27,0)-I$27,0)))</f>
        <v/>
      </c>
      <c r="J59" s="279">
        <f>IF(J$1=0,"",IF($B59&lt;J$23,J58+PPMT(J$25/12,$B59,J$23,J$53,-J$27,0),IF($B59=J$23,J58+PPMT(J$25/12,$B59,J$23,J$53,-J$27,0)-J$27,0)))</f>
        <v/>
      </c>
      <c r="K59" s="279">
        <f>IF(K$1=0,"",IF($B59&lt;K$23,K58+PPMT(K$25/12,$B59,K$23,K$53,-K$27,0),IF($B59=K$23,K58+PPMT(K$25/12,$B59,K$23,K$53,-K$27,0)-K$27,0)))</f>
        <v/>
      </c>
      <c r="L59" s="279">
        <f>IF(L$1=0,"",IF($B59&lt;L$23,L58+PPMT(L$25/12,$B59,L$23,L$53,-L$27,0),IF($B59=L$23,L58+PPMT(L$25/12,$B59,L$23,L$53,-L$27,0)-L$27,0)))</f>
        <v/>
      </c>
      <c r="M59" s="279">
        <f>IF(M$1=0,"",IF($B59&lt;M$23,M58+PPMT(M$25/12,$B59,M$23,M$53,-M$27,0),IF($B59=M$23,M58+PPMT(M$25/12,$B59,M$23,M$53,-M$27,0)-M$27,0)))</f>
        <v/>
      </c>
      <c r="N59" s="280" t="n"/>
      <c r="O59" s="281" t="n"/>
      <c r="R59" s="1" t="n">
        <v>570.5993</v>
      </c>
    </row>
    <row r="60" hidden="1" outlineLevel="1">
      <c r="B60" s="2">
        <f>B59+1</f>
        <v/>
      </c>
      <c r="D60" s="279">
        <f>IF(B60&lt;$D$24,(+'CALCULETTE (2)'!T639/'CALCULETTE (2)'!$B$612),0)</f>
        <v/>
      </c>
      <c r="E60" s="279">
        <f>IF(E$1=0,"",IF($B60&lt;E$23,E59+PPMT(E$25/12,$B60,E$23,E$53,-E$27,0),IF($B60=E$23,E59+PPMT(E$25/12,$B60,E$23,E$53,-E$27,0)-E$27,0)))</f>
        <v/>
      </c>
      <c r="F60" s="279">
        <f>IF(F$1=0,"",IF($B60&lt;F$23,F59+PPMT(F$25/12,$B60,F$23,F$53,-F$27,0),IF($B60=F$23,F59+PPMT(F$25/12,$B60,F$23,F$53,-F$27,0)-F$27,0)))</f>
        <v/>
      </c>
      <c r="G60" s="279">
        <f>IF(G$1=0,"",IF($B60&lt;G$23,G59+PPMT(G$25/12,$B60,G$23,G$53,-G$27,0),IF($B60=G$23,G59+PPMT(G$25/12,$B60,G$23,G$53,-G$27,0)-G$27,0)))</f>
        <v/>
      </c>
      <c r="H60" s="279">
        <f>IF(H$1=0,"",IF($B60&lt;H$23,H59+PPMT(H$25/12,$B60,H$23,H$53,-H$27,0),IF($B60=H$23,H59+PPMT(H$25/12,$B60,H$23,H$53,-H$27,0)-H$27,0)))</f>
        <v/>
      </c>
      <c r="I60" s="279">
        <f>IF(I$1=0,"",IF($B60&lt;I$23,I59+PPMT(I$25/12,$B60,I$23,I$53,-I$27,0),IF($B60=I$23,I59+PPMT(I$25/12,$B60,I$23,I$53,-I$27,0)-I$27,0)))</f>
        <v/>
      </c>
      <c r="J60" s="279">
        <f>IF(J$1=0,"",IF($B60&lt;J$23,J59+PPMT(J$25/12,$B60,J$23,J$53,-J$27,0),IF($B60=J$23,J59+PPMT(J$25/12,$B60,J$23,J$53,-J$27,0)-J$27,0)))</f>
        <v/>
      </c>
      <c r="K60" s="279">
        <f>IF(K$1=0,"",IF($B60&lt;K$23,K59+PPMT(K$25/12,$B60,K$23,K$53,-K$27,0),IF($B60=K$23,K59+PPMT(K$25/12,$B60,K$23,K$53,-K$27,0)-K$27,0)))</f>
        <v/>
      </c>
      <c r="L60" s="279">
        <f>IF(L$1=0,"",IF($B60&lt;L$23,L59+PPMT(L$25/12,$B60,L$23,L$53,-L$27,0),IF($B60=L$23,L59+PPMT(L$25/12,$B60,L$23,L$53,-L$27,0)-L$27,0)))</f>
        <v/>
      </c>
      <c r="M60" s="279">
        <f>IF(M$1=0,"",IF($B60&lt;M$23,M59+PPMT(M$25/12,$B60,M$23,M$53,-M$27,0),IF($B60=M$23,M59+PPMT(M$25/12,$B60,M$23,M$53,-M$27,0)-M$27,0)))</f>
        <v/>
      </c>
      <c r="N60" s="280" t="n"/>
      <c r="O60" s="281" t="n"/>
      <c r="R60" s="1" t="n">
        <v>701.2910000000001</v>
      </c>
    </row>
    <row r="61" hidden="1" outlineLevel="1">
      <c r="B61" s="2">
        <f>B60+1</f>
        <v/>
      </c>
      <c r="D61" s="279">
        <f>IF(B61&lt;$D$24,(+'CALCULETTE (2)'!T640/'CALCULETTE (2)'!$B$612),0)</f>
        <v/>
      </c>
      <c r="E61" s="279">
        <f>IF(E$1=0,"",IF($B61&lt;E$23,E60+PPMT(E$25/12,$B61,E$23,E$53,-E$27,0),IF($B61=E$23,E60+PPMT(E$25/12,$B61,E$23,E$53,-E$27,0)-E$27,0)))</f>
        <v/>
      </c>
      <c r="F61" s="279">
        <f>IF(F$1=0,"",IF($B61&lt;F$23,F60+PPMT(F$25/12,$B61,F$23,F$53,-F$27,0),IF($B61=F$23,F60+PPMT(F$25/12,$B61,F$23,F$53,-F$27,0)-F$27,0)))</f>
        <v/>
      </c>
      <c r="G61" s="279">
        <f>IF(G$1=0,"",IF($B61&lt;G$23,G60+PPMT(G$25/12,$B61,G$23,G$53,-G$27,0),IF($B61=G$23,G60+PPMT(G$25/12,$B61,G$23,G$53,-G$27,0)-G$27,0)))</f>
        <v/>
      </c>
      <c r="H61" s="279">
        <f>IF(H$1=0,"",IF($B61&lt;H$23,H60+PPMT(H$25/12,$B61,H$23,H$53,-H$27,0),IF($B61=H$23,H60+PPMT(H$25/12,$B61,H$23,H$53,-H$27,0)-H$27,0)))</f>
        <v/>
      </c>
      <c r="I61" s="279">
        <f>IF(I$1=0,"",IF($B61&lt;I$23,I60+PPMT(I$25/12,$B61,I$23,I$53,-I$27,0),IF($B61=I$23,I60+PPMT(I$25/12,$B61,I$23,I$53,-I$27,0)-I$27,0)))</f>
        <v/>
      </c>
      <c r="J61" s="279">
        <f>IF(J$1=0,"",IF($B61&lt;J$23,J60+PPMT(J$25/12,$B61,J$23,J$53,-J$27,0),IF($B61=J$23,J60+PPMT(J$25/12,$B61,J$23,J$53,-J$27,0)-J$27,0)))</f>
        <v/>
      </c>
      <c r="K61" s="279">
        <f>IF(K$1=0,"",IF($B61&lt;K$23,K60+PPMT(K$25/12,$B61,K$23,K$53,-K$27,0),IF($B61=K$23,K60+PPMT(K$25/12,$B61,K$23,K$53,-K$27,0)-K$27,0)))</f>
        <v/>
      </c>
      <c r="L61" s="279">
        <f>IF(L$1=0,"",IF($B61&lt;L$23,L60+PPMT(L$25/12,$B61,L$23,L$53,-L$27,0),IF($B61=L$23,L60+PPMT(L$25/12,$B61,L$23,L$53,-L$27,0)-L$27,0)))</f>
        <v/>
      </c>
      <c r="M61" s="279">
        <f>IF(M$1=0,"",IF($B61&lt;M$23,M60+PPMT(M$25/12,$B61,M$23,M$53,-M$27,0),IF($B61=M$23,M60+PPMT(M$25/12,$B61,M$23,M$53,-M$27,0)-M$27,0)))</f>
        <v/>
      </c>
      <c r="N61" s="280" t="n"/>
      <c r="O61" s="281" t="n"/>
      <c r="R61" s="1" t="n">
        <v>411.4772</v>
      </c>
    </row>
    <row r="62" hidden="1" outlineLevel="1">
      <c r="B62" s="2">
        <f>B61+1</f>
        <v/>
      </c>
      <c r="D62" s="279">
        <f>IF(B62&lt;$D$24,(+'CALCULETTE (2)'!T641/'CALCULETTE (2)'!$B$612),0)</f>
        <v/>
      </c>
      <c r="E62" s="279">
        <f>IF(E$1=0,"",IF($B62&lt;E$23,E61+PPMT(E$25/12,$B62,E$23,E$53,-E$27,0),IF($B62=E$23,E61+PPMT(E$25/12,$B62,E$23,E$53,-E$27,0)-E$27,0)))</f>
        <v/>
      </c>
      <c r="F62" s="279">
        <f>IF(F$1=0,"",IF($B62&lt;F$23,F61+PPMT(F$25/12,$B62,F$23,F$53,-F$27,0),IF($B62=F$23,F61+PPMT(F$25/12,$B62,F$23,F$53,-F$27,0)-F$27,0)))</f>
        <v/>
      </c>
      <c r="G62" s="279">
        <f>IF(G$1=0,"",IF($B62&lt;G$23,G61+PPMT(G$25/12,$B62,G$23,G$53,-G$27,0),IF($B62=G$23,G61+PPMT(G$25/12,$B62,G$23,G$53,-G$27,0)-G$27,0)))</f>
        <v/>
      </c>
      <c r="H62" s="279">
        <f>IF(H$1=0,"",IF($B62&lt;H$23,H61+PPMT(H$25/12,$B62,H$23,H$53,-H$27,0),IF($B62=H$23,H61+PPMT(H$25/12,$B62,H$23,H$53,-H$27,0)-H$27,0)))</f>
        <v/>
      </c>
      <c r="I62" s="279">
        <f>IF(I$1=0,"",IF($B62&lt;I$23,I61+PPMT(I$25/12,$B62,I$23,I$53,-I$27,0),IF($B62=I$23,I61+PPMT(I$25/12,$B62,I$23,I$53,-I$27,0)-I$27,0)))</f>
        <v/>
      </c>
      <c r="J62" s="279">
        <f>IF(J$1=0,"",IF($B62&lt;J$23,J61+PPMT(J$25/12,$B62,J$23,J$53,-J$27,0),IF($B62=J$23,J61+PPMT(J$25/12,$B62,J$23,J$53,-J$27,0)-J$27,0)))</f>
        <v/>
      </c>
      <c r="K62" s="279">
        <f>IF(K$1=0,"",IF($B62&lt;K$23,K61+PPMT(K$25/12,$B62,K$23,K$53,-K$27,0),IF($B62=K$23,K61+PPMT(K$25/12,$B62,K$23,K$53,-K$27,0)-K$27,0)))</f>
        <v/>
      </c>
      <c r="L62" s="279">
        <f>IF(L$1=0,"",IF($B62&lt;L$23,L61+PPMT(L$25/12,$B62,L$23,L$53,-L$27,0),IF($B62=L$23,L61+PPMT(L$25/12,$B62,L$23,L$53,-L$27,0)-L$27,0)))</f>
        <v/>
      </c>
      <c r="M62" s="279">
        <f>IF(M$1=0,"",IF($B62&lt;M$23,M61+PPMT(M$25/12,$B62,M$23,M$53,-M$27,0),IF($B62=M$23,M61+PPMT(M$25/12,$B62,M$23,M$53,-M$27,0)-M$27,0)))</f>
        <v/>
      </c>
      <c r="N62" s="280" t="n"/>
      <c r="O62" s="281" t="n"/>
      <c r="R62" s="1" t="n">
        <v>629.6702</v>
      </c>
    </row>
    <row r="63" hidden="1" outlineLevel="1">
      <c r="B63" s="2">
        <f>B62+1</f>
        <v/>
      </c>
      <c r="D63" s="279">
        <f>IF(B63&lt;$D$24,(+'CALCULETTE (2)'!T642/'CALCULETTE (2)'!$B$612),0)</f>
        <v/>
      </c>
      <c r="E63" s="279">
        <f>IF(E$1=0,"",IF($B63&lt;E$23,E62+PPMT(E$25/12,$B63,E$23,E$53,-E$27,0),IF($B63=E$23,E62+PPMT(E$25/12,$B63,E$23,E$53,-E$27,0)-E$27,0)))</f>
        <v/>
      </c>
      <c r="F63" s="279">
        <f>IF(F$1=0,"",IF($B63&lt;F$23,F62+PPMT(F$25/12,$B63,F$23,F$53,-F$27,0),IF($B63=F$23,F62+PPMT(F$25/12,$B63,F$23,F$53,-F$27,0)-F$27,0)))</f>
        <v/>
      </c>
      <c r="G63" s="279">
        <f>IF(G$1=0,"",IF($B63&lt;G$23,G62+PPMT(G$25/12,$B63,G$23,G$53,-G$27,0),IF($B63=G$23,G62+PPMT(G$25/12,$B63,G$23,G$53,-G$27,0)-G$27,0)))</f>
        <v/>
      </c>
      <c r="H63" s="279">
        <f>IF(H$1=0,"",IF($B63&lt;H$23,H62+PPMT(H$25/12,$B63,H$23,H$53,-H$27,0),IF($B63=H$23,H62+PPMT(H$25/12,$B63,H$23,H$53,-H$27,0)-H$27,0)))</f>
        <v/>
      </c>
      <c r="I63" s="279">
        <f>IF(I$1=0,"",IF($B63&lt;I$23,I62+PPMT(I$25/12,$B63,I$23,I$53,-I$27,0),IF($B63=I$23,I62+PPMT(I$25/12,$B63,I$23,I$53,-I$27,0)-I$27,0)))</f>
        <v/>
      </c>
      <c r="J63" s="279">
        <f>IF(J$1=0,"",IF($B63&lt;J$23,J62+PPMT(J$25/12,$B63,J$23,J$53,-J$27,0),IF($B63=J$23,J62+PPMT(J$25/12,$B63,J$23,J$53,-J$27,0)-J$27,0)))</f>
        <v/>
      </c>
      <c r="K63" s="279">
        <f>IF(K$1=0,"",IF($B63&lt;K$23,K62+PPMT(K$25/12,$B63,K$23,K$53,-K$27,0),IF($B63=K$23,K62+PPMT(K$25/12,$B63,K$23,K$53,-K$27,0)-K$27,0)))</f>
        <v/>
      </c>
      <c r="L63" s="279">
        <f>IF(L$1=0,"",IF($B63&lt;L$23,L62+PPMT(L$25/12,$B63,L$23,L$53,-L$27,0),IF($B63=L$23,L62+PPMT(L$25/12,$B63,L$23,L$53,-L$27,0)-L$27,0)))</f>
        <v/>
      </c>
      <c r="M63" s="279">
        <f>IF(M$1=0,"",IF($B63&lt;M$23,M62+PPMT(M$25/12,$B63,M$23,M$53,-M$27,0),IF($B63=M$23,M62+PPMT(M$25/12,$B63,M$23,M$53,-M$27,0)-M$27,0)))</f>
        <v/>
      </c>
      <c r="N63" s="280" t="n"/>
      <c r="O63" s="281" t="n"/>
      <c r="R63" s="1" t="n">
        <v>745.9533</v>
      </c>
    </row>
    <row r="64" hidden="1" outlineLevel="1">
      <c r="B64" s="2">
        <f>B63+1</f>
        <v/>
      </c>
      <c r="D64" s="279">
        <f>IF(B64&lt;$D$24,(+'CALCULETTE (2)'!T643/'CALCULETTE (2)'!$B$612),0)</f>
        <v/>
      </c>
      <c r="E64" s="279">
        <f>IF(E$1=0,"",IF($B64&lt;E$23,E63+PPMT(E$25/12,$B64,E$23,E$53,-E$27,0),IF($B64=E$23,E63+PPMT(E$25/12,$B64,E$23,E$53,-E$27,0)-E$27,0)))</f>
        <v/>
      </c>
      <c r="F64" s="279">
        <f>IF(F$1=0,"",IF($B64&lt;F$23,F63+PPMT(F$25/12,$B64,F$23,F$53,-F$27,0),IF($B64=F$23,F63+PPMT(F$25/12,$B64,F$23,F$53,-F$27,0)-F$27,0)))</f>
        <v/>
      </c>
      <c r="G64" s="279">
        <f>IF(G$1=0,"",IF($B64&lt;G$23,G63+PPMT(G$25/12,$B64,G$23,G$53,-G$27,0),IF($B64=G$23,G63+PPMT(G$25/12,$B64,G$23,G$53,-G$27,0)-G$27,0)))</f>
        <v/>
      </c>
      <c r="H64" s="279">
        <f>IF(H$1=0,"",IF($B64&lt;H$23,H63+PPMT(H$25/12,$B64,H$23,H$53,-H$27,0),IF($B64=H$23,H63+PPMT(H$25/12,$B64,H$23,H$53,-H$27,0)-H$27,0)))</f>
        <v/>
      </c>
      <c r="I64" s="279">
        <f>IF(I$1=0,"",IF($B64&lt;I$23,I63+PPMT(I$25/12,$B64,I$23,I$53,-I$27,0),IF($B64=I$23,I63+PPMT(I$25/12,$B64,I$23,I$53,-I$27,0)-I$27,0)))</f>
        <v/>
      </c>
      <c r="J64" s="279">
        <f>IF(J$1=0,"",IF($B64&lt;J$23,J63+PPMT(J$25/12,$B64,J$23,J$53,-J$27,0),IF($B64=J$23,J63+PPMT(J$25/12,$B64,J$23,J$53,-J$27,0)-J$27,0)))</f>
        <v/>
      </c>
      <c r="K64" s="279">
        <f>IF(K$1=0,"",IF($B64&lt;K$23,K63+PPMT(K$25/12,$B64,K$23,K$53,-K$27,0),IF($B64=K$23,K63+PPMT(K$25/12,$B64,K$23,K$53,-K$27,0)-K$27,0)))</f>
        <v/>
      </c>
      <c r="L64" s="279">
        <f>IF(L$1=0,"",IF($B64&lt;L$23,L63+PPMT(L$25/12,$B64,L$23,L$53,-L$27,0),IF($B64=L$23,L63+PPMT(L$25/12,$B64,L$23,L$53,-L$27,0)-L$27,0)))</f>
        <v/>
      </c>
      <c r="M64" s="279">
        <f>IF(M$1=0,"",IF($B64&lt;M$23,M63+PPMT(M$25/12,$B64,M$23,M$53,-M$27,0),IF($B64=M$23,M63+PPMT(M$25/12,$B64,M$23,M$53,-M$27,0)-M$27,0)))</f>
        <v/>
      </c>
      <c r="N64" s="280" t="n"/>
      <c r="O64" s="281" t="n"/>
      <c r="R64" s="1" t="n">
        <v>584.2302</v>
      </c>
    </row>
    <row r="65" hidden="1" outlineLevel="1">
      <c r="B65" s="2">
        <f>B64+1</f>
        <v/>
      </c>
      <c r="D65" s="279">
        <f>IF(B65&lt;$D$24,(+'CALCULETTE (2)'!T644/'CALCULETTE (2)'!$B$612),0)</f>
        <v/>
      </c>
      <c r="E65" s="279">
        <f>IF(E$1=0,"",IF($B65&lt;E$23,E64+PPMT(E$25/12,$B65,E$23,E$53,-E$27,0),IF($B65=E$23,E64+PPMT(E$25/12,$B65,E$23,E$53,-E$27,0)-E$27,0)))</f>
        <v/>
      </c>
      <c r="F65" s="279">
        <f>IF(F$1=0,"",IF($B65&lt;F$23,F64+PPMT(F$25/12,$B65,F$23,F$53,-F$27,0),IF($B65=F$23,F64+PPMT(F$25/12,$B65,F$23,F$53,-F$27,0)-F$27,0)))</f>
        <v/>
      </c>
      <c r="G65" s="279">
        <f>IF(G$1=0,"",IF($B65&lt;G$23,G64+PPMT(G$25/12,$B65,G$23,G$53,-G$27,0),IF($B65=G$23,G64+PPMT(G$25/12,$B65,G$23,G$53,-G$27,0)-G$27,0)))</f>
        <v/>
      </c>
      <c r="H65" s="279">
        <f>IF(H$1=0,"",IF($B65&lt;H$23,H64+PPMT(H$25/12,$B65,H$23,H$53,-H$27,0),IF($B65=H$23,H64+PPMT(H$25/12,$B65,H$23,H$53,-H$27,0)-H$27,0)))</f>
        <v/>
      </c>
      <c r="I65" s="279">
        <f>IF(I$1=0,"",IF($B65&lt;I$23,I64+PPMT(I$25/12,$B65,I$23,I$53,-I$27,0),IF($B65=I$23,I64+PPMT(I$25/12,$B65,I$23,I$53,-I$27,0)-I$27,0)))</f>
        <v/>
      </c>
      <c r="J65" s="279">
        <f>IF(J$1=0,"",IF($B65&lt;J$23,J64+PPMT(J$25/12,$B65,J$23,J$53,-J$27,0),IF($B65=J$23,J64+PPMT(J$25/12,$B65,J$23,J$53,-J$27,0)-J$27,0)))</f>
        <v/>
      </c>
      <c r="K65" s="279">
        <f>IF(K$1=0,"",IF($B65&lt;K$23,K64+PPMT(K$25/12,$B65,K$23,K$53,-K$27,0),IF($B65=K$23,K64+PPMT(K$25/12,$B65,K$23,K$53,-K$27,0)-K$27,0)))</f>
        <v/>
      </c>
      <c r="L65" s="279">
        <f>IF(L$1=0,"",IF($B65&lt;L$23,L64+PPMT(L$25/12,$B65,L$23,L$53,-L$27,0),IF($B65=L$23,L64+PPMT(L$25/12,$B65,L$23,L$53,-L$27,0)-L$27,0)))</f>
        <v/>
      </c>
      <c r="M65" s="279">
        <f>IF(M$1=0,"",IF($B65&lt;M$23,M64+PPMT(M$25/12,$B65,M$23,M$53,-M$27,0),IF($B65=M$23,M64+PPMT(M$25/12,$B65,M$23,M$53,-M$27,0)-M$27,0)))</f>
        <v/>
      </c>
      <c r="N65" s="280" t="n"/>
      <c r="O65" s="281" t="n"/>
      <c r="R65" s="1" t="n">
        <v>607.7021</v>
      </c>
    </row>
    <row r="66" hidden="1" outlineLevel="1">
      <c r="B66" s="2">
        <f>B65+1</f>
        <v/>
      </c>
      <c r="D66" s="279">
        <f>IF(B66&lt;$D$24,(+'CALCULETTE (2)'!T645/'CALCULETTE (2)'!$B$612),0)</f>
        <v/>
      </c>
      <c r="E66" s="279">
        <f>IF(E$1=0,"",IF($B66&lt;E$23,E65+PPMT(E$25/12,$B66,E$23,E$53,-E$27,0),IF($B66=E$23,E65+PPMT(E$25/12,$B66,E$23,E$53,-E$27,0)-E$27,0)))</f>
        <v/>
      </c>
      <c r="F66" s="279">
        <f>IF(F$1=0,"",IF($B66&lt;F$23,F65+PPMT(F$25/12,$B66,F$23,F$53,-F$27,0),IF($B66=F$23,F65+PPMT(F$25/12,$B66,F$23,F$53,-F$27,0)-F$27,0)))</f>
        <v/>
      </c>
      <c r="G66" s="279">
        <f>IF(G$1=0,"",IF($B66&lt;G$23,G65+PPMT(G$25/12,$B66,G$23,G$53,-G$27,0),IF($B66=G$23,G65+PPMT(G$25/12,$B66,G$23,G$53,-G$27,0)-G$27,0)))</f>
        <v/>
      </c>
      <c r="H66" s="279">
        <f>IF(H$1=0,"",IF($B66&lt;H$23,H65+PPMT(H$25/12,$B66,H$23,H$53,-H$27,0),IF($B66=H$23,H65+PPMT(H$25/12,$B66,H$23,H$53,-H$27,0)-H$27,0)))</f>
        <v/>
      </c>
      <c r="I66" s="279">
        <f>IF(I$1=0,"",IF($B66&lt;I$23,I65+PPMT(I$25/12,$B66,I$23,I$53,-I$27,0),IF($B66=I$23,I65+PPMT(I$25/12,$B66,I$23,I$53,-I$27,0)-I$27,0)))</f>
        <v/>
      </c>
      <c r="J66" s="279">
        <f>IF(J$1=0,"",IF($B66&lt;J$23,J65+PPMT(J$25/12,$B66,J$23,J$53,-J$27,0),IF($B66=J$23,J65+PPMT(J$25/12,$B66,J$23,J$53,-J$27,0)-J$27,0)))</f>
        <v/>
      </c>
      <c r="K66" s="279">
        <f>IF(K$1=0,"",IF($B66&lt;K$23,K65+PPMT(K$25/12,$B66,K$23,K$53,-K$27,0),IF($B66=K$23,K65+PPMT(K$25/12,$B66,K$23,K$53,-K$27,0)-K$27,0)))</f>
        <v/>
      </c>
      <c r="L66" s="279">
        <f>IF(L$1=0,"",IF($B66&lt;L$23,L65+PPMT(L$25/12,$B66,L$23,L$53,-L$27,0),IF($B66=L$23,L65+PPMT(L$25/12,$B66,L$23,L$53,-L$27,0)-L$27,0)))</f>
        <v/>
      </c>
      <c r="M66" s="279">
        <f>IF(M$1=0,"",IF($B66&lt;M$23,M65+PPMT(M$25/12,$B66,M$23,M$53,-M$27,0),IF($B66=M$23,M65+PPMT(M$25/12,$B66,M$23,M$53,-M$27,0)-M$27,0)))</f>
        <v/>
      </c>
      <c r="N66" s="280" t="n"/>
      <c r="O66" s="281" t="n"/>
      <c r="R66" s="1" t="n">
        <v>323.6291</v>
      </c>
    </row>
    <row r="67" hidden="1" outlineLevel="1">
      <c r="B67" s="2">
        <f>B66+1</f>
        <v/>
      </c>
      <c r="D67" s="279">
        <f>IF(B67&lt;$D$24,(+'CALCULETTE (2)'!T646/'CALCULETTE (2)'!$B$612),0)</f>
        <v/>
      </c>
      <c r="E67" s="279">
        <f>IF(E$1=0,"",IF($B67&lt;E$23,E66+PPMT(E$25/12,$B67,E$23,E$53,-E$27,0),IF($B67=E$23,E66+PPMT(E$25/12,$B67,E$23,E$53,-E$27,0)-E$27,0)))</f>
        <v/>
      </c>
      <c r="F67" s="279">
        <f>IF(F$1=0,"",IF($B67&lt;F$23,F66+PPMT(F$25/12,$B67,F$23,F$53,-F$27,0),IF($B67=F$23,F66+PPMT(F$25/12,$B67,F$23,F$53,-F$27,0)-F$27,0)))</f>
        <v/>
      </c>
      <c r="G67" s="279">
        <f>IF(G$1=0,"",IF($B67&lt;G$23,G66+PPMT(G$25/12,$B67,G$23,G$53,-G$27,0),IF($B67=G$23,G66+PPMT(G$25/12,$B67,G$23,G$53,-G$27,0)-G$27,0)))</f>
        <v/>
      </c>
      <c r="H67" s="279">
        <f>IF(H$1=0,"",IF($B67&lt;H$23,H66+PPMT(H$25/12,$B67,H$23,H$53,-H$27,0),IF($B67=H$23,H66+PPMT(H$25/12,$B67,H$23,H$53,-H$27,0)-H$27,0)))</f>
        <v/>
      </c>
      <c r="I67" s="279">
        <f>IF(I$1=0,"",IF($B67&lt;I$23,I66+PPMT(I$25/12,$B67,I$23,I$53,-I$27,0),IF($B67=I$23,I66+PPMT(I$25/12,$B67,I$23,I$53,-I$27,0)-I$27,0)))</f>
        <v/>
      </c>
      <c r="J67" s="279">
        <f>IF(J$1=0,"",IF($B67&lt;J$23,J66+PPMT(J$25/12,$B67,J$23,J$53,-J$27,0),IF($B67=J$23,J66+PPMT(J$25/12,$B67,J$23,J$53,-J$27,0)-J$27,0)))</f>
        <v/>
      </c>
      <c r="K67" s="279">
        <f>IF(K$1=0,"",IF($B67&lt;K$23,K66+PPMT(K$25/12,$B67,K$23,K$53,-K$27,0),IF($B67=K$23,K66+PPMT(K$25/12,$B67,K$23,K$53,-K$27,0)-K$27,0)))</f>
        <v/>
      </c>
      <c r="L67" s="279">
        <f>IF(L$1=0,"",IF($B67&lt;L$23,L66+PPMT(L$25/12,$B67,L$23,L$53,-L$27,0),IF($B67=L$23,L66+PPMT(L$25/12,$B67,L$23,L$53,-L$27,0)-L$27,0)))</f>
        <v/>
      </c>
      <c r="M67" s="279">
        <f>IF(M$1=0,"",IF($B67&lt;M$23,M66+PPMT(M$25/12,$B67,M$23,M$53,-M$27,0),IF($B67=M$23,M66+PPMT(M$25/12,$B67,M$23,M$53,-M$27,0)-M$27,0)))</f>
        <v/>
      </c>
      <c r="N67" s="280" t="n"/>
      <c r="O67" s="281" t="n"/>
      <c r="R67" s="1" t="n">
        <v>309.8704</v>
      </c>
    </row>
    <row r="68" hidden="1" outlineLevel="1">
      <c r="B68" s="2">
        <f>B67+1</f>
        <v/>
      </c>
      <c r="D68" s="279">
        <f>IF(B68&lt;$D$24,(+'CALCULETTE (2)'!T647/'CALCULETTE (2)'!$B$612),0)</f>
        <v/>
      </c>
      <c r="E68" s="279">
        <f>IF(E$1=0,"",IF($B68&lt;E$23,E67+PPMT(E$25/12,$B68,E$23,E$53,-E$27,0),IF($B68=E$23,E67+PPMT(E$25/12,$B68,E$23,E$53,-E$27,0)-E$27,0)))</f>
        <v/>
      </c>
      <c r="F68" s="279">
        <f>IF(F$1=0,"",IF($B68&lt;F$23,F67+PPMT(F$25/12,$B68,F$23,F$53,-F$27,0),IF($B68=F$23,F67+PPMT(F$25/12,$B68,F$23,F$53,-F$27,0)-F$27,0)))</f>
        <v/>
      </c>
      <c r="G68" s="279">
        <f>IF(G$1=0,"",IF($B68&lt;G$23,G67+PPMT(G$25/12,$B68,G$23,G$53,-G$27,0),IF($B68=G$23,G67+PPMT(G$25/12,$B68,G$23,G$53,-G$27,0)-G$27,0)))</f>
        <v/>
      </c>
      <c r="H68" s="279">
        <f>IF(H$1=0,"",IF($B68&lt;H$23,H67+PPMT(H$25/12,$B68,H$23,H$53,-H$27,0),IF($B68=H$23,H67+PPMT(H$25/12,$B68,H$23,H$53,-H$27,0)-H$27,0)))</f>
        <v/>
      </c>
      <c r="I68" s="279">
        <f>IF(I$1=0,"",IF($B68&lt;I$23,I67+PPMT(I$25/12,$B68,I$23,I$53,-I$27,0),IF($B68=I$23,I67+PPMT(I$25/12,$B68,I$23,I$53,-I$27,0)-I$27,0)))</f>
        <v/>
      </c>
      <c r="J68" s="279">
        <f>IF(J$1=0,"",IF($B68&lt;J$23,J67+PPMT(J$25/12,$B68,J$23,J$53,-J$27,0),IF($B68=J$23,J67+PPMT(J$25/12,$B68,J$23,J$53,-J$27,0)-J$27,0)))</f>
        <v/>
      </c>
      <c r="K68" s="279">
        <f>IF(K$1=0,"",IF($B68&lt;K$23,K67+PPMT(K$25/12,$B68,K$23,K$53,-K$27,0),IF($B68=K$23,K67+PPMT(K$25/12,$B68,K$23,K$53,-K$27,0)-K$27,0)))</f>
        <v/>
      </c>
      <c r="L68" s="279">
        <f>IF(L$1=0,"",IF($B68&lt;L$23,L67+PPMT(L$25/12,$B68,L$23,L$53,-L$27,0),IF($B68=L$23,L67+PPMT(L$25/12,$B68,L$23,L$53,-L$27,0)-L$27,0)))</f>
        <v/>
      </c>
      <c r="M68" s="279">
        <f>IF(M$1=0,"",IF($B68&lt;M$23,M67+PPMT(M$25/12,$B68,M$23,M$53,-M$27,0),IF($B68=M$23,M67+PPMT(M$25/12,$B68,M$23,M$53,-M$27,0)-M$27,0)))</f>
        <v/>
      </c>
      <c r="N68" s="280" t="n"/>
      <c r="O68" s="281" t="n"/>
      <c r="R68" s="1" t="n">
        <v>807.0311</v>
      </c>
    </row>
    <row r="69" hidden="1" outlineLevel="1">
      <c r="B69" s="2">
        <f>B68+1</f>
        <v/>
      </c>
      <c r="D69" s="279">
        <f>IF(B69&lt;$D$24,(+'CALCULETTE (2)'!T648/'CALCULETTE (2)'!$B$612),0)</f>
        <v/>
      </c>
      <c r="E69" s="279">
        <f>IF(E$1=0,"",IF($B69&lt;E$23,E68+PPMT(E$25/12,$B69,E$23,E$53,-E$27,0),IF($B69=E$23,E68+PPMT(E$25/12,$B69,E$23,E$53,-E$27,0)-E$27,0)))</f>
        <v/>
      </c>
      <c r="F69" s="279">
        <f>IF(F$1=0,"",IF($B69&lt;F$23,F68+PPMT(F$25/12,$B69,F$23,F$53,-F$27,0),IF($B69=F$23,F68+PPMT(F$25/12,$B69,F$23,F$53,-F$27,0)-F$27,0)))</f>
        <v/>
      </c>
      <c r="G69" s="279">
        <f>IF(G$1=0,"",IF($B69&lt;G$23,G68+PPMT(G$25/12,$B69,G$23,G$53,-G$27,0),IF($B69=G$23,G68+PPMT(G$25/12,$B69,G$23,G$53,-G$27,0)-G$27,0)))</f>
        <v/>
      </c>
      <c r="H69" s="279">
        <f>IF(H$1=0,"",IF($B69&lt;H$23,H68+PPMT(H$25/12,$B69,H$23,H$53,-H$27,0),IF($B69=H$23,H68+PPMT(H$25/12,$B69,H$23,H$53,-H$27,0)-H$27,0)))</f>
        <v/>
      </c>
      <c r="I69" s="279">
        <f>IF(I$1=0,"",IF($B69&lt;I$23,I68+PPMT(I$25/12,$B69,I$23,I$53,-I$27,0),IF($B69=I$23,I68+PPMT(I$25/12,$B69,I$23,I$53,-I$27,0)-I$27,0)))</f>
        <v/>
      </c>
      <c r="J69" s="279">
        <f>IF(J$1=0,"",IF($B69&lt;J$23,J68+PPMT(J$25/12,$B69,J$23,J$53,-J$27,0),IF($B69=J$23,J68+PPMT(J$25/12,$B69,J$23,J$53,-J$27,0)-J$27,0)))</f>
        <v/>
      </c>
      <c r="K69" s="279">
        <f>IF(K$1=0,"",IF($B69&lt;K$23,K68+PPMT(K$25/12,$B69,K$23,K$53,-K$27,0),IF($B69=K$23,K68+PPMT(K$25/12,$B69,K$23,K$53,-K$27,0)-K$27,0)))</f>
        <v/>
      </c>
      <c r="L69" s="279">
        <f>IF(L$1=0,"",IF($B69&lt;L$23,L68+PPMT(L$25/12,$B69,L$23,L$53,-L$27,0),IF($B69=L$23,L68+PPMT(L$25/12,$B69,L$23,L$53,-L$27,0)-L$27,0)))</f>
        <v/>
      </c>
      <c r="M69" s="279">
        <f>IF(M$1=0,"",IF($B69&lt;M$23,M68+PPMT(M$25/12,$B69,M$23,M$53,-M$27,0),IF($B69=M$23,M68+PPMT(M$25/12,$B69,M$23,M$53,-M$27,0)-M$27,0)))</f>
        <v/>
      </c>
      <c r="N69" s="280" t="n"/>
      <c r="O69" s="281" t="n"/>
      <c r="R69" s="1" t="n">
        <v>590.5029</v>
      </c>
    </row>
    <row r="70" hidden="1" outlineLevel="1">
      <c r="B70" s="2">
        <f>B69+1</f>
        <v/>
      </c>
      <c r="D70" s="279">
        <f>IF(B70&lt;$D$24,(+'CALCULETTE (2)'!T649/'CALCULETTE (2)'!$B$612),0)</f>
        <v/>
      </c>
      <c r="E70" s="279">
        <f>IF(E$1=0,"",IF($B70&lt;E$23,E69+PPMT(E$25/12,$B70,E$23,E$53,-E$27,0),IF($B70=E$23,E69+PPMT(E$25/12,$B70,E$23,E$53,-E$27,0)-E$27,0)))</f>
        <v/>
      </c>
      <c r="F70" s="279">
        <f>IF(F$1=0,"",IF($B70&lt;F$23,F69+PPMT(F$25/12,$B70,F$23,F$53,-F$27,0),IF($B70=F$23,F69+PPMT(F$25/12,$B70,F$23,F$53,-F$27,0)-F$27,0)))</f>
        <v/>
      </c>
      <c r="G70" s="279">
        <f>IF(G$1=0,"",IF($B70&lt;G$23,G69+PPMT(G$25/12,$B70,G$23,G$53,-G$27,0),IF($B70=G$23,G69+PPMT(G$25/12,$B70,G$23,G$53,-G$27,0)-G$27,0)))</f>
        <v/>
      </c>
      <c r="H70" s="279">
        <f>IF(H$1=0,"",IF($B70&lt;H$23,H69+PPMT(H$25/12,$B70,H$23,H$53,-H$27,0),IF($B70=H$23,H69+PPMT(H$25/12,$B70,H$23,H$53,-H$27,0)-H$27,0)))</f>
        <v/>
      </c>
      <c r="I70" s="279">
        <f>IF(I$1=0,"",IF($B70&lt;I$23,I69+PPMT(I$25/12,$B70,I$23,I$53,-I$27,0),IF($B70=I$23,I69+PPMT(I$25/12,$B70,I$23,I$53,-I$27,0)-I$27,0)))</f>
        <v/>
      </c>
      <c r="J70" s="279">
        <f>IF(J$1=0,"",IF($B70&lt;J$23,J69+PPMT(J$25/12,$B70,J$23,J$53,-J$27,0),IF($B70=J$23,J69+PPMT(J$25/12,$B70,J$23,J$53,-J$27,0)-J$27,0)))</f>
        <v/>
      </c>
      <c r="K70" s="279">
        <f>IF(K$1=0,"",IF($B70&lt;K$23,K69+PPMT(K$25/12,$B70,K$23,K$53,-K$27,0),IF($B70=K$23,K69+PPMT(K$25/12,$B70,K$23,K$53,-K$27,0)-K$27,0)))</f>
        <v/>
      </c>
      <c r="L70" s="279">
        <f>IF(L$1=0,"",IF($B70&lt;L$23,L69+PPMT(L$25/12,$B70,L$23,L$53,-L$27,0),IF($B70=L$23,L69+PPMT(L$25/12,$B70,L$23,L$53,-L$27,0)-L$27,0)))</f>
        <v/>
      </c>
      <c r="M70" s="279">
        <f>IF(M$1=0,"",IF($B70&lt;M$23,M69+PPMT(M$25/12,$B70,M$23,M$53,-M$27,0),IF($B70=M$23,M69+PPMT(M$25/12,$B70,M$23,M$53,-M$27,0)-M$27,0)))</f>
        <v/>
      </c>
      <c r="N70" s="280" t="n"/>
      <c r="O70" s="281" t="n"/>
      <c r="R70" s="1" t="n">
        <v>407.3501</v>
      </c>
    </row>
    <row r="71" hidden="1" outlineLevel="1">
      <c r="B71" s="2">
        <f>B70+1</f>
        <v/>
      </c>
      <c r="D71" s="279">
        <f>IF(B71&lt;$D$24,(+'CALCULETTE (2)'!T650/'CALCULETTE (2)'!$B$612),0)</f>
        <v/>
      </c>
      <c r="E71" s="279">
        <f>IF(E$1=0,"",IF($B71&lt;E$23,E70+PPMT(E$25/12,$B71,E$23,E$53,-E$27,0),IF($B71=E$23,E70+PPMT(E$25/12,$B71,E$23,E$53,-E$27,0)-E$27,0)))</f>
        <v/>
      </c>
      <c r="F71" s="279">
        <f>IF(F$1=0,"",IF($B71&lt;F$23,F70+PPMT(F$25/12,$B71,F$23,F$53,-F$27,0),IF($B71=F$23,F70+PPMT(F$25/12,$B71,F$23,F$53,-F$27,0)-F$27,0)))</f>
        <v/>
      </c>
      <c r="G71" s="279">
        <f>IF(G$1=0,"",IF($B71&lt;G$23,G70+PPMT(G$25/12,$B71,G$23,G$53,-G$27,0),IF($B71=G$23,G70+PPMT(G$25/12,$B71,G$23,G$53,-G$27,0)-G$27,0)))</f>
        <v/>
      </c>
      <c r="H71" s="279">
        <f>IF(H$1=0,"",IF($B71&lt;H$23,H70+PPMT(H$25/12,$B71,H$23,H$53,-H$27,0),IF($B71=H$23,H70+PPMT(H$25/12,$B71,H$23,H$53,-H$27,0)-H$27,0)))</f>
        <v/>
      </c>
      <c r="I71" s="279">
        <f>IF(I$1=0,"",IF($B71&lt;I$23,I70+PPMT(I$25/12,$B71,I$23,I$53,-I$27,0),IF($B71=I$23,I70+PPMT(I$25/12,$B71,I$23,I$53,-I$27,0)-I$27,0)))</f>
        <v/>
      </c>
      <c r="J71" s="279">
        <f>IF(J$1=0,"",IF($B71&lt;J$23,J70+PPMT(J$25/12,$B71,J$23,J$53,-J$27,0),IF($B71=J$23,J70+PPMT(J$25/12,$B71,J$23,J$53,-J$27,0)-J$27,0)))</f>
        <v/>
      </c>
      <c r="K71" s="279">
        <f>IF(K$1=0,"",IF($B71&lt;K$23,K70+PPMT(K$25/12,$B71,K$23,K$53,-K$27,0),IF($B71=K$23,K70+PPMT(K$25/12,$B71,K$23,K$53,-K$27,0)-K$27,0)))</f>
        <v/>
      </c>
      <c r="L71" s="279">
        <f>IF(L$1=0,"",IF($B71&lt;L$23,L70+PPMT(L$25/12,$B71,L$23,L$53,-L$27,0),IF($B71=L$23,L70+PPMT(L$25/12,$B71,L$23,L$53,-L$27,0)-L$27,0)))</f>
        <v/>
      </c>
      <c r="M71" s="279">
        <f>IF(M$1=0,"",IF($B71&lt;M$23,M70+PPMT(M$25/12,$B71,M$23,M$53,-M$27,0),IF($B71=M$23,M70+PPMT(M$25/12,$B71,M$23,M$53,-M$27,0)-M$27,0)))</f>
        <v/>
      </c>
      <c r="N71" s="280" t="n"/>
      <c r="O71" s="281" t="n"/>
      <c r="R71" s="1" t="n">
        <v>603.9492</v>
      </c>
    </row>
    <row r="72" hidden="1" outlineLevel="1">
      <c r="B72" s="2">
        <f>B71+1</f>
        <v/>
      </c>
      <c r="D72" s="279">
        <f>IF(B72&lt;$D$24,(+'CALCULETTE (2)'!T651/'CALCULETTE (2)'!$B$612),0)</f>
        <v/>
      </c>
      <c r="E72" s="279">
        <f>IF(E$1=0,"",IF($B72&lt;E$23,E71+PPMT(E$25/12,$B72,E$23,E$53,-E$27,0),IF($B72=E$23,E71+PPMT(E$25/12,$B72,E$23,E$53,-E$27,0)-E$27,0)))</f>
        <v/>
      </c>
      <c r="F72" s="279">
        <f>IF(F$1=0,"",IF($B72&lt;F$23,F71+PPMT(F$25/12,$B72,F$23,F$53,-F$27,0),IF($B72=F$23,F71+PPMT(F$25/12,$B72,F$23,F$53,-F$27,0)-F$27,0)))</f>
        <v/>
      </c>
      <c r="G72" s="279">
        <f>IF(G$1=0,"",IF($B72&lt;G$23,G71+PPMT(G$25/12,$B72,G$23,G$53,-G$27,0),IF($B72=G$23,G71+PPMT(G$25/12,$B72,G$23,G$53,-G$27,0)-G$27,0)))</f>
        <v/>
      </c>
      <c r="H72" s="279">
        <f>IF(H$1=0,"",IF($B72&lt;H$23,H71+PPMT(H$25/12,$B72,H$23,H$53,-H$27,0),IF($B72=H$23,H71+PPMT(H$25/12,$B72,H$23,H$53,-H$27,0)-H$27,0)))</f>
        <v/>
      </c>
      <c r="I72" s="279">
        <f>IF(I$1=0,"",IF($B72&lt;I$23,I71+PPMT(I$25/12,$B72,I$23,I$53,-I$27,0),IF($B72=I$23,I71+PPMT(I$25/12,$B72,I$23,I$53,-I$27,0)-I$27,0)))</f>
        <v/>
      </c>
      <c r="J72" s="279">
        <f>IF(J$1=0,"",IF($B72&lt;J$23,J71+PPMT(J$25/12,$B72,J$23,J$53,-J$27,0),IF($B72=J$23,J71+PPMT(J$25/12,$B72,J$23,J$53,-J$27,0)-J$27,0)))</f>
        <v/>
      </c>
      <c r="K72" s="279">
        <f>IF(K$1=0,"",IF($B72&lt;K$23,K71+PPMT(K$25/12,$B72,K$23,K$53,-K$27,0),IF($B72=K$23,K71+PPMT(K$25/12,$B72,K$23,K$53,-K$27,0)-K$27,0)))</f>
        <v/>
      </c>
      <c r="L72" s="279">
        <f>IF(L$1=0,"",IF($B72&lt;L$23,L71+PPMT(L$25/12,$B72,L$23,L$53,-L$27,0),IF($B72=L$23,L71+PPMT(L$25/12,$B72,L$23,L$53,-L$27,0)-L$27,0)))</f>
        <v/>
      </c>
      <c r="M72" s="279">
        <f>IF(M$1=0,"",IF($B72&lt;M$23,M71+PPMT(M$25/12,$B72,M$23,M$53,-M$27,0),IF($B72=M$23,M71+PPMT(M$25/12,$B72,M$23,M$53,-M$27,0)-M$27,0)))</f>
        <v/>
      </c>
      <c r="N72" s="280" t="n"/>
      <c r="O72" s="281" t="n"/>
      <c r="R72" s="1" t="n">
        <v>374.8461</v>
      </c>
    </row>
    <row r="73" hidden="1" outlineLevel="1">
      <c r="B73" s="2">
        <f>B72+1</f>
        <v/>
      </c>
      <c r="D73" s="279">
        <f>IF(B73&lt;$D$24,(+'CALCULETTE (2)'!T652/'CALCULETTE (2)'!$B$612),0)</f>
        <v/>
      </c>
      <c r="E73" s="279">
        <f>IF(E$1=0,"",IF($B73&lt;E$23,E72+PPMT(E$25/12,$B73,E$23,E$53,-E$27,0),IF($B73=E$23,E72+PPMT(E$25/12,$B73,E$23,E$53,-E$27,0)-E$27,0)))</f>
        <v/>
      </c>
      <c r="F73" s="279">
        <f>IF(F$1=0,"",IF($B73&lt;F$23,F72+PPMT(F$25/12,$B73,F$23,F$53,-F$27,0),IF($B73=F$23,F72+PPMT(F$25/12,$B73,F$23,F$53,-F$27,0)-F$27,0)))</f>
        <v/>
      </c>
      <c r="G73" s="279">
        <f>IF(G$1=0,"",IF($B73&lt;G$23,G72+PPMT(G$25/12,$B73,G$23,G$53,-G$27,0),IF($B73=G$23,G72+PPMT(G$25/12,$B73,G$23,G$53,-G$27,0)-G$27,0)))</f>
        <v/>
      </c>
      <c r="H73" s="279">
        <f>IF(H$1=0,"",IF($B73&lt;H$23,H72+PPMT(H$25/12,$B73,H$23,H$53,-H$27,0),IF($B73=H$23,H72+PPMT(H$25/12,$B73,H$23,H$53,-H$27,0)-H$27,0)))</f>
        <v/>
      </c>
      <c r="I73" s="279">
        <f>IF(I$1=0,"",IF($B73&lt;I$23,I72+PPMT(I$25/12,$B73,I$23,I$53,-I$27,0),IF($B73=I$23,I72+PPMT(I$25/12,$B73,I$23,I$53,-I$27,0)-I$27,0)))</f>
        <v/>
      </c>
      <c r="J73" s="279">
        <f>IF(J$1=0,"",IF($B73&lt;J$23,J72+PPMT(J$25/12,$B73,J$23,J$53,-J$27,0),IF($B73=J$23,J72+PPMT(J$25/12,$B73,J$23,J$53,-J$27,0)-J$27,0)))</f>
        <v/>
      </c>
      <c r="K73" s="279">
        <f>IF(K$1=0,"",IF($B73&lt;K$23,K72+PPMT(K$25/12,$B73,K$23,K$53,-K$27,0),IF($B73=K$23,K72+PPMT(K$25/12,$B73,K$23,K$53,-K$27,0)-K$27,0)))</f>
        <v/>
      </c>
      <c r="L73" s="279">
        <f>IF(L$1=0,"",IF($B73&lt;L$23,L72+PPMT(L$25/12,$B73,L$23,L$53,-L$27,0),IF($B73=L$23,L72+PPMT(L$25/12,$B73,L$23,L$53,-L$27,0)-L$27,0)))</f>
        <v/>
      </c>
      <c r="M73" s="279">
        <f>IF(M$1=0,"",IF($B73&lt;M$23,M72+PPMT(M$25/12,$B73,M$23,M$53,-M$27,0),IF($B73=M$23,M72+PPMT(M$25/12,$B73,M$23,M$53,-M$27,0)-M$27,0)))</f>
        <v/>
      </c>
      <c r="N73" s="280" t="n"/>
      <c r="O73" s="281" t="n"/>
      <c r="R73" s="1" t="n">
        <v>868.6702</v>
      </c>
    </row>
    <row r="74" hidden="1" outlineLevel="1">
      <c r="B74" s="2">
        <f>B73+1</f>
        <v/>
      </c>
      <c r="D74" s="279">
        <f>IF(B74&lt;$D$24,(+'CALCULETTE (2)'!T653/'CALCULETTE (2)'!$B$612),0)</f>
        <v/>
      </c>
      <c r="E74" s="279">
        <f>IF(E$1=0,"",IF($B74&lt;E$23,E73+PPMT(E$25/12,$B74,E$23,E$53,-E$27,0),IF($B74=E$23,E73+PPMT(E$25/12,$B74,E$23,E$53,-E$27,0)-E$27,0)))</f>
        <v/>
      </c>
      <c r="F74" s="279">
        <f>IF(F$1=0,"",IF($B74&lt;F$23,F73+PPMT(F$25/12,$B74,F$23,F$53,-F$27,0),IF($B74=F$23,F73+PPMT(F$25/12,$B74,F$23,F$53,-F$27,0)-F$27,0)))</f>
        <v/>
      </c>
      <c r="G74" s="279">
        <f>IF(G$1=0,"",IF($B74&lt;G$23,G73+PPMT(G$25/12,$B74,G$23,G$53,-G$27,0),IF($B74=G$23,G73+PPMT(G$25/12,$B74,G$23,G$53,-G$27,0)-G$27,0)))</f>
        <v/>
      </c>
      <c r="H74" s="279">
        <f>IF(H$1=0,"",IF($B74&lt;H$23,H73+PPMT(H$25/12,$B74,H$23,H$53,-H$27,0),IF($B74=H$23,H73+PPMT(H$25/12,$B74,H$23,H$53,-H$27,0)-H$27,0)))</f>
        <v/>
      </c>
      <c r="I74" s="279">
        <f>IF(I$1=0,"",IF($B74&lt;I$23,I73+PPMT(I$25/12,$B74,I$23,I$53,-I$27,0),IF($B74=I$23,I73+PPMT(I$25/12,$B74,I$23,I$53,-I$27,0)-I$27,0)))</f>
        <v/>
      </c>
      <c r="J74" s="279">
        <f>IF(J$1=0,"",IF($B74&lt;J$23,J73+PPMT(J$25/12,$B74,J$23,J$53,-J$27,0),IF($B74=J$23,J73+PPMT(J$25/12,$B74,J$23,J$53,-J$27,0)-J$27,0)))</f>
        <v/>
      </c>
      <c r="K74" s="279">
        <f>IF(K$1=0,"",IF($B74&lt;K$23,K73+PPMT(K$25/12,$B74,K$23,K$53,-K$27,0),IF($B74=K$23,K73+PPMT(K$25/12,$B74,K$23,K$53,-K$27,0)-K$27,0)))</f>
        <v/>
      </c>
      <c r="L74" s="279">
        <f>IF(L$1=0,"",IF($B74&lt;L$23,L73+PPMT(L$25/12,$B74,L$23,L$53,-L$27,0),IF($B74=L$23,L73+PPMT(L$25/12,$B74,L$23,L$53,-L$27,0)-L$27,0)))</f>
        <v/>
      </c>
      <c r="M74" s="279">
        <f>IF(M$1=0,"",IF($B74&lt;M$23,M73+PPMT(M$25/12,$B74,M$23,M$53,-M$27,0),IF($B74=M$23,M73+PPMT(M$25/12,$B74,M$23,M$53,-M$27,0)-M$27,0)))</f>
        <v/>
      </c>
      <c r="N74" s="280" t="n"/>
      <c r="O74" s="281" t="n"/>
      <c r="R74" s="1" t="n">
        <v>749.2016</v>
      </c>
    </row>
    <row r="75" hidden="1" outlineLevel="1">
      <c r="B75" s="2">
        <f>B74+1</f>
        <v/>
      </c>
      <c r="D75" s="279">
        <f>IF(B75&lt;$D$24,(+'CALCULETTE (2)'!T654/'CALCULETTE (2)'!$B$612),0)</f>
        <v/>
      </c>
      <c r="E75" s="279">
        <f>IF(E$1=0,"",IF($B75&lt;E$23,E74+PPMT(E$25/12,$B75,E$23,E$53,-E$27,0),IF($B75=E$23,E74+PPMT(E$25/12,$B75,E$23,E$53,-E$27,0)-E$27,0)))</f>
        <v/>
      </c>
      <c r="F75" s="279">
        <f>IF(F$1=0,"",IF($B75&lt;F$23,F74+PPMT(F$25/12,$B75,F$23,F$53,-F$27,0),IF($B75=F$23,F74+PPMT(F$25/12,$B75,F$23,F$53,-F$27,0)-F$27,0)))</f>
        <v/>
      </c>
      <c r="G75" s="279">
        <f>IF(G$1=0,"",IF($B75&lt;G$23,G74+PPMT(G$25/12,$B75,G$23,G$53,-G$27,0),IF($B75=G$23,G74+PPMT(G$25/12,$B75,G$23,G$53,-G$27,0)-G$27,0)))</f>
        <v/>
      </c>
      <c r="H75" s="279">
        <f>IF(H$1=0,"",IF($B75&lt;H$23,H74+PPMT(H$25/12,$B75,H$23,H$53,-H$27,0),IF($B75=H$23,H74+PPMT(H$25/12,$B75,H$23,H$53,-H$27,0)-H$27,0)))</f>
        <v/>
      </c>
      <c r="I75" s="279">
        <f>IF(I$1=0,"",IF($B75&lt;I$23,I74+PPMT(I$25/12,$B75,I$23,I$53,-I$27,0),IF($B75=I$23,I74+PPMT(I$25/12,$B75,I$23,I$53,-I$27,0)-I$27,0)))</f>
        <v/>
      </c>
      <c r="J75" s="279">
        <f>IF(J$1=0,"",IF($B75&lt;J$23,J74+PPMT(J$25/12,$B75,J$23,J$53,-J$27,0),IF($B75=J$23,J74+PPMT(J$25/12,$B75,J$23,J$53,-J$27,0)-J$27,0)))</f>
        <v/>
      </c>
      <c r="K75" s="279">
        <f>IF(K$1=0,"",IF($B75&lt;K$23,K74+PPMT(K$25/12,$B75,K$23,K$53,-K$27,0),IF($B75=K$23,K74+PPMT(K$25/12,$B75,K$23,K$53,-K$27,0)-K$27,0)))</f>
        <v/>
      </c>
      <c r="L75" s="279">
        <f>IF(L$1=0,"",IF($B75&lt;L$23,L74+PPMT(L$25/12,$B75,L$23,L$53,-L$27,0),IF($B75=L$23,L74+PPMT(L$25/12,$B75,L$23,L$53,-L$27,0)-L$27,0)))</f>
        <v/>
      </c>
      <c r="M75" s="279">
        <f>IF(M$1=0,"",IF($B75&lt;M$23,M74+PPMT(M$25/12,$B75,M$23,M$53,-M$27,0),IF($B75=M$23,M74+PPMT(M$25/12,$B75,M$23,M$53,-M$27,0)-M$27,0)))</f>
        <v/>
      </c>
      <c r="N75" s="280" t="n"/>
      <c r="O75" s="281" t="n"/>
      <c r="R75" s="1" t="n">
        <v>858.0152</v>
      </c>
    </row>
    <row r="76" hidden="1" outlineLevel="1">
      <c r="B76" s="2">
        <f>B75+1</f>
        <v/>
      </c>
      <c r="D76" s="279">
        <f>IF(B76&lt;$D$24,(+'CALCULETTE (2)'!T655/'CALCULETTE (2)'!$B$612),0)</f>
        <v/>
      </c>
      <c r="E76" s="279">
        <f>IF(E$1=0,"",IF($B76&lt;E$23,E75+PPMT(E$25/12,$B76,E$23,E$53,-E$27,0),IF($B76=E$23,E75+PPMT(E$25/12,$B76,E$23,E$53,-E$27,0)-E$27,0)))</f>
        <v/>
      </c>
      <c r="F76" s="279">
        <f>IF(F$1=0,"",IF($B76&lt;F$23,F75+PPMT(F$25/12,$B76,F$23,F$53,-F$27,0),IF($B76=F$23,F75+PPMT(F$25/12,$B76,F$23,F$53,-F$27,0)-F$27,0)))</f>
        <v/>
      </c>
      <c r="G76" s="279">
        <f>IF(G$1=0,"",IF($B76&lt;G$23,G75+PPMT(G$25/12,$B76,G$23,G$53,-G$27,0),IF($B76=G$23,G75+PPMT(G$25/12,$B76,G$23,G$53,-G$27,0)-G$27,0)))</f>
        <v/>
      </c>
      <c r="H76" s="279">
        <f>IF(H$1=0,"",IF($B76&lt;H$23,H75+PPMT(H$25/12,$B76,H$23,H$53,-H$27,0),IF($B76=H$23,H75+PPMT(H$25/12,$B76,H$23,H$53,-H$27,0)-H$27,0)))</f>
        <v/>
      </c>
      <c r="I76" s="279">
        <f>IF(I$1=0,"",IF($B76&lt;I$23,I75+PPMT(I$25/12,$B76,I$23,I$53,-I$27,0),IF($B76=I$23,I75+PPMT(I$25/12,$B76,I$23,I$53,-I$27,0)-I$27,0)))</f>
        <v/>
      </c>
      <c r="J76" s="279">
        <f>IF(J$1=0,"",IF($B76&lt;J$23,J75+PPMT(J$25/12,$B76,J$23,J$53,-J$27,0),IF($B76=J$23,J75+PPMT(J$25/12,$B76,J$23,J$53,-J$27,0)-J$27,0)))</f>
        <v/>
      </c>
      <c r="K76" s="279">
        <f>IF(K$1=0,"",IF($B76&lt;K$23,K75+PPMT(K$25/12,$B76,K$23,K$53,-K$27,0),IF($B76=K$23,K75+PPMT(K$25/12,$B76,K$23,K$53,-K$27,0)-K$27,0)))</f>
        <v/>
      </c>
      <c r="L76" s="279">
        <f>IF(L$1=0,"",IF($B76&lt;L$23,L75+PPMT(L$25/12,$B76,L$23,L$53,-L$27,0),IF($B76=L$23,L75+PPMT(L$25/12,$B76,L$23,L$53,-L$27,0)-L$27,0)))</f>
        <v/>
      </c>
      <c r="M76" s="279">
        <f>IF(M$1=0,"",IF($B76&lt;M$23,M75+PPMT(M$25/12,$B76,M$23,M$53,-M$27,0),IF($B76=M$23,M75+PPMT(M$25/12,$B76,M$23,M$53,-M$27,0)-M$27,0)))</f>
        <v/>
      </c>
      <c r="N76" s="280" t="n"/>
      <c r="O76" s="281" t="n"/>
      <c r="R76" s="1" t="n">
        <v>289.4676</v>
      </c>
    </row>
    <row r="77" hidden="1" outlineLevel="1">
      <c r="B77" s="2">
        <f>B76+1</f>
        <v/>
      </c>
      <c r="D77" s="279">
        <f>IF(B77&lt;$D$24,(+'CALCULETTE (2)'!T656/'CALCULETTE (2)'!$B$612),0)</f>
        <v/>
      </c>
      <c r="E77" s="279">
        <f>IF(E$1=0,"",IF($B77&lt;E$23,E76+PPMT(E$25/12,$B77,E$23,E$53,-E$27,0),IF($B77=E$23,E76+PPMT(E$25/12,$B77,E$23,E$53,-E$27,0)-E$27,0)))</f>
        <v/>
      </c>
      <c r="F77" s="279">
        <f>IF(F$1=0,"",IF($B77&lt;F$23,F76+PPMT(F$25/12,$B77,F$23,F$53,-F$27,0),IF($B77=F$23,F76+PPMT(F$25/12,$B77,F$23,F$53,-F$27,0)-F$27,0)))</f>
        <v/>
      </c>
      <c r="G77" s="279">
        <f>IF(G$1=0,"",IF($B77&lt;G$23,G76+PPMT(G$25/12,$B77,G$23,G$53,-G$27,0),IF($B77=G$23,G76+PPMT(G$25/12,$B77,G$23,G$53,-G$27,0)-G$27,0)))</f>
        <v/>
      </c>
      <c r="H77" s="279">
        <f>IF(H$1=0,"",IF($B77&lt;H$23,H76+PPMT(H$25/12,$B77,H$23,H$53,-H$27,0),IF($B77=H$23,H76+PPMT(H$25/12,$B77,H$23,H$53,-H$27,0)-H$27,0)))</f>
        <v/>
      </c>
      <c r="I77" s="279">
        <f>IF(I$1=0,"",IF($B77&lt;I$23,I76+PPMT(I$25/12,$B77,I$23,I$53,-I$27,0),IF($B77=I$23,I76+PPMT(I$25/12,$B77,I$23,I$53,-I$27,0)-I$27,0)))</f>
        <v/>
      </c>
      <c r="J77" s="279">
        <f>IF(J$1=0,"",IF($B77&lt;J$23,J76+PPMT(J$25/12,$B77,J$23,J$53,-J$27,0),IF($B77=J$23,J76+PPMT(J$25/12,$B77,J$23,J$53,-J$27,0)-J$27,0)))</f>
        <v/>
      </c>
      <c r="K77" s="279">
        <f>IF(K$1=0,"",IF($B77&lt;K$23,K76+PPMT(K$25/12,$B77,K$23,K$53,-K$27,0),IF($B77=K$23,K76+PPMT(K$25/12,$B77,K$23,K$53,-K$27,0)-K$27,0)))</f>
        <v/>
      </c>
      <c r="L77" s="279">
        <f>IF(L$1=0,"",IF($B77&lt;L$23,L76+PPMT(L$25/12,$B77,L$23,L$53,-L$27,0),IF($B77=L$23,L76+PPMT(L$25/12,$B77,L$23,L$53,-L$27,0)-L$27,0)))</f>
        <v/>
      </c>
      <c r="M77" s="279">
        <f>IF(M$1=0,"",IF($B77&lt;M$23,M76+PPMT(M$25/12,$B77,M$23,M$53,-M$27,0),IF($B77=M$23,M76+PPMT(M$25/12,$B77,M$23,M$53,-M$27,0)-M$27,0)))</f>
        <v/>
      </c>
      <c r="N77" s="280" t="n"/>
      <c r="O77" s="281" t="n"/>
      <c r="R77" s="1" t="n">
        <v>699.9061</v>
      </c>
    </row>
    <row r="78" hidden="1" outlineLevel="1">
      <c r="B78" s="2">
        <f>B77+1</f>
        <v/>
      </c>
      <c r="D78" s="279">
        <f>IF(B78&lt;$D$24,(+'CALCULETTE (2)'!T657/'CALCULETTE (2)'!$B$612),0)</f>
        <v/>
      </c>
      <c r="E78" s="279">
        <f>IF(E$1=0,"",IF($B78&lt;E$23,E77+PPMT(E$25/12,$B78,E$23,E$53,-E$27,0),IF($B78=E$23,E77+PPMT(E$25/12,$B78,E$23,E$53,-E$27,0)-E$27,0)))</f>
        <v/>
      </c>
      <c r="F78" s="279">
        <f>IF(F$1=0,"",IF($B78&lt;F$23,F77+PPMT(F$25/12,$B78,F$23,F$53,-F$27,0),IF($B78=F$23,F77+PPMT(F$25/12,$B78,F$23,F$53,-F$27,0)-F$27,0)))</f>
        <v/>
      </c>
      <c r="G78" s="279">
        <f>IF(G$1=0,"",IF($B78&lt;G$23,G77+PPMT(G$25/12,$B78,G$23,G$53,-G$27,0),IF($B78=G$23,G77+PPMT(G$25/12,$B78,G$23,G$53,-G$27,0)-G$27,0)))</f>
        <v/>
      </c>
      <c r="H78" s="279">
        <f>IF(H$1=0,"",IF($B78&lt;H$23,H77+PPMT(H$25/12,$B78,H$23,H$53,-H$27,0),IF($B78=H$23,H77+PPMT(H$25/12,$B78,H$23,H$53,-H$27,0)-H$27,0)))</f>
        <v/>
      </c>
      <c r="I78" s="279">
        <f>IF(I$1=0,"",IF($B78&lt;I$23,I77+PPMT(I$25/12,$B78,I$23,I$53,-I$27,0),IF($B78=I$23,I77+PPMT(I$25/12,$B78,I$23,I$53,-I$27,0)-I$27,0)))</f>
        <v/>
      </c>
      <c r="J78" s="279">
        <f>IF(J$1=0,"",IF($B78&lt;J$23,J77+PPMT(J$25/12,$B78,J$23,J$53,-J$27,0),IF($B78=J$23,J77+PPMT(J$25/12,$B78,J$23,J$53,-J$27,0)-J$27,0)))</f>
        <v/>
      </c>
      <c r="K78" s="279">
        <f>IF(K$1=0,"",IF($B78&lt;K$23,K77+PPMT(K$25/12,$B78,K$23,K$53,-K$27,0),IF($B78=K$23,K77+PPMT(K$25/12,$B78,K$23,K$53,-K$27,0)-K$27,0)))</f>
        <v/>
      </c>
      <c r="L78" s="279">
        <f>IF(L$1=0,"",IF($B78&lt;L$23,L77+PPMT(L$25/12,$B78,L$23,L$53,-L$27,0),IF($B78=L$23,L77+PPMT(L$25/12,$B78,L$23,L$53,-L$27,0)-L$27,0)))</f>
        <v/>
      </c>
      <c r="M78" s="279">
        <f>IF(M$1=0,"",IF($B78&lt;M$23,M77+PPMT(M$25/12,$B78,M$23,M$53,-M$27,0),IF($B78=M$23,M77+PPMT(M$25/12,$B78,M$23,M$53,-M$27,0)-M$27,0)))</f>
        <v/>
      </c>
      <c r="N78" s="280" t="n"/>
      <c r="O78" s="281" t="n"/>
      <c r="R78" s="1" t="n">
        <v>740.2597</v>
      </c>
    </row>
    <row r="79" hidden="1" outlineLevel="1">
      <c r="B79" s="2">
        <f>B78+1</f>
        <v/>
      </c>
      <c r="D79" s="279">
        <f>IF(B79&lt;$D$24,(+'CALCULETTE (2)'!T658/'CALCULETTE (2)'!$B$612),0)</f>
        <v/>
      </c>
      <c r="E79" s="279">
        <f>IF(E$1=0,"",IF($B79&lt;E$23,E78+PPMT(E$25/12,$B79,E$23,E$53,-E$27,0),IF($B79=E$23,E78+PPMT(E$25/12,$B79,E$23,E$53,-E$27,0)-E$27,0)))</f>
        <v/>
      </c>
      <c r="F79" s="279">
        <f>IF(F$1=0,"",IF($B79&lt;F$23,F78+PPMT(F$25/12,$B79,F$23,F$53,-F$27,0),IF($B79=F$23,F78+PPMT(F$25/12,$B79,F$23,F$53,-F$27,0)-F$27,0)))</f>
        <v/>
      </c>
      <c r="G79" s="279">
        <f>IF(G$1=0,"",IF($B79&lt;G$23,G78+PPMT(G$25/12,$B79,G$23,G$53,-G$27,0),IF($B79=G$23,G78+PPMT(G$25/12,$B79,G$23,G$53,-G$27,0)-G$27,0)))</f>
        <v/>
      </c>
      <c r="H79" s="279">
        <f>IF(H$1=0,"",IF($B79&lt;H$23,H78+PPMT(H$25/12,$B79,H$23,H$53,-H$27,0),IF($B79=H$23,H78+PPMT(H$25/12,$B79,H$23,H$53,-H$27,0)-H$27,0)))</f>
        <v/>
      </c>
      <c r="I79" s="279">
        <f>IF(I$1=0,"",IF($B79&lt;I$23,I78+PPMT(I$25/12,$B79,I$23,I$53,-I$27,0),IF($B79=I$23,I78+PPMT(I$25/12,$B79,I$23,I$53,-I$27,0)-I$27,0)))</f>
        <v/>
      </c>
      <c r="J79" s="279">
        <f>IF(J$1=0,"",IF($B79&lt;J$23,J78+PPMT(J$25/12,$B79,J$23,J$53,-J$27,0),IF($B79=J$23,J78+PPMT(J$25/12,$B79,J$23,J$53,-J$27,0)-J$27,0)))</f>
        <v/>
      </c>
      <c r="K79" s="279">
        <f>IF(K$1=0,"",IF($B79&lt;K$23,K78+PPMT(K$25/12,$B79,K$23,K$53,-K$27,0),IF($B79=K$23,K78+PPMT(K$25/12,$B79,K$23,K$53,-K$27,0)-K$27,0)))</f>
        <v/>
      </c>
      <c r="L79" s="279">
        <f>IF(L$1=0,"",IF($B79&lt;L$23,L78+PPMT(L$25/12,$B79,L$23,L$53,-L$27,0),IF($B79=L$23,L78+PPMT(L$25/12,$B79,L$23,L$53,-L$27,0)-L$27,0)))</f>
        <v/>
      </c>
      <c r="M79" s="279">
        <f>IF(M$1=0,"",IF($B79&lt;M$23,M78+PPMT(M$25/12,$B79,M$23,M$53,-M$27,0),IF($B79=M$23,M78+PPMT(M$25/12,$B79,M$23,M$53,-M$27,0)-M$27,0)))</f>
        <v/>
      </c>
      <c r="N79" s="280" t="n"/>
      <c r="O79" s="281" t="n"/>
      <c r="R79" s="1" t="n">
        <v>584.419</v>
      </c>
    </row>
    <row r="80" hidden="1" outlineLevel="1">
      <c r="B80" s="2">
        <f>B79+1</f>
        <v/>
      </c>
      <c r="D80" s="279">
        <f>IF(B80&lt;$D$24,(+'CALCULETTE (2)'!T659/'CALCULETTE (2)'!$B$612),0)</f>
        <v/>
      </c>
      <c r="E80" s="279">
        <f>IF(E$1=0,"",IF($B80&lt;E$23,E79+PPMT(E$25/12,$B80,E$23,E$53,-E$27,0),IF($B80=E$23,E79+PPMT(E$25/12,$B80,E$23,E$53,-E$27,0)-E$27,0)))</f>
        <v/>
      </c>
      <c r="F80" s="279">
        <f>IF(F$1=0,"",IF($B80&lt;F$23,F79+PPMT(F$25/12,$B80,F$23,F$53,-F$27,0),IF($B80=F$23,F79+PPMT(F$25/12,$B80,F$23,F$53,-F$27,0)-F$27,0)))</f>
        <v/>
      </c>
      <c r="G80" s="279">
        <f>IF(G$1=0,"",IF($B80&lt;G$23,G79+PPMT(G$25/12,$B80,G$23,G$53,-G$27,0),IF($B80=G$23,G79+PPMT(G$25/12,$B80,G$23,G$53,-G$27,0)-G$27,0)))</f>
        <v/>
      </c>
      <c r="H80" s="279">
        <f>IF(H$1=0,"",IF($B80&lt;H$23,H79+PPMT(H$25/12,$B80,H$23,H$53,-H$27,0),IF($B80=H$23,H79+PPMT(H$25/12,$B80,H$23,H$53,-H$27,0)-H$27,0)))</f>
        <v/>
      </c>
      <c r="I80" s="279">
        <f>IF(I$1=0,"",IF($B80&lt;I$23,I79+PPMT(I$25/12,$B80,I$23,I$53,-I$27,0),IF($B80=I$23,I79+PPMT(I$25/12,$B80,I$23,I$53,-I$27,0)-I$27,0)))</f>
        <v/>
      </c>
      <c r="J80" s="279">
        <f>IF(J$1=0,"",IF($B80&lt;J$23,J79+PPMT(J$25/12,$B80,J$23,J$53,-J$27,0),IF($B80=J$23,J79+PPMT(J$25/12,$B80,J$23,J$53,-J$27,0)-J$27,0)))</f>
        <v/>
      </c>
      <c r="K80" s="279">
        <f>IF(K$1=0,"",IF($B80&lt;K$23,K79+PPMT(K$25/12,$B80,K$23,K$53,-K$27,0),IF($B80=K$23,K79+PPMT(K$25/12,$B80,K$23,K$53,-K$27,0)-K$27,0)))</f>
        <v/>
      </c>
      <c r="L80" s="279">
        <f>IF(L$1=0,"",IF($B80&lt;L$23,L79+PPMT(L$25/12,$B80,L$23,L$53,-L$27,0),IF($B80=L$23,L79+PPMT(L$25/12,$B80,L$23,L$53,-L$27,0)-L$27,0)))</f>
        <v/>
      </c>
      <c r="M80" s="279">
        <f>IF(M$1=0,"",IF($B80&lt;M$23,M79+PPMT(M$25/12,$B80,M$23,M$53,-M$27,0),IF($B80=M$23,M79+PPMT(M$25/12,$B80,M$23,M$53,-M$27,0)-M$27,0)))</f>
        <v/>
      </c>
      <c r="N80" s="280" t="n"/>
      <c r="O80" s="281" t="n"/>
      <c r="R80" s="1" t="n">
        <v>762.6297</v>
      </c>
    </row>
    <row r="81" hidden="1" outlineLevel="1">
      <c r="B81" s="2">
        <f>B80+1</f>
        <v/>
      </c>
      <c r="D81" s="279">
        <f>IF(B81&lt;$D$24,(+'CALCULETTE (2)'!T660/'CALCULETTE (2)'!$B$612),0)</f>
        <v/>
      </c>
      <c r="E81" s="279">
        <f>IF(E$1=0,"",IF($B81&lt;E$23,E80+PPMT(E$25/12,$B81,E$23,E$53,-E$27,0),IF($B81=E$23,E80+PPMT(E$25/12,$B81,E$23,E$53,-E$27,0)-E$27,0)))</f>
        <v/>
      </c>
      <c r="F81" s="279">
        <f>IF(F$1=0,"",IF($B81&lt;F$23,F80+PPMT(F$25/12,$B81,F$23,F$53,-F$27,0),IF($B81=F$23,F80+PPMT(F$25/12,$B81,F$23,F$53,-F$27,0)-F$27,0)))</f>
        <v/>
      </c>
      <c r="G81" s="279">
        <f>IF(G$1=0,"",IF($B81&lt;G$23,G80+PPMT(G$25/12,$B81,G$23,G$53,-G$27,0),IF($B81=G$23,G80+PPMT(G$25/12,$B81,G$23,G$53,-G$27,0)-G$27,0)))</f>
        <v/>
      </c>
      <c r="H81" s="279">
        <f>IF(H$1=0,"",IF($B81&lt;H$23,H80+PPMT(H$25/12,$B81,H$23,H$53,-H$27,0),IF($B81=H$23,H80+PPMT(H$25/12,$B81,H$23,H$53,-H$27,0)-H$27,0)))</f>
        <v/>
      </c>
      <c r="I81" s="279">
        <f>IF(I$1=0,"",IF($B81&lt;I$23,I80+PPMT(I$25/12,$B81,I$23,I$53,-I$27,0),IF($B81=I$23,I80+PPMT(I$25/12,$B81,I$23,I$53,-I$27,0)-I$27,0)))</f>
        <v/>
      </c>
      <c r="J81" s="279">
        <f>IF(J$1=0,"",IF($B81&lt;J$23,J80+PPMT(J$25/12,$B81,J$23,J$53,-J$27,0),IF($B81=J$23,J80+PPMT(J$25/12,$B81,J$23,J$53,-J$27,0)-J$27,0)))</f>
        <v/>
      </c>
      <c r="K81" s="279">
        <f>IF(K$1=0,"",IF($B81&lt;K$23,K80+PPMT(K$25/12,$B81,K$23,K$53,-K$27,0),IF($B81=K$23,K80+PPMT(K$25/12,$B81,K$23,K$53,-K$27,0)-K$27,0)))</f>
        <v/>
      </c>
      <c r="L81" s="279">
        <f>IF(L$1=0,"",IF($B81&lt;L$23,L80+PPMT(L$25/12,$B81,L$23,L$53,-L$27,0),IF($B81=L$23,L80+PPMT(L$25/12,$B81,L$23,L$53,-L$27,0)-L$27,0)))</f>
        <v/>
      </c>
      <c r="M81" s="279">
        <f>IF(M$1=0,"",IF($B81&lt;M$23,M80+PPMT(M$25/12,$B81,M$23,M$53,-M$27,0),IF($B81=M$23,M80+PPMT(M$25/12,$B81,M$23,M$53,-M$27,0)-M$27,0)))</f>
        <v/>
      </c>
      <c r="N81" s="280" t="n"/>
      <c r="O81" s="281" t="n"/>
      <c r="R81" s="1" t="n">
        <v>307.3149</v>
      </c>
    </row>
    <row r="82" hidden="1" outlineLevel="1">
      <c r="B82" s="2">
        <f>B81+1</f>
        <v/>
      </c>
      <c r="D82" s="279">
        <f>IF(B82&lt;$D$24,(+'CALCULETTE (2)'!T661/'CALCULETTE (2)'!$B$612),0)</f>
        <v/>
      </c>
      <c r="E82" s="279">
        <f>IF(E$1=0,"",IF($B82&lt;E$23,E81+PPMT(E$25/12,$B82,E$23,E$53,-E$27,0),IF($B82=E$23,E81+PPMT(E$25/12,$B82,E$23,E$53,-E$27,0)-E$27,0)))</f>
        <v/>
      </c>
      <c r="F82" s="279">
        <f>IF(F$1=0,"",IF($B82&lt;F$23,F81+PPMT(F$25/12,$B82,F$23,F$53,-F$27,0),IF($B82=F$23,F81+PPMT(F$25/12,$B82,F$23,F$53,-F$27,0)-F$27,0)))</f>
        <v/>
      </c>
      <c r="G82" s="279">
        <f>IF(G$1=0,"",IF($B82&lt;G$23,G81+PPMT(G$25/12,$B82,G$23,G$53,-G$27,0),IF($B82=G$23,G81+PPMT(G$25/12,$B82,G$23,G$53,-G$27,0)-G$27,0)))</f>
        <v/>
      </c>
      <c r="H82" s="279">
        <f>IF(H$1=0,"",IF($B82&lt;H$23,H81+PPMT(H$25/12,$B82,H$23,H$53,-H$27,0),IF($B82=H$23,H81+PPMT(H$25/12,$B82,H$23,H$53,-H$27,0)-H$27,0)))</f>
        <v/>
      </c>
      <c r="I82" s="279">
        <f>IF(I$1=0,"",IF($B82&lt;I$23,I81+PPMT(I$25/12,$B82,I$23,I$53,-I$27,0),IF($B82=I$23,I81+PPMT(I$25/12,$B82,I$23,I$53,-I$27,0)-I$27,0)))</f>
        <v/>
      </c>
      <c r="J82" s="279">
        <f>IF(J$1=0,"",IF($B82&lt;J$23,J81+PPMT(J$25/12,$B82,J$23,J$53,-J$27,0),IF($B82=J$23,J81+PPMT(J$25/12,$B82,J$23,J$53,-J$27,0)-J$27,0)))</f>
        <v/>
      </c>
      <c r="K82" s="279">
        <f>IF(K$1=0,"",IF($B82&lt;K$23,K81+PPMT(K$25/12,$B82,K$23,K$53,-K$27,0),IF($B82=K$23,K81+PPMT(K$25/12,$B82,K$23,K$53,-K$27,0)-K$27,0)))</f>
        <v/>
      </c>
      <c r="L82" s="279">
        <f>IF(L$1=0,"",IF($B82&lt;L$23,L81+PPMT(L$25/12,$B82,L$23,L$53,-L$27,0),IF($B82=L$23,L81+PPMT(L$25/12,$B82,L$23,L$53,-L$27,0)-L$27,0)))</f>
        <v/>
      </c>
      <c r="M82" s="279">
        <f>IF(M$1=0,"",IF($B82&lt;M$23,M81+PPMT(M$25/12,$B82,M$23,M$53,-M$27,0),IF($B82=M$23,M81+PPMT(M$25/12,$B82,M$23,M$53,-M$27,0)-M$27,0)))</f>
        <v/>
      </c>
      <c r="N82" s="280" t="n"/>
      <c r="O82" s="281" t="n"/>
      <c r="R82" s="1" t="n">
        <v>349.0949</v>
      </c>
    </row>
    <row r="83" hidden="1" outlineLevel="1">
      <c r="B83" s="2">
        <f>B82+1</f>
        <v/>
      </c>
      <c r="D83" s="279">
        <f>IF(B83&lt;$D$24,(+'CALCULETTE (2)'!T662/'CALCULETTE (2)'!$B$612),0)</f>
        <v/>
      </c>
      <c r="E83" s="279">
        <f>IF(E$1=0,"",IF($B83&lt;E$23,E82+PPMT(E$25/12,$B83,E$23,E$53,-E$27,0),IF($B83=E$23,E82+PPMT(E$25/12,$B83,E$23,E$53,-E$27,0)-E$27,0)))</f>
        <v/>
      </c>
      <c r="F83" s="279">
        <f>IF(F$1=0,"",IF($B83&lt;F$23,F82+PPMT(F$25/12,$B83,F$23,F$53,-F$27,0),IF($B83=F$23,F82+PPMT(F$25/12,$B83,F$23,F$53,-F$27,0)-F$27,0)))</f>
        <v/>
      </c>
      <c r="G83" s="279">
        <f>IF(G$1=0,"",IF($B83&lt;G$23,G82+PPMT(G$25/12,$B83,G$23,G$53,-G$27,0),IF($B83=G$23,G82+PPMT(G$25/12,$B83,G$23,G$53,-G$27,0)-G$27,0)))</f>
        <v/>
      </c>
      <c r="H83" s="279">
        <f>IF(H$1=0,"",IF($B83&lt;H$23,H82+PPMT(H$25/12,$B83,H$23,H$53,-H$27,0),IF($B83=H$23,H82+PPMT(H$25/12,$B83,H$23,H$53,-H$27,0)-H$27,0)))</f>
        <v/>
      </c>
      <c r="I83" s="279">
        <f>IF(I$1=0,"",IF($B83&lt;I$23,I82+PPMT(I$25/12,$B83,I$23,I$53,-I$27,0),IF($B83=I$23,I82+PPMT(I$25/12,$B83,I$23,I$53,-I$27,0)-I$27,0)))</f>
        <v/>
      </c>
      <c r="J83" s="279">
        <f>IF(J$1=0,"",IF($B83&lt;J$23,J82+PPMT(J$25/12,$B83,J$23,J$53,-J$27,0),IF($B83=J$23,J82+PPMT(J$25/12,$B83,J$23,J$53,-J$27,0)-J$27,0)))</f>
        <v/>
      </c>
      <c r="K83" s="279">
        <f>IF(K$1=0,"",IF($B83&lt;K$23,K82+PPMT(K$25/12,$B83,K$23,K$53,-K$27,0),IF($B83=K$23,K82+PPMT(K$25/12,$B83,K$23,K$53,-K$27,0)-K$27,0)))</f>
        <v/>
      </c>
      <c r="L83" s="279">
        <f>IF(L$1=0,"",IF($B83&lt;L$23,L82+PPMT(L$25/12,$B83,L$23,L$53,-L$27,0),IF($B83=L$23,L82+PPMT(L$25/12,$B83,L$23,L$53,-L$27,0)-L$27,0)))</f>
        <v/>
      </c>
      <c r="M83" s="279">
        <f>IF(M$1=0,"",IF($B83&lt;M$23,M82+PPMT(M$25/12,$B83,M$23,M$53,-M$27,0),IF($B83=M$23,M82+PPMT(M$25/12,$B83,M$23,M$53,-M$27,0)-M$27,0)))</f>
        <v/>
      </c>
      <c r="N83" s="280" t="n"/>
      <c r="O83" s="281" t="n"/>
      <c r="R83" s="1" t="n">
        <v>835.2501</v>
      </c>
    </row>
    <row r="84" hidden="1" outlineLevel="1">
      <c r="B84" s="2">
        <f>B83+1</f>
        <v/>
      </c>
      <c r="D84" s="279">
        <f>IF(B84&lt;$D$24,(+'CALCULETTE (2)'!T663/'CALCULETTE (2)'!$B$612),0)</f>
        <v/>
      </c>
      <c r="E84" s="279">
        <f>IF(E$1=0,"",IF($B84&lt;E$23,E83+PPMT(E$25/12,$B84,E$23,E$53,-E$27,0),IF($B84=E$23,E83+PPMT(E$25/12,$B84,E$23,E$53,-E$27,0)-E$27,0)))</f>
        <v/>
      </c>
      <c r="F84" s="279">
        <f>IF(F$1=0,"",IF($B84&lt;F$23,F83+PPMT(F$25/12,$B84,F$23,F$53,-F$27,0),IF($B84=F$23,F83+PPMT(F$25/12,$B84,F$23,F$53,-F$27,0)-F$27,0)))</f>
        <v/>
      </c>
      <c r="G84" s="279">
        <f>IF(G$1=0,"",IF($B84&lt;G$23,G83+PPMT(G$25/12,$B84,G$23,G$53,-G$27,0),IF($B84=G$23,G83+PPMT(G$25/12,$B84,G$23,G$53,-G$27,0)-G$27,0)))</f>
        <v/>
      </c>
      <c r="H84" s="279">
        <f>IF(H$1=0,"",IF($B84&lt;H$23,H83+PPMT(H$25/12,$B84,H$23,H$53,-H$27,0),IF($B84=H$23,H83+PPMT(H$25/12,$B84,H$23,H$53,-H$27,0)-H$27,0)))</f>
        <v/>
      </c>
      <c r="I84" s="279">
        <f>IF(I$1=0,"",IF($B84&lt;I$23,I83+PPMT(I$25/12,$B84,I$23,I$53,-I$27,0),IF($B84=I$23,I83+PPMT(I$25/12,$B84,I$23,I$53,-I$27,0)-I$27,0)))</f>
        <v/>
      </c>
      <c r="J84" s="279">
        <f>IF(J$1=0,"",IF($B84&lt;J$23,J83+PPMT(J$25/12,$B84,J$23,J$53,-J$27,0),IF($B84=J$23,J83+PPMT(J$25/12,$B84,J$23,J$53,-J$27,0)-J$27,0)))</f>
        <v/>
      </c>
      <c r="K84" s="279">
        <f>IF(K$1=0,"",IF($B84&lt;K$23,K83+PPMT(K$25/12,$B84,K$23,K$53,-K$27,0),IF($B84=K$23,K83+PPMT(K$25/12,$B84,K$23,K$53,-K$27,0)-K$27,0)))</f>
        <v/>
      </c>
      <c r="L84" s="279">
        <f>IF(L$1=0,"",IF($B84&lt;L$23,L83+PPMT(L$25/12,$B84,L$23,L$53,-L$27,0),IF($B84=L$23,L83+PPMT(L$25/12,$B84,L$23,L$53,-L$27,0)-L$27,0)))</f>
        <v/>
      </c>
      <c r="M84" s="279">
        <f>IF(M$1=0,"",IF($B84&lt;M$23,M83+PPMT(M$25/12,$B84,M$23,M$53,-M$27,0),IF($B84=M$23,M83+PPMT(M$25/12,$B84,M$23,M$53,-M$27,0)-M$27,0)))</f>
        <v/>
      </c>
      <c r="N84" s="280" t="n"/>
      <c r="O84" s="281" t="n"/>
      <c r="R84" s="1" t="n">
        <v>749.7026</v>
      </c>
    </row>
    <row r="85" hidden="1" outlineLevel="1">
      <c r="B85" s="2">
        <f>B84+1</f>
        <v/>
      </c>
      <c r="D85" s="279">
        <f>IF(B85&lt;$D$24,(+'CALCULETTE (2)'!T664/'CALCULETTE (2)'!$B$612),0)</f>
        <v/>
      </c>
      <c r="E85" s="279">
        <f>IF(E$1=0,"",IF($B85&lt;E$23,E84+PPMT(E$25/12,$B85,E$23,E$53,-E$27,0),IF($B85=E$23,E84+PPMT(E$25/12,$B85,E$23,E$53,-E$27,0)-E$27,0)))</f>
        <v/>
      </c>
      <c r="F85" s="279">
        <f>IF(F$1=0,"",IF($B85&lt;F$23,F84+PPMT(F$25/12,$B85,F$23,F$53,-F$27,0),IF($B85=F$23,F84+PPMT(F$25/12,$B85,F$23,F$53,-F$27,0)-F$27,0)))</f>
        <v/>
      </c>
      <c r="G85" s="279">
        <f>IF(G$1=0,"",IF($B85&lt;G$23,G84+PPMT(G$25/12,$B85,G$23,G$53,-G$27,0),IF($B85=G$23,G84+PPMT(G$25/12,$B85,G$23,G$53,-G$27,0)-G$27,0)))</f>
        <v/>
      </c>
      <c r="H85" s="279">
        <f>IF(H$1=0,"",IF($B85&lt;H$23,H84+PPMT(H$25/12,$B85,H$23,H$53,-H$27,0),IF($B85=H$23,H84+PPMT(H$25/12,$B85,H$23,H$53,-H$27,0)-H$27,0)))</f>
        <v/>
      </c>
      <c r="I85" s="279">
        <f>IF(I$1=0,"",IF($B85&lt;I$23,I84+PPMT(I$25/12,$B85,I$23,I$53,-I$27,0),IF($B85=I$23,I84+PPMT(I$25/12,$B85,I$23,I$53,-I$27,0)-I$27,0)))</f>
        <v/>
      </c>
      <c r="J85" s="279">
        <f>IF(J$1=0,"",IF($B85&lt;J$23,J84+PPMT(J$25/12,$B85,J$23,J$53,-J$27,0),IF($B85=J$23,J84+PPMT(J$25/12,$B85,J$23,J$53,-J$27,0)-J$27,0)))</f>
        <v/>
      </c>
      <c r="K85" s="279">
        <f>IF(K$1=0,"",IF($B85&lt;K$23,K84+PPMT(K$25/12,$B85,K$23,K$53,-K$27,0),IF($B85=K$23,K84+PPMT(K$25/12,$B85,K$23,K$53,-K$27,0)-K$27,0)))</f>
        <v/>
      </c>
      <c r="L85" s="279">
        <f>IF(L$1=0,"",IF($B85&lt;L$23,L84+PPMT(L$25/12,$B85,L$23,L$53,-L$27,0),IF($B85=L$23,L84+PPMT(L$25/12,$B85,L$23,L$53,-L$27,0)-L$27,0)))</f>
        <v/>
      </c>
      <c r="M85" s="279">
        <f>IF(M$1=0,"",IF($B85&lt;M$23,M84+PPMT(M$25/12,$B85,M$23,M$53,-M$27,0),IF($B85=M$23,M84+PPMT(M$25/12,$B85,M$23,M$53,-M$27,0)-M$27,0)))</f>
        <v/>
      </c>
      <c r="N85" s="280" t="n"/>
      <c r="O85" s="281" t="n"/>
      <c r="R85" s="1" t="n">
        <v>343.7599</v>
      </c>
    </row>
    <row r="86" hidden="1" outlineLevel="1">
      <c r="B86" s="2">
        <f>B85+1</f>
        <v/>
      </c>
      <c r="D86" s="279">
        <f>IF(B86&lt;$D$24,(+'CALCULETTE (2)'!T665/'CALCULETTE (2)'!$B$612),0)</f>
        <v/>
      </c>
      <c r="E86" s="279">
        <f>IF(E$1=0,"",IF($B86&lt;E$23,E85+PPMT(E$25/12,$B86,E$23,E$53,-E$27,0),IF($B86=E$23,E85+PPMT(E$25/12,$B86,E$23,E$53,-E$27,0)-E$27,0)))</f>
        <v/>
      </c>
      <c r="F86" s="279">
        <f>IF(F$1=0,"",IF($B86&lt;F$23,F85+PPMT(F$25/12,$B86,F$23,F$53,-F$27,0),IF($B86=F$23,F85+PPMT(F$25/12,$B86,F$23,F$53,-F$27,0)-F$27,0)))</f>
        <v/>
      </c>
      <c r="G86" s="279">
        <f>IF(G$1=0,"",IF($B86&lt;G$23,G85+PPMT(G$25/12,$B86,G$23,G$53,-G$27,0),IF($B86=G$23,G85+PPMT(G$25/12,$B86,G$23,G$53,-G$27,0)-G$27,0)))</f>
        <v/>
      </c>
      <c r="H86" s="279">
        <f>IF(H$1=0,"",IF($B86&lt;H$23,H85+PPMT(H$25/12,$B86,H$23,H$53,-H$27,0),IF($B86=H$23,H85+PPMT(H$25/12,$B86,H$23,H$53,-H$27,0)-H$27,0)))</f>
        <v/>
      </c>
      <c r="I86" s="279">
        <f>IF(I$1=0,"",IF($B86&lt;I$23,I85+PPMT(I$25/12,$B86,I$23,I$53,-I$27,0),IF($B86=I$23,I85+PPMT(I$25/12,$B86,I$23,I$53,-I$27,0)-I$27,0)))</f>
        <v/>
      </c>
      <c r="J86" s="279">
        <f>IF(J$1=0,"",IF($B86&lt;J$23,J85+PPMT(J$25/12,$B86,J$23,J$53,-J$27,0),IF($B86=J$23,J85+PPMT(J$25/12,$B86,J$23,J$53,-J$27,0)-J$27,0)))</f>
        <v/>
      </c>
      <c r="K86" s="279">
        <f>IF(K$1=0,"",IF($B86&lt;K$23,K85+PPMT(K$25/12,$B86,K$23,K$53,-K$27,0),IF($B86=K$23,K85+PPMT(K$25/12,$B86,K$23,K$53,-K$27,0)-K$27,0)))</f>
        <v/>
      </c>
      <c r="L86" s="279">
        <f>IF(L$1=0,"",IF($B86&lt;L$23,L85+PPMT(L$25/12,$B86,L$23,L$53,-L$27,0),IF($B86=L$23,L85+PPMT(L$25/12,$B86,L$23,L$53,-L$27,0)-L$27,0)))</f>
        <v/>
      </c>
      <c r="M86" s="279">
        <f>IF(M$1=0,"",IF($B86&lt;M$23,M85+PPMT(M$25/12,$B86,M$23,M$53,-M$27,0),IF($B86=M$23,M85+PPMT(M$25/12,$B86,M$23,M$53,-M$27,0)-M$27,0)))</f>
        <v/>
      </c>
      <c r="N86" s="280" t="n"/>
      <c r="O86" s="281" t="n"/>
      <c r="R86" s="1" t="n">
        <v>319.8384</v>
      </c>
    </row>
    <row r="87" hidden="1" outlineLevel="1">
      <c r="B87" s="2">
        <f>B86+1</f>
        <v/>
      </c>
      <c r="D87" s="279">
        <f>IF(B87&lt;$D$24,(+'CALCULETTE (2)'!T666/'CALCULETTE (2)'!$B$612),0)</f>
        <v/>
      </c>
      <c r="E87" s="279">
        <f>IF(E$1=0,"",IF($B87&lt;E$23,E86+PPMT(E$25/12,$B87,E$23,E$53,-E$27,0),IF($B87=E$23,E86+PPMT(E$25/12,$B87,E$23,E$53,-E$27,0)-E$27,0)))</f>
        <v/>
      </c>
      <c r="F87" s="279">
        <f>IF(F$1=0,"",IF($B87&lt;F$23,F86+PPMT(F$25/12,$B87,F$23,F$53,-F$27,0),IF($B87=F$23,F86+PPMT(F$25/12,$B87,F$23,F$53,-F$27,0)-F$27,0)))</f>
        <v/>
      </c>
      <c r="G87" s="279">
        <f>IF(G$1=0,"",IF($B87&lt;G$23,G86+PPMT(G$25/12,$B87,G$23,G$53,-G$27,0),IF($B87=G$23,G86+PPMT(G$25/12,$B87,G$23,G$53,-G$27,0)-G$27,0)))</f>
        <v/>
      </c>
      <c r="H87" s="279">
        <f>IF(H$1=0,"",IF($B87&lt;H$23,H86+PPMT(H$25/12,$B87,H$23,H$53,-H$27,0),IF($B87=H$23,H86+PPMT(H$25/12,$B87,H$23,H$53,-H$27,0)-H$27,0)))</f>
        <v/>
      </c>
      <c r="I87" s="279">
        <f>IF(I$1=0,"",IF($B87&lt;I$23,I86+PPMT(I$25/12,$B87,I$23,I$53,-I$27,0),IF($B87=I$23,I86+PPMT(I$25/12,$B87,I$23,I$53,-I$27,0)-I$27,0)))</f>
        <v/>
      </c>
      <c r="J87" s="279">
        <f>IF(J$1=0,"",IF($B87&lt;J$23,J86+PPMT(J$25/12,$B87,J$23,J$53,-J$27,0),IF($B87=J$23,J86+PPMT(J$25/12,$B87,J$23,J$53,-J$27,0)-J$27,0)))</f>
        <v/>
      </c>
      <c r="K87" s="279">
        <f>IF(K$1=0,"",IF($B87&lt;K$23,K86+PPMT(K$25/12,$B87,K$23,K$53,-K$27,0),IF($B87=K$23,K86+PPMT(K$25/12,$B87,K$23,K$53,-K$27,0)-K$27,0)))</f>
        <v/>
      </c>
      <c r="L87" s="279">
        <f>IF(L$1=0,"",IF($B87&lt;L$23,L86+PPMT(L$25/12,$B87,L$23,L$53,-L$27,0),IF($B87=L$23,L86+PPMT(L$25/12,$B87,L$23,L$53,-L$27,0)-L$27,0)))</f>
        <v/>
      </c>
      <c r="M87" s="279">
        <f>IF(M$1=0,"",IF($B87&lt;M$23,M86+PPMT(M$25/12,$B87,M$23,M$53,-M$27,0),IF($B87=M$23,M86+PPMT(M$25/12,$B87,M$23,M$53,-M$27,0)-M$27,0)))</f>
        <v/>
      </c>
      <c r="N87" s="280" t="n"/>
      <c r="O87" s="281" t="n"/>
    </row>
    <row r="88" hidden="1" outlineLevel="1">
      <c r="B88" s="2">
        <f>B87+1</f>
        <v/>
      </c>
      <c r="D88" s="279">
        <f>IF(B88&lt;$D$24,(+'CALCULETTE (2)'!T667/'CALCULETTE (2)'!$B$612),0)</f>
        <v/>
      </c>
      <c r="E88" s="279">
        <f>IF(E$1=0,"",IF($B88&lt;E$23,E87+PPMT(E$25/12,$B88,E$23,E$53,-E$27,0),IF($B88=E$23,E87+PPMT(E$25/12,$B88,E$23,E$53,-E$27,0)-E$27,0)))</f>
        <v/>
      </c>
      <c r="F88" s="279">
        <f>IF(F$1=0,"",IF($B88&lt;F$23,F87+PPMT(F$25/12,$B88,F$23,F$53,-F$27,0),IF($B88=F$23,F87+PPMT(F$25/12,$B88,F$23,F$53,-F$27,0)-F$27,0)))</f>
        <v/>
      </c>
      <c r="G88" s="279">
        <f>IF(G$1=0,"",IF($B88&lt;G$23,G87+PPMT(G$25/12,$B88,G$23,G$53,-G$27,0),IF($B88=G$23,G87+PPMT(G$25/12,$B88,G$23,G$53,-G$27,0)-G$27,0)))</f>
        <v/>
      </c>
      <c r="H88" s="279">
        <f>IF(H$1=0,"",IF($B88&lt;H$23,H87+PPMT(H$25/12,$B88,H$23,H$53,-H$27,0),IF($B88=H$23,H87+PPMT(H$25/12,$B88,H$23,H$53,-H$27,0)-H$27,0)))</f>
        <v/>
      </c>
      <c r="I88" s="279">
        <f>IF(I$1=0,"",IF($B88&lt;I$23,I87+PPMT(I$25/12,$B88,I$23,I$53,-I$27,0),IF($B88=I$23,I87+PPMT(I$25/12,$B88,I$23,I$53,-I$27,0)-I$27,0)))</f>
        <v/>
      </c>
      <c r="J88" s="279">
        <f>IF(J$1=0,"",IF($B88&lt;J$23,J87+PPMT(J$25/12,$B88,J$23,J$53,-J$27,0),IF($B88=J$23,J87+PPMT(J$25/12,$B88,J$23,J$53,-J$27,0)-J$27,0)))</f>
        <v/>
      </c>
      <c r="K88" s="279">
        <f>IF(K$1=0,"",IF($B88&lt;K$23,K87+PPMT(K$25/12,$B88,K$23,K$53,-K$27,0),IF($B88=K$23,K87+PPMT(K$25/12,$B88,K$23,K$53,-K$27,0)-K$27,0)))</f>
        <v/>
      </c>
      <c r="L88" s="279">
        <f>IF(L$1=0,"",IF($B88&lt;L$23,L87+PPMT(L$25/12,$B88,L$23,L$53,-L$27,0),IF($B88=L$23,L87+PPMT(L$25/12,$B88,L$23,L$53,-L$27,0)-L$27,0)))</f>
        <v/>
      </c>
      <c r="M88" s="279">
        <f>IF(M$1=0,"",IF($B88&lt;M$23,M87+PPMT(M$25/12,$B88,M$23,M$53,-M$27,0),IF($B88=M$23,M87+PPMT(M$25/12,$B88,M$23,M$53,-M$27,0)-M$27,0)))</f>
        <v/>
      </c>
      <c r="N88" s="280" t="n"/>
      <c r="O88" s="281" t="n"/>
    </row>
    <row r="89" hidden="1" outlineLevel="1">
      <c r="B89" s="2">
        <f>B88+1</f>
        <v/>
      </c>
      <c r="D89" s="279">
        <f>IF(B89&lt;$D$24,(+'CALCULETTE (2)'!T668/'CALCULETTE (2)'!$B$612),0)</f>
        <v/>
      </c>
      <c r="E89" s="279">
        <f>IF(E$1=0,"",IF($B89&lt;E$23,E88+PPMT(E$25/12,$B89,E$23,E$53,-E$27,0),IF($B89=E$23,E88+PPMT(E$25/12,$B89,E$23,E$53,-E$27,0)-E$27,0)))</f>
        <v/>
      </c>
      <c r="F89" s="279">
        <f>IF(F$1=0,"",IF($B89&lt;F$23,F88+PPMT(F$25/12,$B89,F$23,F$53,-F$27,0),IF($B89=F$23,F88+PPMT(F$25/12,$B89,F$23,F$53,-F$27,0)-F$27,0)))</f>
        <v/>
      </c>
      <c r="G89" s="279">
        <f>IF(G$1=0,"",IF($B89&lt;G$23,G88+PPMT(G$25/12,$B89,G$23,G$53,-G$27,0),IF($B89=G$23,G88+PPMT(G$25/12,$B89,G$23,G$53,-G$27,0)-G$27,0)))</f>
        <v/>
      </c>
      <c r="H89" s="279">
        <f>IF(H$1=0,"",IF($B89&lt;H$23,H88+PPMT(H$25/12,$B89,H$23,H$53,-H$27,0),IF($B89=H$23,H88+PPMT(H$25/12,$B89,H$23,H$53,-H$27,0)-H$27,0)))</f>
        <v/>
      </c>
      <c r="I89" s="279">
        <f>IF(I$1=0,"",IF($B89&lt;I$23,I88+PPMT(I$25/12,$B89,I$23,I$53,-I$27,0),IF($B89=I$23,I88+PPMT(I$25/12,$B89,I$23,I$53,-I$27,0)-I$27,0)))</f>
        <v/>
      </c>
      <c r="J89" s="279">
        <f>IF(J$1=0,"",IF($B89&lt;J$23,J88+PPMT(J$25/12,$B89,J$23,J$53,-J$27,0),IF($B89=J$23,J88+PPMT(J$25/12,$B89,J$23,J$53,-J$27,0)-J$27,0)))</f>
        <v/>
      </c>
      <c r="K89" s="279">
        <f>IF(K$1=0,"",IF($B89&lt;K$23,K88+PPMT(K$25/12,$B89,K$23,K$53,-K$27,0),IF($B89=K$23,K88+PPMT(K$25/12,$B89,K$23,K$53,-K$27,0)-K$27,0)))</f>
        <v/>
      </c>
      <c r="L89" s="279">
        <f>IF(L$1=0,"",IF($B89&lt;L$23,L88+PPMT(L$25/12,$B89,L$23,L$53,-L$27,0),IF($B89=L$23,L88+PPMT(L$25/12,$B89,L$23,L$53,-L$27,0)-L$27,0)))</f>
        <v/>
      </c>
      <c r="M89" s="279">
        <f>IF(M$1=0,"",IF($B89&lt;M$23,M88+PPMT(M$25/12,$B89,M$23,M$53,-M$27,0),IF($B89=M$23,M88+PPMT(M$25/12,$B89,M$23,M$53,-M$27,0)-M$27,0)))</f>
        <v/>
      </c>
      <c r="N89" s="280" t="n"/>
      <c r="O89" s="281" t="n"/>
    </row>
    <row r="90" hidden="1" outlineLevel="1">
      <c r="B90" s="2">
        <f>B89+1</f>
        <v/>
      </c>
      <c r="D90" s="279">
        <f>IF(B90&lt;$D$24,(+'CALCULETTE (2)'!T669/'CALCULETTE (2)'!$B$612),0)</f>
        <v/>
      </c>
      <c r="E90" s="279">
        <f>IF(E$1=0,"",IF($B90&lt;E$23,E89+PPMT(E$25/12,$B90,E$23,E$53,-E$27,0),IF($B90=E$23,E89+PPMT(E$25/12,$B90,E$23,E$53,-E$27,0)-E$27,0)))</f>
        <v/>
      </c>
      <c r="F90" s="279">
        <f>IF(F$1=0,"",IF($B90&lt;F$23,F89+PPMT(F$25/12,$B90,F$23,F$53,-F$27,0),IF($B90=F$23,F89+PPMT(F$25/12,$B90,F$23,F$53,-F$27,0)-F$27,0)))</f>
        <v/>
      </c>
      <c r="G90" s="279">
        <f>IF(G$1=0,"",IF($B90&lt;G$23,G89+PPMT(G$25/12,$B90,G$23,G$53,-G$27,0),IF($B90=G$23,G89+PPMT(G$25/12,$B90,G$23,G$53,-G$27,0)-G$27,0)))</f>
        <v/>
      </c>
      <c r="H90" s="279">
        <f>IF(H$1=0,"",IF($B90&lt;H$23,H89+PPMT(H$25/12,$B90,H$23,H$53,-H$27,0),IF($B90=H$23,H89+PPMT(H$25/12,$B90,H$23,H$53,-H$27,0)-H$27,0)))</f>
        <v/>
      </c>
      <c r="I90" s="279">
        <f>IF(I$1=0,"",IF($B90&lt;I$23,I89+PPMT(I$25/12,$B90,I$23,I$53,-I$27,0),IF($B90=I$23,I89+PPMT(I$25/12,$B90,I$23,I$53,-I$27,0)-I$27,0)))</f>
        <v/>
      </c>
      <c r="J90" s="279">
        <f>IF(J$1=0,"",IF($B90&lt;J$23,J89+PPMT(J$25/12,$B90,J$23,J$53,-J$27,0),IF($B90=J$23,J89+PPMT(J$25/12,$B90,J$23,J$53,-J$27,0)-J$27,0)))</f>
        <v/>
      </c>
      <c r="K90" s="279">
        <f>IF(K$1=0,"",IF($B90&lt;K$23,K89+PPMT(K$25/12,$B90,K$23,K$53,-K$27,0),IF($B90=K$23,K89+PPMT(K$25/12,$B90,K$23,K$53,-K$27,0)-K$27,0)))</f>
        <v/>
      </c>
      <c r="L90" s="279">
        <f>IF(L$1=0,"",IF($B90&lt;L$23,L89+PPMT(L$25/12,$B90,L$23,L$53,-L$27,0),IF($B90=L$23,L89+PPMT(L$25/12,$B90,L$23,L$53,-L$27,0)-L$27,0)))</f>
        <v/>
      </c>
      <c r="M90" s="279">
        <f>IF(M$1=0,"",IF($B90&lt;M$23,M89+PPMT(M$25/12,$B90,M$23,M$53,-M$27,0),IF($B90=M$23,M89+PPMT(M$25/12,$B90,M$23,M$53,-M$27,0)-M$27,0)))</f>
        <v/>
      </c>
      <c r="N90" s="280" t="n"/>
      <c r="O90" s="281" t="n"/>
    </row>
    <row r="91" hidden="1" outlineLevel="1">
      <c r="B91" s="2">
        <f>B90+1</f>
        <v/>
      </c>
      <c r="D91" s="279">
        <f>IF(B91&lt;$D$24,(+'CALCULETTE (2)'!T670/'CALCULETTE (2)'!$B$612),0)</f>
        <v/>
      </c>
      <c r="E91" s="279">
        <f>IF(E$1=0,"",IF($B91&lt;E$23,E90+PPMT(E$25/12,$B91,E$23,E$53,-E$27,0),IF($B91=E$23,E90+PPMT(E$25/12,$B91,E$23,E$53,-E$27,0)-E$27,0)))</f>
        <v/>
      </c>
      <c r="F91" s="279">
        <f>IF(F$1=0,"",IF($B91&lt;F$23,F90+PPMT(F$25/12,$B91,F$23,F$53,-F$27,0),IF($B91=F$23,F90+PPMT(F$25/12,$B91,F$23,F$53,-F$27,0)-F$27,0)))</f>
        <v/>
      </c>
      <c r="G91" s="279">
        <f>IF(G$1=0,"",IF($B91&lt;G$23,G90+PPMT(G$25/12,$B91,G$23,G$53,-G$27,0),IF($B91=G$23,G90+PPMT(G$25/12,$B91,G$23,G$53,-G$27,0)-G$27,0)))</f>
        <v/>
      </c>
      <c r="H91" s="279">
        <f>IF(H$1=0,"",IF($B91&lt;H$23,H90+PPMT(H$25/12,$B91,H$23,H$53,-H$27,0),IF($B91=H$23,H90+PPMT(H$25/12,$B91,H$23,H$53,-H$27,0)-H$27,0)))</f>
        <v/>
      </c>
      <c r="I91" s="279">
        <f>IF(I$1=0,"",IF($B91&lt;I$23,I90+PPMT(I$25/12,$B91,I$23,I$53,-I$27,0),IF($B91=I$23,I90+PPMT(I$25/12,$B91,I$23,I$53,-I$27,0)-I$27,0)))</f>
        <v/>
      </c>
      <c r="J91" s="279">
        <f>IF(J$1=0,"",IF($B91&lt;J$23,J90+PPMT(J$25/12,$B91,J$23,J$53,-J$27,0),IF($B91=J$23,J90+PPMT(J$25/12,$B91,J$23,J$53,-J$27,0)-J$27,0)))</f>
        <v/>
      </c>
      <c r="K91" s="279">
        <f>IF(K$1=0,"",IF($B91&lt;K$23,K90+PPMT(K$25/12,$B91,K$23,K$53,-K$27,0),IF($B91=K$23,K90+PPMT(K$25/12,$B91,K$23,K$53,-K$27,0)-K$27,0)))</f>
        <v/>
      </c>
      <c r="L91" s="279">
        <f>IF(L$1=0,"",IF($B91&lt;L$23,L90+PPMT(L$25/12,$B91,L$23,L$53,-L$27,0),IF($B91=L$23,L90+PPMT(L$25/12,$B91,L$23,L$53,-L$27,0)-L$27,0)))</f>
        <v/>
      </c>
      <c r="M91" s="279">
        <f>IF(M$1=0,"",IF($B91&lt;M$23,M90+PPMT(M$25/12,$B91,M$23,M$53,-M$27,0),IF($B91=M$23,M90+PPMT(M$25/12,$B91,M$23,M$53,-M$27,0)-M$27,0)))</f>
        <v/>
      </c>
      <c r="N91" s="280" t="n"/>
      <c r="O91" s="281" t="n"/>
    </row>
    <row r="92" hidden="1" outlineLevel="1">
      <c r="B92" s="2">
        <f>B91+1</f>
        <v/>
      </c>
      <c r="D92" s="279">
        <f>IF(B92&lt;$D$24,(+'CALCULETTE (2)'!T671/'CALCULETTE (2)'!$B$612),0)</f>
        <v/>
      </c>
      <c r="E92" s="279">
        <f>IF(E$1=0,"",IF($B92&lt;E$23,E91+PPMT(E$25/12,$B92,E$23,E$53,-E$27,0),IF($B92=E$23,E91+PPMT(E$25/12,$B92,E$23,E$53,-E$27,0)-E$27,0)))</f>
        <v/>
      </c>
      <c r="F92" s="279">
        <f>IF(F$1=0,"",IF($B92&lt;F$23,F91+PPMT(F$25/12,$B92,F$23,F$53,-F$27,0),IF($B92=F$23,F91+PPMT(F$25/12,$B92,F$23,F$53,-F$27,0)-F$27,0)))</f>
        <v/>
      </c>
      <c r="G92" s="279">
        <f>IF(G$1=0,"",IF($B92&lt;G$23,G91+PPMT(G$25/12,$B92,G$23,G$53,-G$27,0),IF($B92=G$23,G91+PPMT(G$25/12,$B92,G$23,G$53,-G$27,0)-G$27,0)))</f>
        <v/>
      </c>
      <c r="H92" s="279">
        <f>IF(H$1=0,"",IF($B92&lt;H$23,H91+PPMT(H$25/12,$B92,H$23,H$53,-H$27,0),IF($B92=H$23,H91+PPMT(H$25/12,$B92,H$23,H$53,-H$27,0)-H$27,0)))</f>
        <v/>
      </c>
      <c r="I92" s="279">
        <f>IF(I$1=0,"",IF($B92&lt;I$23,I91+PPMT(I$25/12,$B92,I$23,I$53,-I$27,0),IF($B92=I$23,I91+PPMT(I$25/12,$B92,I$23,I$53,-I$27,0)-I$27,0)))</f>
        <v/>
      </c>
      <c r="J92" s="279">
        <f>IF(J$1=0,"",IF($B92&lt;J$23,J91+PPMT(J$25/12,$B92,J$23,J$53,-J$27,0),IF($B92=J$23,J91+PPMT(J$25/12,$B92,J$23,J$53,-J$27,0)-J$27,0)))</f>
        <v/>
      </c>
      <c r="K92" s="279">
        <f>IF(K$1=0,"",IF($B92&lt;K$23,K91+PPMT(K$25/12,$B92,K$23,K$53,-K$27,0),IF($B92=K$23,K91+PPMT(K$25/12,$B92,K$23,K$53,-K$27,0)-K$27,0)))</f>
        <v/>
      </c>
      <c r="L92" s="279">
        <f>IF(L$1=0,"",IF($B92&lt;L$23,L91+PPMT(L$25/12,$B92,L$23,L$53,-L$27,0),IF($B92=L$23,L91+PPMT(L$25/12,$B92,L$23,L$53,-L$27,0)-L$27,0)))</f>
        <v/>
      </c>
      <c r="M92" s="279">
        <f>IF(M$1=0,"",IF($B92&lt;M$23,M91+PPMT(M$25/12,$B92,M$23,M$53,-M$27,0),IF($B92=M$23,M91+PPMT(M$25/12,$B92,M$23,M$53,-M$27,0)-M$27,0)))</f>
        <v/>
      </c>
      <c r="N92" s="280" t="n"/>
      <c r="O92" s="281" t="n"/>
    </row>
    <row r="93" hidden="1" outlineLevel="1">
      <c r="B93" s="2">
        <f>B92+1</f>
        <v/>
      </c>
      <c r="D93" s="279">
        <f>IF(B93&lt;$D$24,(+'CALCULETTE (2)'!T672/'CALCULETTE (2)'!$B$612),0)</f>
        <v/>
      </c>
      <c r="E93" s="279">
        <f>IF(E$1=0,"",IF($B93&lt;E$23,E92+PPMT(E$25/12,$B93,E$23,E$53,-E$27,0),IF($B93=E$23,E92+PPMT(E$25/12,$B93,E$23,E$53,-E$27,0)-E$27,0)))</f>
        <v/>
      </c>
      <c r="F93" s="279">
        <f>IF(F$1=0,"",IF($B93&lt;F$23,F92+PPMT(F$25/12,$B93,F$23,F$53,-F$27,0),IF($B93=F$23,F92+PPMT(F$25/12,$B93,F$23,F$53,-F$27,0)-F$27,0)))</f>
        <v/>
      </c>
      <c r="G93" s="279">
        <f>IF(G$1=0,"",IF($B93&lt;G$23,G92+PPMT(G$25/12,$B93,G$23,G$53,-G$27,0),IF($B93=G$23,G92+PPMT(G$25/12,$B93,G$23,G$53,-G$27,0)-G$27,0)))</f>
        <v/>
      </c>
      <c r="H93" s="279">
        <f>IF(H$1=0,"",IF($B93&lt;H$23,H92+PPMT(H$25/12,$B93,H$23,H$53,-H$27,0),IF($B93=H$23,H92+PPMT(H$25/12,$B93,H$23,H$53,-H$27,0)-H$27,0)))</f>
        <v/>
      </c>
      <c r="I93" s="279">
        <f>IF(I$1=0,"",IF($B93&lt;I$23,I92+PPMT(I$25/12,$B93,I$23,I$53,-I$27,0),IF($B93=I$23,I92+PPMT(I$25/12,$B93,I$23,I$53,-I$27,0)-I$27,0)))</f>
        <v/>
      </c>
      <c r="J93" s="279">
        <f>IF(J$1=0,"",IF($B93&lt;J$23,J92+PPMT(J$25/12,$B93,J$23,J$53,-J$27,0),IF($B93=J$23,J92+PPMT(J$25/12,$B93,J$23,J$53,-J$27,0)-J$27,0)))</f>
        <v/>
      </c>
      <c r="K93" s="279">
        <f>IF(K$1=0,"",IF($B93&lt;K$23,K92+PPMT(K$25/12,$B93,K$23,K$53,-K$27,0),IF($B93=K$23,K92+PPMT(K$25/12,$B93,K$23,K$53,-K$27,0)-K$27,0)))</f>
        <v/>
      </c>
      <c r="L93" s="279">
        <f>IF(L$1=0,"",IF($B93&lt;L$23,L92+PPMT(L$25/12,$B93,L$23,L$53,-L$27,0),IF($B93=L$23,L92+PPMT(L$25/12,$B93,L$23,L$53,-L$27,0)-L$27,0)))</f>
        <v/>
      </c>
      <c r="M93" s="279">
        <f>IF(M$1=0,"",IF($B93&lt;M$23,M92+PPMT(M$25/12,$B93,M$23,M$53,-M$27,0),IF($B93=M$23,M92+PPMT(M$25/12,$B93,M$23,M$53,-M$27,0)-M$27,0)))</f>
        <v/>
      </c>
      <c r="N93" s="280" t="n"/>
      <c r="O93" s="281" t="n"/>
    </row>
    <row r="94" hidden="1" outlineLevel="1">
      <c r="B94" s="2">
        <f>B93+1</f>
        <v/>
      </c>
      <c r="D94" s="279">
        <f>IF(B94&lt;$D$24,(+'CALCULETTE (2)'!T673/'CALCULETTE (2)'!$B$612),0)</f>
        <v/>
      </c>
      <c r="E94" s="279">
        <f>IF(E$1=0,"",IF($B94&lt;E$23,E93+PPMT(E$25/12,$B94,E$23,E$53,-E$27,0),IF($B94=E$23,E93+PPMT(E$25/12,$B94,E$23,E$53,-E$27,0)-E$27,0)))</f>
        <v/>
      </c>
      <c r="F94" s="279">
        <f>IF(F$1=0,"",IF($B94&lt;F$23,F93+PPMT(F$25/12,$B94,F$23,F$53,-F$27,0),IF($B94=F$23,F93+PPMT(F$25/12,$B94,F$23,F$53,-F$27,0)-F$27,0)))</f>
        <v/>
      </c>
      <c r="G94" s="279">
        <f>IF(G$1=0,"",IF($B94&lt;G$23,G93+PPMT(G$25/12,$B94,G$23,G$53,-G$27,0),IF($B94=G$23,G93+PPMT(G$25/12,$B94,G$23,G$53,-G$27,0)-G$27,0)))</f>
        <v/>
      </c>
      <c r="H94" s="279">
        <f>IF(H$1=0,"",IF($B94&lt;H$23,H93+PPMT(H$25/12,$B94,H$23,H$53,-H$27,0),IF($B94=H$23,H93+PPMT(H$25/12,$B94,H$23,H$53,-H$27,0)-H$27,0)))</f>
        <v/>
      </c>
      <c r="I94" s="279">
        <f>IF(I$1=0,"",IF($B94&lt;I$23,I93+PPMT(I$25/12,$B94,I$23,I$53,-I$27,0),IF($B94=I$23,I93+PPMT(I$25/12,$B94,I$23,I$53,-I$27,0)-I$27,0)))</f>
        <v/>
      </c>
      <c r="J94" s="279">
        <f>IF(J$1=0,"",IF($B94&lt;J$23,J93+PPMT(J$25/12,$B94,J$23,J$53,-J$27,0),IF($B94=J$23,J93+PPMT(J$25/12,$B94,J$23,J$53,-J$27,0)-J$27,0)))</f>
        <v/>
      </c>
      <c r="K94" s="279">
        <f>IF(K$1=0,"",IF($B94&lt;K$23,K93+PPMT(K$25/12,$B94,K$23,K$53,-K$27,0),IF($B94=K$23,K93+PPMT(K$25/12,$B94,K$23,K$53,-K$27,0)-K$27,0)))</f>
        <v/>
      </c>
      <c r="L94" s="279">
        <f>IF(L$1=0,"",IF($B94&lt;L$23,L93+PPMT(L$25/12,$B94,L$23,L$53,-L$27,0),IF($B94=L$23,L93+PPMT(L$25/12,$B94,L$23,L$53,-L$27,0)-L$27,0)))</f>
        <v/>
      </c>
      <c r="M94" s="279">
        <f>IF(M$1=0,"",IF($B94&lt;M$23,M93+PPMT(M$25/12,$B94,M$23,M$53,-M$27,0),IF($B94=M$23,M93+PPMT(M$25/12,$B94,M$23,M$53,-M$27,0)-M$27,0)))</f>
        <v/>
      </c>
      <c r="N94" s="280" t="n"/>
      <c r="O94" s="281" t="n"/>
    </row>
    <row r="95" hidden="1" outlineLevel="1">
      <c r="B95" s="2">
        <f>B94+1</f>
        <v/>
      </c>
      <c r="D95" s="279">
        <f>IF(B95&lt;$D$24,(+'CALCULETTE (2)'!T674/'CALCULETTE (2)'!$B$612),0)</f>
        <v/>
      </c>
      <c r="E95" s="279">
        <f>IF(E$1=0,"",IF($B95&lt;E$23,E94+PPMT(E$25/12,$B95,E$23,E$53,-E$27,0),IF($B95=E$23,E94+PPMT(E$25/12,$B95,E$23,E$53,-E$27,0)-E$27,0)))</f>
        <v/>
      </c>
      <c r="F95" s="279">
        <f>IF(F$1=0,"",IF($B95&lt;F$23,F94+PPMT(F$25/12,$B95,F$23,F$53,-F$27,0),IF($B95=F$23,F94+PPMT(F$25/12,$B95,F$23,F$53,-F$27,0)-F$27,0)))</f>
        <v/>
      </c>
      <c r="G95" s="279">
        <f>IF(G$1=0,"",IF($B95&lt;G$23,G94+PPMT(G$25/12,$B95,G$23,G$53,-G$27,0),IF($B95=G$23,G94+PPMT(G$25/12,$B95,G$23,G$53,-G$27,0)-G$27,0)))</f>
        <v/>
      </c>
      <c r="H95" s="279">
        <f>IF(H$1=0,"",IF($B95&lt;H$23,H94+PPMT(H$25/12,$B95,H$23,H$53,-H$27,0),IF($B95=H$23,H94+PPMT(H$25/12,$B95,H$23,H$53,-H$27,0)-H$27,0)))</f>
        <v/>
      </c>
      <c r="I95" s="279">
        <f>IF(I$1=0,"",IF($B95&lt;I$23,I94+PPMT(I$25/12,$B95,I$23,I$53,-I$27,0),IF($B95=I$23,I94+PPMT(I$25/12,$B95,I$23,I$53,-I$27,0)-I$27,0)))</f>
        <v/>
      </c>
      <c r="J95" s="279">
        <f>IF(J$1=0,"",IF($B95&lt;J$23,J94+PPMT(J$25/12,$B95,J$23,J$53,-J$27,0),IF($B95=J$23,J94+PPMT(J$25/12,$B95,J$23,J$53,-J$27,0)-J$27,0)))</f>
        <v/>
      </c>
      <c r="K95" s="279">
        <f>IF(K$1=0,"",IF($B95&lt;K$23,K94+PPMT(K$25/12,$B95,K$23,K$53,-K$27,0),IF($B95=K$23,K94+PPMT(K$25/12,$B95,K$23,K$53,-K$27,0)-K$27,0)))</f>
        <v/>
      </c>
      <c r="L95" s="279">
        <f>IF(L$1=0,"",IF($B95&lt;L$23,L94+PPMT(L$25/12,$B95,L$23,L$53,-L$27,0),IF($B95=L$23,L94+PPMT(L$25/12,$B95,L$23,L$53,-L$27,0)-L$27,0)))</f>
        <v/>
      </c>
      <c r="M95" s="279">
        <f>IF(M$1=0,"",IF($B95&lt;M$23,M94+PPMT(M$25/12,$B95,M$23,M$53,-M$27,0),IF($B95=M$23,M94+PPMT(M$25/12,$B95,M$23,M$53,-M$27,0)-M$27,0)))</f>
        <v/>
      </c>
      <c r="N95" s="280" t="n"/>
      <c r="O95" s="281" t="n"/>
    </row>
    <row r="96" hidden="1" outlineLevel="1">
      <c r="B96" s="2">
        <f>B95+1</f>
        <v/>
      </c>
      <c r="D96" s="279">
        <f>IF(B96&lt;$D$24,(+'CALCULETTE (2)'!T675/'CALCULETTE (2)'!$B$612),0)</f>
        <v/>
      </c>
      <c r="E96" s="279">
        <f>IF(E$1=0,"",IF($B96&lt;E$23,E95+PPMT(E$25/12,$B96,E$23,E$53,-E$27,0),IF($B96=E$23,E95+PPMT(E$25/12,$B96,E$23,E$53,-E$27,0)-E$27,0)))</f>
        <v/>
      </c>
      <c r="F96" s="279">
        <f>IF(F$1=0,"",IF($B96&lt;F$23,F95+PPMT(F$25/12,$B96,F$23,F$53,-F$27,0),IF($B96=F$23,F95+PPMT(F$25/12,$B96,F$23,F$53,-F$27,0)-F$27,0)))</f>
        <v/>
      </c>
      <c r="G96" s="279">
        <f>IF(G$1=0,"",IF($B96&lt;G$23,G95+PPMT(G$25/12,$B96,G$23,G$53,-G$27,0),IF($B96=G$23,G95+PPMT(G$25/12,$B96,G$23,G$53,-G$27,0)-G$27,0)))</f>
        <v/>
      </c>
      <c r="H96" s="279">
        <f>IF(H$1=0,"",IF($B96&lt;H$23,H95+PPMT(H$25/12,$B96,H$23,H$53,-H$27,0),IF($B96=H$23,H95+PPMT(H$25/12,$B96,H$23,H$53,-H$27,0)-H$27,0)))</f>
        <v/>
      </c>
      <c r="I96" s="279">
        <f>IF(I$1=0,"",IF($B96&lt;I$23,I95+PPMT(I$25/12,$B96,I$23,I$53,-I$27,0),IF($B96=I$23,I95+PPMT(I$25/12,$B96,I$23,I$53,-I$27,0)-I$27,0)))</f>
        <v/>
      </c>
      <c r="J96" s="279">
        <f>IF(J$1=0,"",IF($B96&lt;J$23,J95+PPMT(J$25/12,$B96,J$23,J$53,-J$27,0),IF($B96=J$23,J95+PPMT(J$25/12,$B96,J$23,J$53,-J$27,0)-J$27,0)))</f>
        <v/>
      </c>
      <c r="K96" s="279">
        <f>IF(K$1=0,"",IF($B96&lt;K$23,K95+PPMT(K$25/12,$B96,K$23,K$53,-K$27,0),IF($B96=K$23,K95+PPMT(K$25/12,$B96,K$23,K$53,-K$27,0)-K$27,0)))</f>
        <v/>
      </c>
      <c r="L96" s="279">
        <f>IF(L$1=0,"",IF($B96&lt;L$23,L95+PPMT(L$25/12,$B96,L$23,L$53,-L$27,0),IF($B96=L$23,L95+PPMT(L$25/12,$B96,L$23,L$53,-L$27,0)-L$27,0)))</f>
        <v/>
      </c>
      <c r="M96" s="279">
        <f>IF(M$1=0,"",IF($B96&lt;M$23,M95+PPMT(M$25/12,$B96,M$23,M$53,-M$27,0),IF($B96=M$23,M95+PPMT(M$25/12,$B96,M$23,M$53,-M$27,0)-M$27,0)))</f>
        <v/>
      </c>
      <c r="N96" s="280" t="n"/>
      <c r="O96" s="281" t="n"/>
    </row>
    <row r="97" hidden="1" outlineLevel="1">
      <c r="B97" s="2">
        <f>B96+1</f>
        <v/>
      </c>
      <c r="D97" s="279">
        <f>IF(B97&lt;$D$24,(+'CALCULETTE (2)'!T676/'CALCULETTE (2)'!$B$612),0)</f>
        <v/>
      </c>
      <c r="E97" s="279">
        <f>IF(E$1=0,"",IF($B97&lt;E$23,E96+PPMT(E$25/12,$B97,E$23,E$53,-E$27,0),IF($B97=E$23,E96+PPMT(E$25/12,$B97,E$23,E$53,-E$27,0)-E$27,0)))</f>
        <v/>
      </c>
      <c r="F97" s="279">
        <f>IF(F$1=0,"",IF($B97&lt;F$23,F96+PPMT(F$25/12,$B97,F$23,F$53,-F$27,0),IF($B97=F$23,F96+PPMT(F$25/12,$B97,F$23,F$53,-F$27,0)-F$27,0)))</f>
        <v/>
      </c>
      <c r="G97" s="279">
        <f>IF(G$1=0,"",IF($B97&lt;G$23,G96+PPMT(G$25/12,$B97,G$23,G$53,-G$27,0),IF($B97=G$23,G96+PPMT(G$25/12,$B97,G$23,G$53,-G$27,0)-G$27,0)))</f>
        <v/>
      </c>
      <c r="H97" s="279">
        <f>IF(H$1=0,"",IF($B97&lt;H$23,H96+PPMT(H$25/12,$B97,H$23,H$53,-H$27,0),IF($B97=H$23,H96+PPMT(H$25/12,$B97,H$23,H$53,-H$27,0)-H$27,0)))</f>
        <v/>
      </c>
      <c r="I97" s="279">
        <f>IF(I$1=0,"",IF($B97&lt;I$23,I96+PPMT(I$25/12,$B97,I$23,I$53,-I$27,0),IF($B97=I$23,I96+PPMT(I$25/12,$B97,I$23,I$53,-I$27,0)-I$27,0)))</f>
        <v/>
      </c>
      <c r="J97" s="279">
        <f>IF(J$1=0,"",IF($B97&lt;J$23,J96+PPMT(J$25/12,$B97,J$23,J$53,-J$27,0),IF($B97=J$23,J96+PPMT(J$25/12,$B97,J$23,J$53,-J$27,0)-J$27,0)))</f>
        <v/>
      </c>
      <c r="K97" s="279">
        <f>IF(K$1=0,"",IF($B97&lt;K$23,K96+PPMT(K$25/12,$B97,K$23,K$53,-K$27,0),IF($B97=K$23,K96+PPMT(K$25/12,$B97,K$23,K$53,-K$27,0)-K$27,0)))</f>
        <v/>
      </c>
      <c r="L97" s="279">
        <f>IF(L$1=0,"",IF($B97&lt;L$23,L96+PPMT(L$25/12,$B97,L$23,L$53,-L$27,0),IF($B97=L$23,L96+PPMT(L$25/12,$B97,L$23,L$53,-L$27,0)-L$27,0)))</f>
        <v/>
      </c>
      <c r="M97" s="279">
        <f>IF(M$1=0,"",IF($B97&lt;M$23,M96+PPMT(M$25/12,$B97,M$23,M$53,-M$27,0),IF($B97=M$23,M96+PPMT(M$25/12,$B97,M$23,M$53,-M$27,0)-M$27,0)))</f>
        <v/>
      </c>
      <c r="N97" s="280" t="n"/>
      <c r="O97" s="281" t="n"/>
    </row>
    <row r="98" hidden="1" outlineLevel="1">
      <c r="B98" s="2">
        <f>B97+1</f>
        <v/>
      </c>
      <c r="D98" s="279">
        <f>IF(B98&lt;$D$24,(+'CALCULETTE (2)'!T677/'CALCULETTE (2)'!$B$612),0)</f>
        <v/>
      </c>
      <c r="E98" s="279">
        <f>IF(E$1=0,"",IF($B98&lt;E$23,E97+PPMT(E$25/12,$B98,E$23,E$53,-E$27,0),IF($B98=E$23,E97+PPMT(E$25/12,$B98,E$23,E$53,-E$27,0)-E$27,0)))</f>
        <v/>
      </c>
      <c r="F98" s="279">
        <f>IF(F$1=0,"",IF($B98&lt;F$23,F97+PPMT(F$25/12,$B98,F$23,F$53,-F$27,0),IF($B98=F$23,F97+PPMT(F$25/12,$B98,F$23,F$53,-F$27,0)-F$27,0)))</f>
        <v/>
      </c>
      <c r="G98" s="279">
        <f>IF(G$1=0,"",IF($B98&lt;G$23,G97+PPMT(G$25/12,$B98,G$23,G$53,-G$27,0),IF($B98=G$23,G97+PPMT(G$25/12,$B98,G$23,G$53,-G$27,0)-G$27,0)))</f>
        <v/>
      </c>
      <c r="H98" s="279">
        <f>IF(H$1=0,"",IF($B98&lt;H$23,H97+PPMT(H$25/12,$B98,H$23,H$53,-H$27,0),IF($B98=H$23,H97+PPMT(H$25/12,$B98,H$23,H$53,-H$27,0)-H$27,0)))</f>
        <v/>
      </c>
      <c r="I98" s="279">
        <f>IF(I$1=0,"",IF($B98&lt;I$23,I97+PPMT(I$25/12,$B98,I$23,I$53,-I$27,0),IF($B98=I$23,I97+PPMT(I$25/12,$B98,I$23,I$53,-I$27,0)-I$27,0)))</f>
        <v/>
      </c>
      <c r="J98" s="279">
        <f>IF(J$1=0,"",IF($B98&lt;J$23,J97+PPMT(J$25/12,$B98,J$23,J$53,-J$27,0),IF($B98=J$23,J97+PPMT(J$25/12,$B98,J$23,J$53,-J$27,0)-J$27,0)))</f>
        <v/>
      </c>
      <c r="K98" s="279">
        <f>IF(K$1=0,"",IF($B98&lt;K$23,K97+PPMT(K$25/12,$B98,K$23,K$53,-K$27,0),IF($B98=K$23,K97+PPMT(K$25/12,$B98,K$23,K$53,-K$27,0)-K$27,0)))</f>
        <v/>
      </c>
      <c r="L98" s="279">
        <f>IF(L$1=0,"",IF($B98&lt;L$23,L97+PPMT(L$25/12,$B98,L$23,L$53,-L$27,0),IF($B98=L$23,L97+PPMT(L$25/12,$B98,L$23,L$53,-L$27,0)-L$27,0)))</f>
        <v/>
      </c>
      <c r="M98" s="279">
        <f>IF(M$1=0,"",IF($B98&lt;M$23,M97+PPMT(M$25/12,$B98,M$23,M$53,-M$27,0),IF($B98=M$23,M97+PPMT(M$25/12,$B98,M$23,M$53,-M$27,0)-M$27,0)))</f>
        <v/>
      </c>
      <c r="N98" s="280" t="n"/>
      <c r="O98" s="281" t="n"/>
    </row>
    <row r="99" hidden="1" outlineLevel="1">
      <c r="B99" s="2">
        <f>B98+1</f>
        <v/>
      </c>
      <c r="D99" s="279">
        <f>IF(B99&lt;$D$24,(+'CALCULETTE (2)'!T678/'CALCULETTE (2)'!$B$612),0)</f>
        <v/>
      </c>
      <c r="E99" s="279">
        <f>IF(E$1=0,"",IF($B99&lt;E$23,E98+PPMT(E$25/12,$B99,E$23,E$53,-E$27,0),IF($B99=E$23,E98+PPMT(E$25/12,$B99,E$23,E$53,-E$27,0)-E$27,0)))</f>
        <v/>
      </c>
      <c r="F99" s="279">
        <f>IF(F$1=0,"",IF($B99&lt;F$23,F98+PPMT(F$25/12,$B99,F$23,F$53,-F$27,0),IF($B99=F$23,F98+PPMT(F$25/12,$B99,F$23,F$53,-F$27,0)-F$27,0)))</f>
        <v/>
      </c>
      <c r="G99" s="279">
        <f>IF(G$1=0,"",IF($B99&lt;G$23,G98+PPMT(G$25/12,$B99,G$23,G$53,-G$27,0),IF($B99=G$23,G98+PPMT(G$25/12,$B99,G$23,G$53,-G$27,0)-G$27,0)))</f>
        <v/>
      </c>
      <c r="H99" s="279">
        <f>IF(H$1=0,"",IF($B99&lt;H$23,H98+PPMT(H$25/12,$B99,H$23,H$53,-H$27,0),IF($B99=H$23,H98+PPMT(H$25/12,$B99,H$23,H$53,-H$27,0)-H$27,0)))</f>
        <v/>
      </c>
      <c r="I99" s="279">
        <f>IF(I$1=0,"",IF($B99&lt;I$23,I98+PPMT(I$25/12,$B99,I$23,I$53,-I$27,0),IF($B99=I$23,I98+PPMT(I$25/12,$B99,I$23,I$53,-I$27,0)-I$27,0)))</f>
        <v/>
      </c>
      <c r="J99" s="279">
        <f>IF(J$1=0,"",IF($B99&lt;J$23,J98+PPMT(J$25/12,$B99,J$23,J$53,-J$27,0),IF($B99=J$23,J98+PPMT(J$25/12,$B99,J$23,J$53,-J$27,0)-J$27,0)))</f>
        <v/>
      </c>
      <c r="K99" s="279">
        <f>IF(K$1=0,"",IF($B99&lt;K$23,K98+PPMT(K$25/12,$B99,K$23,K$53,-K$27,0),IF($B99=K$23,K98+PPMT(K$25/12,$B99,K$23,K$53,-K$27,0)-K$27,0)))</f>
        <v/>
      </c>
      <c r="L99" s="279">
        <f>IF(L$1=0,"",IF($B99&lt;L$23,L98+PPMT(L$25/12,$B99,L$23,L$53,-L$27,0),IF($B99=L$23,L98+PPMT(L$25/12,$B99,L$23,L$53,-L$27,0)-L$27,0)))</f>
        <v/>
      </c>
      <c r="M99" s="279">
        <f>IF(M$1=0,"",IF($B99&lt;M$23,M98+PPMT(M$25/12,$B99,M$23,M$53,-M$27,0),IF($B99=M$23,M98+PPMT(M$25/12,$B99,M$23,M$53,-M$27,0)-M$27,0)))</f>
        <v/>
      </c>
      <c r="N99" s="280" t="n"/>
      <c r="O99" s="281" t="n"/>
    </row>
    <row r="100" hidden="1" outlineLevel="1">
      <c r="B100" s="2">
        <f>B99+1</f>
        <v/>
      </c>
      <c r="D100" s="279">
        <f>IF(B100&lt;$D$24,(+'CALCULETTE (2)'!T679/'CALCULETTE (2)'!$B$612),0)</f>
        <v/>
      </c>
      <c r="E100" s="279">
        <f>IF(E$1=0,"",IF($B100&lt;E$23,E99+PPMT(E$25/12,$B100,E$23,E$53,-E$27,0),IF($B100=E$23,E99+PPMT(E$25/12,$B100,E$23,E$53,-E$27,0)-E$27,0)))</f>
        <v/>
      </c>
      <c r="F100" s="279">
        <f>IF(F$1=0,"",IF($B100&lt;F$23,F99+PPMT(F$25/12,$B100,F$23,F$53,-F$27,0),IF($B100=F$23,F99+PPMT(F$25/12,$B100,F$23,F$53,-F$27,0)-F$27,0)))</f>
        <v/>
      </c>
      <c r="G100" s="279">
        <f>IF(G$1=0,"",IF($B100&lt;G$23,G99+PPMT(G$25/12,$B100,G$23,G$53,-G$27,0),IF($B100=G$23,G99+PPMT(G$25/12,$B100,G$23,G$53,-G$27,0)-G$27,0)))</f>
        <v/>
      </c>
      <c r="H100" s="279">
        <f>IF(H$1=0,"",IF($B100&lt;H$23,H99+PPMT(H$25/12,$B100,H$23,H$53,-H$27,0),IF($B100=H$23,H99+PPMT(H$25/12,$B100,H$23,H$53,-H$27,0)-H$27,0)))</f>
        <v/>
      </c>
      <c r="I100" s="279">
        <f>IF(I$1=0,"",IF($B100&lt;I$23,I99+PPMT(I$25/12,$B100,I$23,I$53,-I$27,0),IF($B100=I$23,I99+PPMT(I$25/12,$B100,I$23,I$53,-I$27,0)-I$27,0)))</f>
        <v/>
      </c>
      <c r="J100" s="279">
        <f>IF(J$1=0,"",IF($B100&lt;J$23,J99+PPMT(J$25/12,$B100,J$23,J$53,-J$27,0),IF($B100=J$23,J99+PPMT(J$25/12,$B100,J$23,J$53,-J$27,0)-J$27,0)))</f>
        <v/>
      </c>
      <c r="K100" s="279">
        <f>IF(K$1=0,"",IF($B100&lt;K$23,K99+PPMT(K$25/12,$B100,K$23,K$53,-K$27,0),IF($B100=K$23,K99+PPMT(K$25/12,$B100,K$23,K$53,-K$27,0)-K$27,0)))</f>
        <v/>
      </c>
      <c r="L100" s="279">
        <f>IF(L$1=0,"",IF($B100&lt;L$23,L99+PPMT(L$25/12,$B100,L$23,L$53,-L$27,0),IF($B100=L$23,L99+PPMT(L$25/12,$B100,L$23,L$53,-L$27,0)-L$27,0)))</f>
        <v/>
      </c>
      <c r="M100" s="279">
        <f>IF(M$1=0,"",IF($B100&lt;M$23,M99+PPMT(M$25/12,$B100,M$23,M$53,-M$27,0),IF($B100=M$23,M99+PPMT(M$25/12,$B100,M$23,M$53,-M$27,0)-M$27,0)))</f>
        <v/>
      </c>
      <c r="N100" s="280" t="n"/>
      <c r="O100" s="281" t="n"/>
    </row>
    <row r="101" hidden="1" outlineLevel="1">
      <c r="B101" s="2">
        <f>B100+1</f>
        <v/>
      </c>
      <c r="D101" s="279">
        <f>IF(B101&lt;$D$24,(+'CALCULETTE (2)'!T680/'CALCULETTE (2)'!$B$612),0)</f>
        <v/>
      </c>
      <c r="E101" s="279">
        <f>IF(E$1=0,"",IF($B101&lt;E$23,E100+PPMT(E$25/12,$B101,E$23,E$53,-E$27,0),IF($B101=E$23,E100+PPMT(E$25/12,$B101,E$23,E$53,-E$27,0)-E$27,0)))</f>
        <v/>
      </c>
      <c r="F101" s="279">
        <f>IF(F$1=0,"",IF($B101&lt;F$23,F100+PPMT(F$25/12,$B101,F$23,F$53,-F$27,0),IF($B101=F$23,F100+PPMT(F$25/12,$B101,F$23,F$53,-F$27,0)-F$27,0)))</f>
        <v/>
      </c>
      <c r="G101" s="279">
        <f>IF(G$1=0,"",IF($B101&lt;G$23,G100+PPMT(G$25/12,$B101,G$23,G$53,-G$27,0),IF($B101=G$23,G100+PPMT(G$25/12,$B101,G$23,G$53,-G$27,0)-G$27,0)))</f>
        <v/>
      </c>
      <c r="H101" s="279">
        <f>IF(H$1=0,"",IF($B101&lt;H$23,H100+PPMT(H$25/12,$B101,H$23,H$53,-H$27,0),IF($B101=H$23,H100+PPMT(H$25/12,$B101,H$23,H$53,-H$27,0)-H$27,0)))</f>
        <v/>
      </c>
      <c r="I101" s="279">
        <f>IF(I$1=0,"",IF($B101&lt;I$23,I100+PPMT(I$25/12,$B101,I$23,I$53,-I$27,0),IF($B101=I$23,I100+PPMT(I$25/12,$B101,I$23,I$53,-I$27,0)-I$27,0)))</f>
        <v/>
      </c>
      <c r="J101" s="279">
        <f>IF(J$1=0,"",IF($B101&lt;J$23,J100+PPMT(J$25/12,$B101,J$23,J$53,-J$27,0),IF($B101=J$23,J100+PPMT(J$25/12,$B101,J$23,J$53,-J$27,0)-J$27,0)))</f>
        <v/>
      </c>
      <c r="K101" s="279">
        <f>IF(K$1=0,"",IF($B101&lt;K$23,K100+PPMT(K$25/12,$B101,K$23,K$53,-K$27,0),IF($B101=K$23,K100+PPMT(K$25/12,$B101,K$23,K$53,-K$27,0)-K$27,0)))</f>
        <v/>
      </c>
      <c r="L101" s="279">
        <f>IF(L$1=0,"",IF($B101&lt;L$23,L100+PPMT(L$25/12,$B101,L$23,L$53,-L$27,0),IF($B101=L$23,L100+PPMT(L$25/12,$B101,L$23,L$53,-L$27,0)-L$27,0)))</f>
        <v/>
      </c>
      <c r="M101" s="279">
        <f>IF(M$1=0,"",IF($B101&lt;M$23,M100+PPMT(M$25/12,$B101,M$23,M$53,-M$27,0),IF($B101=M$23,M100+PPMT(M$25/12,$B101,M$23,M$53,-M$27,0)-M$27,0)))</f>
        <v/>
      </c>
      <c r="N101" s="280" t="n"/>
      <c r="O101" s="281" t="n"/>
    </row>
    <row r="102" hidden="1" outlineLevel="1">
      <c r="B102" s="2">
        <f>B101+1</f>
        <v/>
      </c>
      <c r="D102" s="279">
        <f>IF(B102&lt;$D$24,(+'CALCULETTE (2)'!T681/'CALCULETTE (2)'!$B$612),0)</f>
        <v/>
      </c>
      <c r="E102" s="279">
        <f>IF(E$1=0,"",IF($B102&lt;E$23,E101+PPMT(E$25/12,$B102,E$23,E$53,-E$27,0),IF($B102=E$23,E101+PPMT(E$25/12,$B102,E$23,E$53,-E$27,0)-E$27,0)))</f>
        <v/>
      </c>
      <c r="F102" s="279">
        <f>IF(F$1=0,"",IF($B102&lt;F$23,F101+PPMT(F$25/12,$B102,F$23,F$53,-F$27,0),IF($B102=F$23,F101+PPMT(F$25/12,$B102,F$23,F$53,-F$27,0)-F$27,0)))</f>
        <v/>
      </c>
      <c r="G102" s="279">
        <f>IF(G$1=0,"",IF($B102&lt;G$23,G101+PPMT(G$25/12,$B102,G$23,G$53,-G$27,0),IF($B102=G$23,G101+PPMT(G$25/12,$B102,G$23,G$53,-G$27,0)-G$27,0)))</f>
        <v/>
      </c>
      <c r="H102" s="279">
        <f>IF(H$1=0,"",IF($B102&lt;H$23,H101+PPMT(H$25/12,$B102,H$23,H$53,-H$27,0),IF($B102=H$23,H101+PPMT(H$25/12,$B102,H$23,H$53,-H$27,0)-H$27,0)))</f>
        <v/>
      </c>
      <c r="I102" s="279">
        <f>IF(I$1=0,"",IF($B102&lt;I$23,I101+PPMT(I$25/12,$B102,I$23,I$53,-I$27,0),IF($B102=I$23,I101+PPMT(I$25/12,$B102,I$23,I$53,-I$27,0)-I$27,0)))</f>
        <v/>
      </c>
      <c r="J102" s="279">
        <f>IF(J$1=0,"",IF($B102&lt;J$23,J101+PPMT(J$25/12,$B102,J$23,J$53,-J$27,0),IF($B102=J$23,J101+PPMT(J$25/12,$B102,J$23,J$53,-J$27,0)-J$27,0)))</f>
        <v/>
      </c>
      <c r="K102" s="279">
        <f>IF(K$1=0,"",IF($B102&lt;K$23,K101+PPMT(K$25/12,$B102,K$23,K$53,-K$27,0),IF($B102=K$23,K101+PPMT(K$25/12,$B102,K$23,K$53,-K$27,0)-K$27,0)))</f>
        <v/>
      </c>
      <c r="L102" s="279">
        <f>IF(L$1=0,"",IF($B102&lt;L$23,L101+PPMT(L$25/12,$B102,L$23,L$53,-L$27,0),IF($B102=L$23,L101+PPMT(L$25/12,$B102,L$23,L$53,-L$27,0)-L$27,0)))</f>
        <v/>
      </c>
      <c r="M102" s="279">
        <f>IF(M$1=0,"",IF($B102&lt;M$23,M101+PPMT(M$25/12,$B102,M$23,M$53,-M$27,0),IF($B102=M$23,M101+PPMT(M$25/12,$B102,M$23,M$53,-M$27,0)-M$27,0)))</f>
        <v/>
      </c>
      <c r="N102" s="280" t="n"/>
      <c r="O102" s="281" t="n"/>
    </row>
    <row r="103" hidden="1" outlineLevel="1">
      <c r="B103" s="2">
        <f>B102+1</f>
        <v/>
      </c>
      <c r="D103" s="279">
        <f>IF(B103&lt;$D$24,(+'CALCULETTE (2)'!T682/'CALCULETTE (2)'!$B$612),0)</f>
        <v/>
      </c>
      <c r="E103" s="279">
        <f>IF(E$1=0,"",IF($B103&lt;E$23,E102+PPMT(E$25/12,$B103,E$23,E$53,-E$27,0),IF($B103=E$23,E102+PPMT(E$25/12,$B103,E$23,E$53,-E$27,0)-E$27,0)))</f>
        <v/>
      </c>
      <c r="F103" s="279">
        <f>IF(F$1=0,"",IF($B103&lt;F$23,F102+PPMT(F$25/12,$B103,F$23,F$53,-F$27,0),IF($B103=F$23,F102+PPMT(F$25/12,$B103,F$23,F$53,-F$27,0)-F$27,0)))</f>
        <v/>
      </c>
      <c r="G103" s="279">
        <f>IF(G$1=0,"",IF($B103&lt;G$23,G102+PPMT(G$25/12,$B103,G$23,G$53,-G$27,0),IF($B103=G$23,G102+PPMT(G$25/12,$B103,G$23,G$53,-G$27,0)-G$27,0)))</f>
        <v/>
      </c>
      <c r="H103" s="279">
        <f>IF(H$1=0,"",IF($B103&lt;H$23,H102+PPMT(H$25/12,$B103,H$23,H$53,-H$27,0),IF($B103=H$23,H102+PPMT(H$25/12,$B103,H$23,H$53,-H$27,0)-H$27,0)))</f>
        <v/>
      </c>
      <c r="I103" s="279">
        <f>IF(I$1=0,"",IF($B103&lt;I$23,I102+PPMT(I$25/12,$B103,I$23,I$53,-I$27,0),IF($B103=I$23,I102+PPMT(I$25/12,$B103,I$23,I$53,-I$27,0)-I$27,0)))</f>
        <v/>
      </c>
      <c r="J103" s="279">
        <f>IF(J$1=0,"",IF($B103&lt;J$23,J102+PPMT(J$25/12,$B103,J$23,J$53,-J$27,0),IF($B103=J$23,J102+PPMT(J$25/12,$B103,J$23,J$53,-J$27,0)-J$27,0)))</f>
        <v/>
      </c>
      <c r="K103" s="279">
        <f>IF(K$1=0,"",IF($B103&lt;K$23,K102+PPMT(K$25/12,$B103,K$23,K$53,-K$27,0),IF($B103=K$23,K102+PPMT(K$25/12,$B103,K$23,K$53,-K$27,0)-K$27,0)))</f>
        <v/>
      </c>
      <c r="L103" s="279">
        <f>IF(L$1=0,"",IF($B103&lt;L$23,L102+PPMT(L$25/12,$B103,L$23,L$53,-L$27,0),IF($B103=L$23,L102+PPMT(L$25/12,$B103,L$23,L$53,-L$27,0)-L$27,0)))</f>
        <v/>
      </c>
      <c r="M103" s="279">
        <f>IF(M$1=0,"",IF($B103&lt;M$23,M102+PPMT(M$25/12,$B103,M$23,M$53,-M$27,0),IF($B103=M$23,M102+PPMT(M$25/12,$B103,M$23,M$53,-M$27,0)-M$27,0)))</f>
        <v/>
      </c>
      <c r="N103" s="280" t="n"/>
      <c r="O103" s="281" t="n"/>
    </row>
    <row r="104" hidden="1" outlineLevel="1">
      <c r="B104" s="2">
        <f>B103+1</f>
        <v/>
      </c>
      <c r="D104" s="279">
        <f>IF(B104&lt;$D$24,(+'CALCULETTE (2)'!T683/'CALCULETTE (2)'!$B$612),0)</f>
        <v/>
      </c>
      <c r="E104" s="279">
        <f>IF(E$1=0,"",IF($B104&lt;E$23,E103+PPMT(E$25/12,$B104,E$23,E$53,-E$27,0),IF($B104=E$23,E103+PPMT(E$25/12,$B104,E$23,E$53,-E$27,0)-E$27,0)))</f>
        <v/>
      </c>
      <c r="F104" s="279">
        <f>IF(F$1=0,"",IF($B104&lt;F$23,F103+PPMT(F$25/12,$B104,F$23,F$53,-F$27,0),IF($B104=F$23,F103+PPMT(F$25/12,$B104,F$23,F$53,-F$27,0)-F$27,0)))</f>
        <v/>
      </c>
      <c r="G104" s="279">
        <f>IF(G$1=0,"",IF($B104&lt;G$23,G103+PPMT(G$25/12,$B104,G$23,G$53,-G$27,0),IF($B104=G$23,G103+PPMT(G$25/12,$B104,G$23,G$53,-G$27,0)-G$27,0)))</f>
        <v/>
      </c>
      <c r="H104" s="279">
        <f>IF(H$1=0,"",IF($B104&lt;H$23,H103+PPMT(H$25/12,$B104,H$23,H$53,-H$27,0),IF($B104=H$23,H103+PPMT(H$25/12,$B104,H$23,H$53,-H$27,0)-H$27,0)))</f>
        <v/>
      </c>
      <c r="I104" s="279">
        <f>IF(I$1=0,"",IF($B104&lt;I$23,I103+PPMT(I$25/12,$B104,I$23,I$53,-I$27,0),IF($B104=I$23,I103+PPMT(I$25/12,$B104,I$23,I$53,-I$27,0)-I$27,0)))</f>
        <v/>
      </c>
      <c r="J104" s="279">
        <f>IF(J$1=0,"",IF($B104&lt;J$23,J103+PPMT(J$25/12,$B104,J$23,J$53,-J$27,0),IF($B104=J$23,J103+PPMT(J$25/12,$B104,J$23,J$53,-J$27,0)-J$27,0)))</f>
        <v/>
      </c>
      <c r="K104" s="279">
        <f>IF(K$1=0,"",IF($B104&lt;K$23,K103+PPMT(K$25/12,$B104,K$23,K$53,-K$27,0),IF($B104=K$23,K103+PPMT(K$25/12,$B104,K$23,K$53,-K$27,0)-K$27,0)))</f>
        <v/>
      </c>
      <c r="L104" s="279">
        <f>IF(L$1=0,"",IF($B104&lt;L$23,L103+PPMT(L$25/12,$B104,L$23,L$53,-L$27,0),IF($B104=L$23,L103+PPMT(L$25/12,$B104,L$23,L$53,-L$27,0)-L$27,0)))</f>
        <v/>
      </c>
      <c r="M104" s="279">
        <f>IF(M$1=0,"",IF($B104&lt;M$23,M103+PPMT(M$25/12,$B104,M$23,M$53,-M$27,0),IF($B104=M$23,M103+PPMT(M$25/12,$B104,M$23,M$53,-M$27,0)-M$27,0)))</f>
        <v/>
      </c>
      <c r="N104" s="280" t="n"/>
      <c r="O104" s="281" t="n"/>
    </row>
    <row r="105" hidden="1" outlineLevel="1">
      <c r="B105" s="2">
        <f>B104+1</f>
        <v/>
      </c>
      <c r="D105" s="279">
        <f>IF(B105&lt;$D$24,(+'CALCULETTE (2)'!T684/'CALCULETTE (2)'!$B$612),0)</f>
        <v/>
      </c>
      <c r="E105" s="279">
        <f>IF(E$1=0,"",IF($B105&lt;E$23,E104+PPMT(E$25/12,$B105,E$23,E$53,-E$27,0),IF($B105=E$23,E104+PPMT(E$25/12,$B105,E$23,E$53,-E$27,0)-E$27,0)))</f>
        <v/>
      </c>
      <c r="F105" s="279">
        <f>IF(F$1=0,"",IF($B105&lt;F$23,F104+PPMT(F$25/12,$B105,F$23,F$53,-F$27,0),IF($B105=F$23,F104+PPMT(F$25/12,$B105,F$23,F$53,-F$27,0)-F$27,0)))</f>
        <v/>
      </c>
      <c r="G105" s="279">
        <f>IF(G$1=0,"",IF($B105&lt;G$23,G104+PPMT(G$25/12,$B105,G$23,G$53,-G$27,0),IF($B105=G$23,G104+PPMT(G$25/12,$B105,G$23,G$53,-G$27,0)-G$27,0)))</f>
        <v/>
      </c>
      <c r="H105" s="279">
        <f>IF(H$1=0,"",IF($B105&lt;H$23,H104+PPMT(H$25/12,$B105,H$23,H$53,-H$27,0),IF($B105=H$23,H104+PPMT(H$25/12,$B105,H$23,H$53,-H$27,0)-H$27,0)))</f>
        <v/>
      </c>
      <c r="I105" s="279">
        <f>IF(I$1=0,"",IF($B105&lt;I$23,I104+PPMT(I$25/12,$B105,I$23,I$53,-I$27,0),IF($B105=I$23,I104+PPMT(I$25/12,$B105,I$23,I$53,-I$27,0)-I$27,0)))</f>
        <v/>
      </c>
      <c r="J105" s="279">
        <f>IF(J$1=0,"",IF($B105&lt;J$23,J104+PPMT(J$25/12,$B105,J$23,J$53,-J$27,0),IF($B105=J$23,J104+PPMT(J$25/12,$B105,J$23,J$53,-J$27,0)-J$27,0)))</f>
        <v/>
      </c>
      <c r="K105" s="279">
        <f>IF(K$1=0,"",IF($B105&lt;K$23,K104+PPMT(K$25/12,$B105,K$23,K$53,-K$27,0),IF($B105=K$23,K104+PPMT(K$25/12,$B105,K$23,K$53,-K$27,0)-K$27,0)))</f>
        <v/>
      </c>
      <c r="L105" s="279">
        <f>IF(L$1=0,"",IF($B105&lt;L$23,L104+PPMT(L$25/12,$B105,L$23,L$53,-L$27,0),IF($B105=L$23,L104+PPMT(L$25/12,$B105,L$23,L$53,-L$27,0)-L$27,0)))</f>
        <v/>
      </c>
      <c r="M105" s="279">
        <f>IF(M$1=0,"",IF($B105&lt;M$23,M104+PPMT(M$25/12,$B105,M$23,M$53,-M$27,0),IF($B105=M$23,M104+PPMT(M$25/12,$B105,M$23,M$53,-M$27,0)-M$27,0)))</f>
        <v/>
      </c>
      <c r="N105" s="280" t="n"/>
      <c r="O105" s="281" t="n"/>
    </row>
    <row r="106" hidden="1" outlineLevel="1">
      <c r="B106" s="2">
        <f>B105+1</f>
        <v/>
      </c>
      <c r="D106" s="279">
        <f>IF(B106&lt;$D$24,(+'CALCULETTE (2)'!T685/'CALCULETTE (2)'!$B$612),0)</f>
        <v/>
      </c>
      <c r="E106" s="279">
        <f>IF(E$1=0,"",IF($B106&lt;E$23,E105+PPMT(E$25/12,$B106,E$23,E$53,-E$27,0),IF($B106=E$23,E105+PPMT(E$25/12,$B106,E$23,E$53,-E$27,0)-E$27,0)))</f>
        <v/>
      </c>
      <c r="F106" s="279">
        <f>IF(F$1=0,"",IF($B106&lt;F$23,F105+PPMT(F$25/12,$B106,F$23,F$53,-F$27,0),IF($B106=F$23,F105+PPMT(F$25/12,$B106,F$23,F$53,-F$27,0)-F$27,0)))</f>
        <v/>
      </c>
      <c r="G106" s="279">
        <f>IF(G$1=0,"",IF($B106&lt;G$23,G105+PPMT(G$25/12,$B106,G$23,G$53,-G$27,0),IF($B106=G$23,G105+PPMT(G$25/12,$B106,G$23,G$53,-G$27,0)-G$27,0)))</f>
        <v/>
      </c>
      <c r="H106" s="279">
        <f>IF(H$1=0,"",IF($B106&lt;H$23,H105+PPMT(H$25/12,$B106,H$23,H$53,-H$27,0),IF($B106=H$23,H105+PPMT(H$25/12,$B106,H$23,H$53,-H$27,0)-H$27,0)))</f>
        <v/>
      </c>
      <c r="I106" s="279">
        <f>IF(I$1=0,"",IF($B106&lt;I$23,I105+PPMT(I$25/12,$B106,I$23,I$53,-I$27,0),IF($B106=I$23,I105+PPMT(I$25/12,$B106,I$23,I$53,-I$27,0)-I$27,0)))</f>
        <v/>
      </c>
      <c r="J106" s="279">
        <f>IF(J$1=0,"",IF($B106&lt;J$23,J105+PPMT(J$25/12,$B106,J$23,J$53,-J$27,0),IF($B106=J$23,J105+PPMT(J$25/12,$B106,J$23,J$53,-J$27,0)-J$27,0)))</f>
        <v/>
      </c>
      <c r="K106" s="279">
        <f>IF(K$1=0,"",IF($B106&lt;K$23,K105+PPMT(K$25/12,$B106,K$23,K$53,-K$27,0),IF($B106=K$23,K105+PPMT(K$25/12,$B106,K$23,K$53,-K$27,0)-K$27,0)))</f>
        <v/>
      </c>
      <c r="L106" s="279">
        <f>IF(L$1=0,"",IF($B106&lt;L$23,L105+PPMT(L$25/12,$B106,L$23,L$53,-L$27,0),IF($B106=L$23,L105+PPMT(L$25/12,$B106,L$23,L$53,-L$27,0)-L$27,0)))</f>
        <v/>
      </c>
      <c r="M106" s="279">
        <f>IF(M$1=0,"",IF($B106&lt;M$23,M105+PPMT(M$25/12,$B106,M$23,M$53,-M$27,0),IF($B106=M$23,M105+PPMT(M$25/12,$B106,M$23,M$53,-M$27,0)-M$27,0)))</f>
        <v/>
      </c>
      <c r="N106" s="280" t="n"/>
      <c r="O106" s="281" t="n"/>
    </row>
    <row r="107" hidden="1" outlineLevel="1">
      <c r="B107" s="2">
        <f>B106+1</f>
        <v/>
      </c>
      <c r="D107" s="279">
        <f>IF(B107&lt;$D$24,(+'CALCULETTE (2)'!T686/'CALCULETTE (2)'!$B$612),0)</f>
        <v/>
      </c>
      <c r="E107" s="279">
        <f>IF(E$1=0,"",IF($B107&lt;E$23,E106+PPMT(E$25/12,$B107,E$23,E$53,-E$27,0),IF($B107=E$23,E106+PPMT(E$25/12,$B107,E$23,E$53,-E$27,0)-E$27,0)))</f>
        <v/>
      </c>
      <c r="F107" s="279">
        <f>IF(F$1=0,"",IF($B107&lt;F$23,F106+PPMT(F$25/12,$B107,F$23,F$53,-F$27,0),IF($B107=F$23,F106+PPMT(F$25/12,$B107,F$23,F$53,-F$27,0)-F$27,0)))</f>
        <v/>
      </c>
      <c r="G107" s="279">
        <f>IF(G$1=0,"",IF($B107&lt;G$23,G106+PPMT(G$25/12,$B107,G$23,G$53,-G$27,0),IF($B107=G$23,G106+PPMT(G$25/12,$B107,G$23,G$53,-G$27,0)-G$27,0)))</f>
        <v/>
      </c>
      <c r="H107" s="279">
        <f>IF(H$1=0,"",IF($B107&lt;H$23,H106+PPMT(H$25/12,$B107,H$23,H$53,-H$27,0),IF($B107=H$23,H106+PPMT(H$25/12,$B107,H$23,H$53,-H$27,0)-H$27,0)))</f>
        <v/>
      </c>
      <c r="I107" s="279">
        <f>IF(I$1=0,"",IF($B107&lt;I$23,I106+PPMT(I$25/12,$B107,I$23,I$53,-I$27,0),IF($B107=I$23,I106+PPMT(I$25/12,$B107,I$23,I$53,-I$27,0)-I$27,0)))</f>
        <v/>
      </c>
      <c r="J107" s="279">
        <f>IF(J$1=0,"",IF($B107&lt;J$23,J106+PPMT(J$25/12,$B107,J$23,J$53,-J$27,0),IF($B107=J$23,J106+PPMT(J$25/12,$B107,J$23,J$53,-J$27,0)-J$27,0)))</f>
        <v/>
      </c>
      <c r="K107" s="279">
        <f>IF(K$1=0,"",IF($B107&lt;K$23,K106+PPMT(K$25/12,$B107,K$23,K$53,-K$27,0),IF($B107=K$23,K106+PPMT(K$25/12,$B107,K$23,K$53,-K$27,0)-K$27,0)))</f>
        <v/>
      </c>
      <c r="L107" s="279">
        <f>IF(L$1=0,"",IF($B107&lt;L$23,L106+PPMT(L$25/12,$B107,L$23,L$53,-L$27,0),IF($B107=L$23,L106+PPMT(L$25/12,$B107,L$23,L$53,-L$27,0)-L$27,0)))</f>
        <v/>
      </c>
      <c r="M107" s="279">
        <f>IF(M$1=0,"",IF($B107&lt;M$23,M106+PPMT(M$25/12,$B107,M$23,M$53,-M$27,0),IF($B107=M$23,M106+PPMT(M$25/12,$B107,M$23,M$53,-M$27,0)-M$27,0)))</f>
        <v/>
      </c>
      <c r="N107" s="280" t="n"/>
      <c r="O107" s="281" t="n"/>
    </row>
    <row r="108" hidden="1" outlineLevel="1">
      <c r="B108" s="2">
        <f>B107+1</f>
        <v/>
      </c>
      <c r="D108" s="279">
        <f>IF(B108&lt;$D$24,(+'CALCULETTE (2)'!T687/'CALCULETTE (2)'!$B$612),0)</f>
        <v/>
      </c>
      <c r="E108" s="279">
        <f>IF(E$1=0,"",IF($B108&lt;E$23,E107+PPMT(E$25/12,$B108,E$23,E$53,-E$27,0),IF($B108=E$23,E107+PPMT(E$25/12,$B108,E$23,E$53,-E$27,0)-E$27,0)))</f>
        <v/>
      </c>
      <c r="F108" s="279">
        <f>IF(F$1=0,"",IF($B108&lt;F$23,F107+PPMT(F$25/12,$B108,F$23,F$53,-F$27,0),IF($B108=F$23,F107+PPMT(F$25/12,$B108,F$23,F$53,-F$27,0)-F$27,0)))</f>
        <v/>
      </c>
      <c r="G108" s="279">
        <f>IF(G$1=0,"",IF($B108&lt;G$23,G107+PPMT(G$25/12,$B108,G$23,G$53,-G$27,0),IF($B108=G$23,G107+PPMT(G$25/12,$B108,G$23,G$53,-G$27,0)-G$27,0)))</f>
        <v/>
      </c>
      <c r="H108" s="279">
        <f>IF(H$1=0,"",IF($B108&lt;H$23,H107+PPMT(H$25/12,$B108,H$23,H$53,-H$27,0),IF($B108=H$23,H107+PPMT(H$25/12,$B108,H$23,H$53,-H$27,0)-H$27,0)))</f>
        <v/>
      </c>
      <c r="I108" s="279">
        <f>IF(I$1=0,"",IF($B108&lt;I$23,I107+PPMT(I$25/12,$B108,I$23,I$53,-I$27,0),IF($B108=I$23,I107+PPMT(I$25/12,$B108,I$23,I$53,-I$27,0)-I$27,0)))</f>
        <v/>
      </c>
      <c r="J108" s="279">
        <f>IF(J$1=0,"",IF($B108&lt;J$23,J107+PPMT(J$25/12,$B108,J$23,J$53,-J$27,0),IF($B108=J$23,J107+PPMT(J$25/12,$B108,J$23,J$53,-J$27,0)-J$27,0)))</f>
        <v/>
      </c>
      <c r="K108" s="279">
        <f>IF(K$1=0,"",IF($B108&lt;K$23,K107+PPMT(K$25/12,$B108,K$23,K$53,-K$27,0),IF($B108=K$23,K107+PPMT(K$25/12,$B108,K$23,K$53,-K$27,0)-K$27,0)))</f>
        <v/>
      </c>
      <c r="L108" s="279">
        <f>IF(L$1=0,"",IF($B108&lt;L$23,L107+PPMT(L$25/12,$B108,L$23,L$53,-L$27,0),IF($B108=L$23,L107+PPMT(L$25/12,$B108,L$23,L$53,-L$27,0)-L$27,0)))</f>
        <v/>
      </c>
      <c r="M108" s="279">
        <f>IF(M$1=0,"",IF($B108&lt;M$23,M107+PPMT(M$25/12,$B108,M$23,M$53,-M$27,0),IF($B108=M$23,M107+PPMT(M$25/12,$B108,M$23,M$53,-M$27,0)-M$27,0)))</f>
        <v/>
      </c>
      <c r="N108" s="280" t="n"/>
      <c r="O108" s="281" t="n"/>
    </row>
    <row r="109" hidden="1" outlineLevel="1">
      <c r="B109" s="2">
        <f>B108+1</f>
        <v/>
      </c>
      <c r="D109" s="279">
        <f>IF(B109&lt;$D$24,(+'CALCULETTE (2)'!T688/'CALCULETTE (2)'!$B$612),0)</f>
        <v/>
      </c>
      <c r="E109" s="279">
        <f>IF(E$1=0,"",IF($B109&lt;E$23,E108+PPMT(E$25/12,$B109,E$23,E$53,-E$27,0),IF($B109=E$23,E108+PPMT(E$25/12,$B109,E$23,E$53,-E$27,0)-E$27,0)))</f>
        <v/>
      </c>
      <c r="F109" s="279">
        <f>IF(F$1=0,"",IF($B109&lt;F$23,F108+PPMT(F$25/12,$B109,F$23,F$53,-F$27,0),IF($B109=F$23,F108+PPMT(F$25/12,$B109,F$23,F$53,-F$27,0)-F$27,0)))</f>
        <v/>
      </c>
      <c r="G109" s="279">
        <f>IF(G$1=0,"",IF($B109&lt;G$23,G108+PPMT(G$25/12,$B109,G$23,G$53,-G$27,0),IF($B109=G$23,G108+PPMT(G$25/12,$B109,G$23,G$53,-G$27,0)-G$27,0)))</f>
        <v/>
      </c>
      <c r="H109" s="279">
        <f>IF(H$1=0,"",IF($B109&lt;H$23,H108+PPMT(H$25/12,$B109,H$23,H$53,-H$27,0),IF($B109=H$23,H108+PPMT(H$25/12,$B109,H$23,H$53,-H$27,0)-H$27,0)))</f>
        <v/>
      </c>
      <c r="I109" s="279">
        <f>IF(I$1=0,"",IF($B109&lt;I$23,I108+PPMT(I$25/12,$B109,I$23,I$53,-I$27,0),IF($B109=I$23,I108+PPMT(I$25/12,$B109,I$23,I$53,-I$27,0)-I$27,0)))</f>
        <v/>
      </c>
      <c r="J109" s="279">
        <f>IF(J$1=0,"",IF($B109&lt;J$23,J108+PPMT(J$25/12,$B109,J$23,J$53,-J$27,0),IF($B109=J$23,J108+PPMT(J$25/12,$B109,J$23,J$53,-J$27,0)-J$27,0)))</f>
        <v/>
      </c>
      <c r="K109" s="279">
        <f>IF(K$1=0,"",IF($B109&lt;K$23,K108+PPMT(K$25/12,$B109,K$23,K$53,-K$27,0),IF($B109=K$23,K108+PPMT(K$25/12,$B109,K$23,K$53,-K$27,0)-K$27,0)))</f>
        <v/>
      </c>
      <c r="L109" s="279">
        <f>IF(L$1=0,"",IF($B109&lt;L$23,L108+PPMT(L$25/12,$B109,L$23,L$53,-L$27,0),IF($B109=L$23,L108+PPMT(L$25/12,$B109,L$23,L$53,-L$27,0)-L$27,0)))</f>
        <v/>
      </c>
      <c r="M109" s="279">
        <f>IF(M$1=0,"",IF($B109&lt;M$23,M108+PPMT(M$25/12,$B109,M$23,M$53,-M$27,0),IF($B109=M$23,M108+PPMT(M$25/12,$B109,M$23,M$53,-M$27,0)-M$27,0)))</f>
        <v/>
      </c>
      <c r="N109" s="280" t="n"/>
      <c r="O109" s="281" t="n"/>
    </row>
    <row r="110" hidden="1" outlineLevel="1">
      <c r="B110" s="2">
        <f>B109+1</f>
        <v/>
      </c>
      <c r="D110" s="279">
        <f>IF(B110&lt;$D$24,(+'CALCULETTE (2)'!T689/'CALCULETTE (2)'!$B$612),0)</f>
        <v/>
      </c>
      <c r="E110" s="279">
        <f>IF(E$1=0,"",IF($B110&lt;E$23,E109+PPMT(E$25/12,$B110,E$23,E$53,-E$27,0),IF($B110=E$23,E109+PPMT(E$25/12,$B110,E$23,E$53,-E$27,0)-E$27,0)))</f>
        <v/>
      </c>
      <c r="F110" s="279">
        <f>IF(F$1=0,"",IF($B110&lt;F$23,F109+PPMT(F$25/12,$B110,F$23,F$53,-F$27,0),IF($B110=F$23,F109+PPMT(F$25/12,$B110,F$23,F$53,-F$27,0)-F$27,0)))</f>
        <v/>
      </c>
      <c r="G110" s="279">
        <f>IF(G$1=0,"",IF($B110&lt;G$23,G109+PPMT(G$25/12,$B110,G$23,G$53,-G$27,0),IF($B110=G$23,G109+PPMT(G$25/12,$B110,G$23,G$53,-G$27,0)-G$27,0)))</f>
        <v/>
      </c>
      <c r="H110" s="279">
        <f>IF(H$1=0,"",IF($B110&lt;H$23,H109+PPMT(H$25/12,$B110,H$23,H$53,-H$27,0),IF($B110=H$23,H109+PPMT(H$25/12,$B110,H$23,H$53,-H$27,0)-H$27,0)))</f>
        <v/>
      </c>
      <c r="I110" s="279">
        <f>IF(I$1=0,"",IF($B110&lt;I$23,I109+PPMT(I$25/12,$B110,I$23,I$53,-I$27,0),IF($B110=I$23,I109+PPMT(I$25/12,$B110,I$23,I$53,-I$27,0)-I$27,0)))</f>
        <v/>
      </c>
      <c r="J110" s="279">
        <f>IF(J$1=0,"",IF($B110&lt;J$23,J109+PPMT(J$25/12,$B110,J$23,J$53,-J$27,0),IF($B110=J$23,J109+PPMT(J$25/12,$B110,J$23,J$53,-J$27,0)-J$27,0)))</f>
        <v/>
      </c>
      <c r="K110" s="279">
        <f>IF(K$1=0,"",IF($B110&lt;K$23,K109+PPMT(K$25/12,$B110,K$23,K$53,-K$27,0),IF($B110=K$23,K109+PPMT(K$25/12,$B110,K$23,K$53,-K$27,0)-K$27,0)))</f>
        <v/>
      </c>
      <c r="L110" s="279">
        <f>IF(L$1=0,"",IF($B110&lt;L$23,L109+PPMT(L$25/12,$B110,L$23,L$53,-L$27,0),IF($B110=L$23,L109+PPMT(L$25/12,$B110,L$23,L$53,-L$27,0)-L$27,0)))</f>
        <v/>
      </c>
      <c r="M110" s="279">
        <f>IF(M$1=0,"",IF($B110&lt;M$23,M109+PPMT(M$25/12,$B110,M$23,M$53,-M$27,0),IF($B110=M$23,M109+PPMT(M$25/12,$B110,M$23,M$53,-M$27,0)-M$27,0)))</f>
        <v/>
      </c>
      <c r="N110" s="280" t="n"/>
      <c r="O110" s="281" t="n"/>
    </row>
    <row r="111" hidden="1" outlineLevel="1">
      <c r="B111" s="2">
        <f>B110+1</f>
        <v/>
      </c>
      <c r="D111" s="279">
        <f>IF(B111&lt;$D$24,(+'CALCULETTE (2)'!T690/'CALCULETTE (2)'!$B$612),0)</f>
        <v/>
      </c>
      <c r="E111" s="279">
        <f>IF(E$1=0,"",IF($B111&lt;E$23,E110+PPMT(E$25/12,$B111,E$23,E$53,-E$27,0),IF($B111=E$23,E110+PPMT(E$25/12,$B111,E$23,E$53,-E$27,0)-E$27,0)))</f>
        <v/>
      </c>
      <c r="F111" s="279">
        <f>IF(F$1=0,"",IF($B111&lt;F$23,F110+PPMT(F$25/12,$B111,F$23,F$53,-F$27,0),IF($B111=F$23,F110+PPMT(F$25/12,$B111,F$23,F$53,-F$27,0)-F$27,0)))</f>
        <v/>
      </c>
      <c r="G111" s="279">
        <f>IF(G$1=0,"",IF($B111&lt;G$23,G110+PPMT(G$25/12,$B111,G$23,G$53,-G$27,0),IF($B111=G$23,G110+PPMT(G$25/12,$B111,G$23,G$53,-G$27,0)-G$27,0)))</f>
        <v/>
      </c>
      <c r="H111" s="279">
        <f>IF(H$1=0,"",IF($B111&lt;H$23,H110+PPMT(H$25/12,$B111,H$23,H$53,-H$27,0),IF($B111=H$23,H110+PPMT(H$25/12,$B111,H$23,H$53,-H$27,0)-H$27,0)))</f>
        <v/>
      </c>
      <c r="I111" s="279">
        <f>IF(I$1=0,"",IF($B111&lt;I$23,I110+PPMT(I$25/12,$B111,I$23,I$53,-I$27,0),IF($B111=I$23,I110+PPMT(I$25/12,$B111,I$23,I$53,-I$27,0)-I$27,0)))</f>
        <v/>
      </c>
      <c r="J111" s="279">
        <f>IF(J$1=0,"",IF($B111&lt;J$23,J110+PPMT(J$25/12,$B111,J$23,J$53,-J$27,0),IF($B111=J$23,J110+PPMT(J$25/12,$B111,J$23,J$53,-J$27,0)-J$27,0)))</f>
        <v/>
      </c>
      <c r="K111" s="279">
        <f>IF(K$1=0,"",IF($B111&lt;K$23,K110+PPMT(K$25/12,$B111,K$23,K$53,-K$27,0),IF($B111=K$23,K110+PPMT(K$25/12,$B111,K$23,K$53,-K$27,0)-K$27,0)))</f>
        <v/>
      </c>
      <c r="L111" s="279">
        <f>IF(L$1=0,"",IF($B111&lt;L$23,L110+PPMT(L$25/12,$B111,L$23,L$53,-L$27,0),IF($B111=L$23,L110+PPMT(L$25/12,$B111,L$23,L$53,-L$27,0)-L$27,0)))</f>
        <v/>
      </c>
      <c r="M111" s="279">
        <f>IF(M$1=0,"",IF($B111&lt;M$23,M110+PPMT(M$25/12,$B111,M$23,M$53,-M$27,0),IF($B111=M$23,M110+PPMT(M$25/12,$B111,M$23,M$53,-M$27,0)-M$27,0)))</f>
        <v/>
      </c>
      <c r="N111" s="280" t="n"/>
      <c r="O111" s="281" t="n"/>
    </row>
    <row r="112" hidden="1" outlineLevel="1">
      <c r="B112" s="2">
        <f>B111+1</f>
        <v/>
      </c>
      <c r="D112" s="279">
        <f>IF(B112&lt;$D$24,(+'CALCULETTE (2)'!T691/'CALCULETTE (2)'!$B$612),0)</f>
        <v/>
      </c>
      <c r="E112" s="279">
        <f>IF(E$1=0,"",IF($B112&lt;E$23,E111+PPMT(E$25/12,$B112,E$23,E$53,-E$27,0),IF($B112=E$23,E111+PPMT(E$25/12,$B112,E$23,E$53,-E$27,0)-E$27,0)))</f>
        <v/>
      </c>
      <c r="F112" s="279">
        <f>IF(F$1=0,"",IF($B112&lt;F$23,F111+PPMT(F$25/12,$B112,F$23,F$53,-F$27,0),IF($B112=F$23,F111+PPMT(F$25/12,$B112,F$23,F$53,-F$27,0)-F$27,0)))</f>
        <v/>
      </c>
      <c r="G112" s="279">
        <f>IF(G$1=0,"",IF($B112&lt;G$23,G111+PPMT(G$25/12,$B112,G$23,G$53,-G$27,0),IF($B112=G$23,G111+PPMT(G$25/12,$B112,G$23,G$53,-G$27,0)-G$27,0)))</f>
        <v/>
      </c>
      <c r="H112" s="279">
        <f>IF(H$1=0,"",IF($B112&lt;H$23,H111+PPMT(H$25/12,$B112,H$23,H$53,-H$27,0),IF($B112=H$23,H111+PPMT(H$25/12,$B112,H$23,H$53,-H$27,0)-H$27,0)))</f>
        <v/>
      </c>
      <c r="I112" s="279">
        <f>IF(I$1=0,"",IF($B112&lt;I$23,I111+PPMT(I$25/12,$B112,I$23,I$53,-I$27,0),IF($B112=I$23,I111+PPMT(I$25/12,$B112,I$23,I$53,-I$27,0)-I$27,0)))</f>
        <v/>
      </c>
      <c r="J112" s="279">
        <f>IF(J$1=0,"",IF($B112&lt;J$23,J111+PPMT(J$25/12,$B112,J$23,J$53,-J$27,0),IF($B112=J$23,J111+PPMT(J$25/12,$B112,J$23,J$53,-J$27,0)-J$27,0)))</f>
        <v/>
      </c>
      <c r="K112" s="279">
        <f>IF(K$1=0,"",IF($B112&lt;K$23,K111+PPMT(K$25/12,$B112,K$23,K$53,-K$27,0),IF($B112=K$23,K111+PPMT(K$25/12,$B112,K$23,K$53,-K$27,0)-K$27,0)))</f>
        <v/>
      </c>
      <c r="L112" s="279">
        <f>IF(L$1=0,"",IF($B112&lt;L$23,L111+PPMT(L$25/12,$B112,L$23,L$53,-L$27,0),IF($B112=L$23,L111+PPMT(L$25/12,$B112,L$23,L$53,-L$27,0)-L$27,0)))</f>
        <v/>
      </c>
      <c r="M112" s="279">
        <f>IF(M$1=0,"",IF($B112&lt;M$23,M111+PPMT(M$25/12,$B112,M$23,M$53,-M$27,0),IF($B112=M$23,M111+PPMT(M$25/12,$B112,M$23,M$53,-M$27,0)-M$27,0)))</f>
        <v/>
      </c>
      <c r="N112" s="280" t="n"/>
      <c r="O112" s="281" t="n"/>
    </row>
    <row r="113" hidden="1" outlineLevel="1">
      <c r="B113" s="2">
        <f>B112+1</f>
        <v/>
      </c>
      <c r="D113" s="279">
        <f>IF(B113&lt;$D$24,(+'CALCULETTE (2)'!T692/'CALCULETTE (2)'!$B$612),0)</f>
        <v/>
      </c>
      <c r="E113" s="279">
        <f>IF(E$1=0,"",IF($B113&lt;E$23,E112+PPMT(E$25/12,$B113,E$23,E$53,-E$27,0),IF($B113=E$23,E112+PPMT(E$25/12,$B113,E$23,E$53,-E$27,0)-E$27,0)))</f>
        <v/>
      </c>
      <c r="F113" s="279">
        <f>IF(F$1=0,"",IF($B113&lt;F$23,F112+PPMT(F$25/12,$B113,F$23,F$53,-F$27,0),IF($B113=F$23,F112+PPMT(F$25/12,$B113,F$23,F$53,-F$27,0)-F$27,0)))</f>
        <v/>
      </c>
      <c r="G113" s="279">
        <f>IF(G$1=0,"",IF($B113&lt;G$23,G112+PPMT(G$25/12,$B113,G$23,G$53,-G$27,0),IF($B113=G$23,G112+PPMT(G$25/12,$B113,G$23,G$53,-G$27,0)-G$27,0)))</f>
        <v/>
      </c>
      <c r="H113" s="279">
        <f>IF(H$1=0,"",IF($B113&lt;H$23,H112+PPMT(H$25/12,$B113,H$23,H$53,-H$27,0),IF($B113=H$23,H112+PPMT(H$25/12,$B113,H$23,H$53,-H$27,0)-H$27,0)))</f>
        <v/>
      </c>
      <c r="I113" s="279">
        <f>IF(I$1=0,"",IF($B113&lt;I$23,I112+PPMT(I$25/12,$B113,I$23,I$53,-I$27,0),IF($B113=I$23,I112+PPMT(I$25/12,$B113,I$23,I$53,-I$27,0)-I$27,0)))</f>
        <v/>
      </c>
      <c r="J113" s="279">
        <f>IF(J$1=0,"",IF($B113&lt;J$23,J112+PPMT(J$25/12,$B113,J$23,J$53,-J$27,0),IF($B113=J$23,J112+PPMT(J$25/12,$B113,J$23,J$53,-J$27,0)-J$27,0)))</f>
        <v/>
      </c>
      <c r="K113" s="279">
        <f>IF(K$1=0,"",IF($B113&lt;K$23,K112+PPMT(K$25/12,$B113,K$23,K$53,-K$27,0),IF($B113=K$23,K112+PPMT(K$25/12,$B113,K$23,K$53,-K$27,0)-K$27,0)))</f>
        <v/>
      </c>
      <c r="L113" s="279">
        <f>IF(L$1=0,"",IF($B113&lt;L$23,L112+PPMT(L$25/12,$B113,L$23,L$53,-L$27,0),IF($B113=L$23,L112+PPMT(L$25/12,$B113,L$23,L$53,-L$27,0)-L$27,0)))</f>
        <v/>
      </c>
      <c r="M113" s="279">
        <f>IF(M$1=0,"",IF($B113&lt;M$23,M112+PPMT(M$25/12,$B113,M$23,M$53,-M$27,0),IF($B113=M$23,M112+PPMT(M$25/12,$B113,M$23,M$53,-M$27,0)-M$27,0)))</f>
        <v/>
      </c>
      <c r="N113" s="280" t="n"/>
      <c r="O113" s="281" t="n"/>
    </row>
    <row r="114" hidden="1" outlineLevel="1">
      <c r="B114" s="2">
        <f>B113+1</f>
        <v/>
      </c>
      <c r="D114" s="279">
        <f>IF(B114&lt;$D$24,(+'CALCULETTE (2)'!T693/'CALCULETTE (2)'!$B$612),0)</f>
        <v/>
      </c>
      <c r="E114" s="279">
        <f>IF(E$1=0,"",IF($B114&lt;E$23,E113+PPMT(E$25/12,$B114,E$23,E$53,-E$27,0),IF($B114=E$23,E113+PPMT(E$25/12,$B114,E$23,E$53,-E$27,0)-E$27,0)))</f>
        <v/>
      </c>
      <c r="F114" s="279">
        <f>IF(F$1=0,"",IF($B114&lt;F$23,F113+PPMT(F$25/12,$B114,F$23,F$53,-F$27,0),IF($B114=F$23,F113+PPMT(F$25/12,$B114,F$23,F$53,-F$27,0)-F$27,0)))</f>
        <v/>
      </c>
      <c r="G114" s="279">
        <f>IF(G$1=0,"",IF($B114&lt;G$23,G113+PPMT(G$25/12,$B114,G$23,G$53,-G$27,0),IF($B114=G$23,G113+PPMT(G$25/12,$B114,G$23,G$53,-G$27,0)-G$27,0)))</f>
        <v/>
      </c>
      <c r="H114" s="279">
        <f>IF(H$1=0,"",IF($B114&lt;H$23,H113+PPMT(H$25/12,$B114,H$23,H$53,-H$27,0),IF($B114=H$23,H113+PPMT(H$25/12,$B114,H$23,H$53,-H$27,0)-H$27,0)))</f>
        <v/>
      </c>
      <c r="I114" s="279">
        <f>IF(I$1=0,"",IF($B114&lt;I$23,I113+PPMT(I$25/12,$B114,I$23,I$53,-I$27,0),IF($B114=I$23,I113+PPMT(I$25/12,$B114,I$23,I$53,-I$27,0)-I$27,0)))</f>
        <v/>
      </c>
      <c r="J114" s="279">
        <f>IF(J$1=0,"",IF($B114&lt;J$23,J113+PPMT(J$25/12,$B114,J$23,J$53,-J$27,0),IF($B114=J$23,J113+PPMT(J$25/12,$B114,J$23,J$53,-J$27,0)-J$27,0)))</f>
        <v/>
      </c>
      <c r="K114" s="279">
        <f>IF(K$1=0,"",IF($B114&lt;K$23,K113+PPMT(K$25/12,$B114,K$23,K$53,-K$27,0),IF($B114=K$23,K113+PPMT(K$25/12,$B114,K$23,K$53,-K$27,0)-K$27,0)))</f>
        <v/>
      </c>
      <c r="L114" s="279">
        <f>IF(L$1=0,"",IF($B114&lt;L$23,L113+PPMT(L$25/12,$B114,L$23,L$53,-L$27,0),IF($B114=L$23,L113+PPMT(L$25/12,$B114,L$23,L$53,-L$27,0)-L$27,0)))</f>
        <v/>
      </c>
      <c r="M114" s="279">
        <f>IF(M$1=0,"",IF($B114&lt;M$23,M113+PPMT(M$25/12,$B114,M$23,M$53,-M$27,0),IF($B114=M$23,M113+PPMT(M$25/12,$B114,M$23,M$53,-M$27,0)-M$27,0)))</f>
        <v/>
      </c>
      <c r="N114" s="280" t="n"/>
      <c r="O114" s="281" t="n"/>
    </row>
    <row r="115" hidden="1" outlineLevel="1">
      <c r="B115" s="2">
        <f>B114+1</f>
        <v/>
      </c>
      <c r="D115" s="279">
        <f>IF(B115&lt;$D$24,(+'CALCULETTE (2)'!T694/'CALCULETTE (2)'!$B$612),0)</f>
        <v/>
      </c>
      <c r="E115" s="279">
        <f>IF(E$1=0,"",IF($B115&lt;E$23,E114+PPMT(E$25/12,$B115,E$23,E$53,-E$27,0),IF($B115=E$23,E114+PPMT(E$25/12,$B115,E$23,E$53,-E$27,0)-E$27,0)))</f>
        <v/>
      </c>
      <c r="F115" s="279">
        <f>IF(F$1=0,"",IF($B115&lt;F$23,F114+PPMT(F$25/12,$B115,F$23,F$53,-F$27,0),IF($B115=F$23,F114+PPMT(F$25/12,$B115,F$23,F$53,-F$27,0)-F$27,0)))</f>
        <v/>
      </c>
      <c r="G115" s="279">
        <f>IF(G$1=0,"",IF($B115&lt;G$23,G114+PPMT(G$25/12,$B115,G$23,G$53,-G$27,0),IF($B115=G$23,G114+PPMT(G$25/12,$B115,G$23,G$53,-G$27,0)-G$27,0)))</f>
        <v/>
      </c>
      <c r="H115" s="279">
        <f>IF(H$1=0,"",IF($B115&lt;H$23,H114+PPMT(H$25/12,$B115,H$23,H$53,-H$27,0),IF($B115=H$23,H114+PPMT(H$25/12,$B115,H$23,H$53,-H$27,0)-H$27,0)))</f>
        <v/>
      </c>
      <c r="I115" s="279">
        <f>IF(I$1=0,"",IF($B115&lt;I$23,I114+PPMT(I$25/12,$B115,I$23,I$53,-I$27,0),IF($B115=I$23,I114+PPMT(I$25/12,$B115,I$23,I$53,-I$27,0)-I$27,0)))</f>
        <v/>
      </c>
      <c r="J115" s="279">
        <f>IF(J$1=0,"",IF($B115&lt;J$23,J114+PPMT(J$25/12,$B115,J$23,J$53,-J$27,0),IF($B115=J$23,J114+PPMT(J$25/12,$B115,J$23,J$53,-J$27,0)-J$27,0)))</f>
        <v/>
      </c>
      <c r="K115" s="279">
        <f>IF(K$1=0,"",IF($B115&lt;K$23,K114+PPMT(K$25/12,$B115,K$23,K$53,-K$27,0),IF($B115=K$23,K114+PPMT(K$25/12,$B115,K$23,K$53,-K$27,0)-K$27,0)))</f>
        <v/>
      </c>
      <c r="L115" s="279">
        <f>IF(L$1=0,"",IF($B115&lt;L$23,L114+PPMT(L$25/12,$B115,L$23,L$53,-L$27,0),IF($B115=L$23,L114+PPMT(L$25/12,$B115,L$23,L$53,-L$27,0)-L$27,0)))</f>
        <v/>
      </c>
      <c r="M115" s="279">
        <f>IF(M$1=0,"",IF($B115&lt;M$23,M114+PPMT(M$25/12,$B115,M$23,M$53,-M$27,0),IF($B115=M$23,M114+PPMT(M$25/12,$B115,M$23,M$53,-M$27,0)-M$27,0)))</f>
        <v/>
      </c>
      <c r="N115" s="280" t="n"/>
      <c r="O115" s="281" t="n"/>
    </row>
    <row r="116" hidden="1" outlineLevel="1">
      <c r="B116" s="2">
        <f>B115+1</f>
        <v/>
      </c>
      <c r="D116" s="279">
        <f>IF(B116&lt;$D$24,(+'CALCULETTE (2)'!T695/'CALCULETTE (2)'!$B$612),0)</f>
        <v/>
      </c>
      <c r="E116" s="279">
        <f>IF(E$1=0,"",IF($B116&lt;E$23,E115+PPMT(E$25/12,$B116,E$23,E$53,-E$27,0),IF($B116=E$23,E115+PPMT(E$25/12,$B116,E$23,E$53,-E$27,0)-E$27,0)))</f>
        <v/>
      </c>
      <c r="F116" s="279">
        <f>IF(F$1=0,"",IF($B116&lt;F$23,F115+PPMT(F$25/12,$B116,F$23,F$53,-F$27,0),IF($B116=F$23,F115+PPMT(F$25/12,$B116,F$23,F$53,-F$27,0)-F$27,0)))</f>
        <v/>
      </c>
      <c r="G116" s="279">
        <f>IF(G$1=0,"",IF($B116&lt;G$23,G115+PPMT(G$25/12,$B116,G$23,G$53,-G$27,0),IF($B116=G$23,G115+PPMT(G$25/12,$B116,G$23,G$53,-G$27,0)-G$27,0)))</f>
        <v/>
      </c>
      <c r="H116" s="279">
        <f>IF(H$1=0,"",IF($B116&lt;H$23,H115+PPMT(H$25/12,$B116,H$23,H$53,-H$27,0),IF($B116=H$23,H115+PPMT(H$25/12,$B116,H$23,H$53,-H$27,0)-H$27,0)))</f>
        <v/>
      </c>
      <c r="I116" s="279">
        <f>IF(I$1=0,"",IF($B116&lt;I$23,I115+PPMT(I$25/12,$B116,I$23,I$53,-I$27,0),IF($B116=I$23,I115+PPMT(I$25/12,$B116,I$23,I$53,-I$27,0)-I$27,0)))</f>
        <v/>
      </c>
      <c r="J116" s="279">
        <f>IF(J$1=0,"",IF($B116&lt;J$23,J115+PPMT(J$25/12,$B116,J$23,J$53,-J$27,0),IF($B116=J$23,J115+PPMT(J$25/12,$B116,J$23,J$53,-J$27,0)-J$27,0)))</f>
        <v/>
      </c>
      <c r="K116" s="279">
        <f>IF(K$1=0,"",IF($B116&lt;K$23,K115+PPMT(K$25/12,$B116,K$23,K$53,-K$27,0),IF($B116=K$23,K115+PPMT(K$25/12,$B116,K$23,K$53,-K$27,0)-K$27,0)))</f>
        <v/>
      </c>
      <c r="L116" s="279">
        <f>IF(L$1=0,"",IF($B116&lt;L$23,L115+PPMT(L$25/12,$B116,L$23,L$53,-L$27,0),IF($B116=L$23,L115+PPMT(L$25/12,$B116,L$23,L$53,-L$27,0)-L$27,0)))</f>
        <v/>
      </c>
      <c r="M116" s="279">
        <f>IF(M$1=0,"",IF($B116&lt;M$23,M115+PPMT(M$25/12,$B116,M$23,M$53,-M$27,0),IF($B116=M$23,M115+PPMT(M$25/12,$B116,M$23,M$53,-M$27,0)-M$27,0)))</f>
        <v/>
      </c>
      <c r="N116" s="280" t="n"/>
      <c r="O116" s="281" t="n"/>
    </row>
    <row r="117" hidden="1" outlineLevel="1">
      <c r="B117" s="2">
        <f>B116+1</f>
        <v/>
      </c>
      <c r="D117" s="279">
        <f>IF(B117&lt;$D$24,(+'CALCULETTE (2)'!T696/'CALCULETTE (2)'!$B$612),0)</f>
        <v/>
      </c>
      <c r="E117" s="279">
        <f>IF(E$1=0,"",IF($B117&lt;E$23,E116+PPMT(E$25/12,$B117,E$23,E$53,-E$27,0),IF($B117=E$23,E116+PPMT(E$25/12,$B117,E$23,E$53,-E$27,0)-E$27,0)))</f>
        <v/>
      </c>
      <c r="F117" s="279">
        <f>IF(F$1=0,"",IF($B117&lt;F$23,F116+PPMT(F$25/12,$B117,F$23,F$53,-F$27,0),IF($B117=F$23,F116+PPMT(F$25/12,$B117,F$23,F$53,-F$27,0)-F$27,0)))</f>
        <v/>
      </c>
      <c r="G117" s="279">
        <f>IF(G$1=0,"",IF($B117&lt;G$23,G116+PPMT(G$25/12,$B117,G$23,G$53,-G$27,0),IF($B117=G$23,G116+PPMT(G$25/12,$B117,G$23,G$53,-G$27,0)-G$27,0)))</f>
        <v/>
      </c>
      <c r="H117" s="279">
        <f>IF(H$1=0,"",IF($B117&lt;H$23,H116+PPMT(H$25/12,$B117,H$23,H$53,-H$27,0),IF($B117=H$23,H116+PPMT(H$25/12,$B117,H$23,H$53,-H$27,0)-H$27,0)))</f>
        <v/>
      </c>
      <c r="I117" s="279">
        <f>IF(I$1=0,"",IF($B117&lt;I$23,I116+PPMT(I$25/12,$B117,I$23,I$53,-I$27,0),IF($B117=I$23,I116+PPMT(I$25/12,$B117,I$23,I$53,-I$27,0)-I$27,0)))</f>
        <v/>
      </c>
      <c r="J117" s="279">
        <f>IF(J$1=0,"",IF($B117&lt;J$23,J116+PPMT(J$25/12,$B117,J$23,J$53,-J$27,0),IF($B117=J$23,J116+PPMT(J$25/12,$B117,J$23,J$53,-J$27,0)-J$27,0)))</f>
        <v/>
      </c>
      <c r="K117" s="279">
        <f>IF(K$1=0,"",IF($B117&lt;K$23,K116+PPMT(K$25/12,$B117,K$23,K$53,-K$27,0),IF($B117=K$23,K116+PPMT(K$25/12,$B117,K$23,K$53,-K$27,0)-K$27,0)))</f>
        <v/>
      </c>
      <c r="L117" s="279">
        <f>IF(L$1=0,"",IF($B117&lt;L$23,L116+PPMT(L$25/12,$B117,L$23,L$53,-L$27,0),IF($B117=L$23,L116+PPMT(L$25/12,$B117,L$23,L$53,-L$27,0)-L$27,0)))</f>
        <v/>
      </c>
      <c r="M117" s="279">
        <f>IF(M$1=0,"",IF($B117&lt;M$23,M116+PPMT(M$25/12,$B117,M$23,M$53,-M$27,0),IF($B117=M$23,M116+PPMT(M$25/12,$B117,M$23,M$53,-M$27,0)-M$27,0)))</f>
        <v/>
      </c>
      <c r="N117" s="280" t="n"/>
      <c r="O117" s="281" t="n"/>
    </row>
    <row r="118" hidden="1" outlineLevel="1">
      <c r="B118" s="2">
        <f>B117+1</f>
        <v/>
      </c>
      <c r="D118" s="279">
        <f>IF(B118&lt;$D$24,(+'CALCULETTE (2)'!T697/'CALCULETTE (2)'!$B$612),0)</f>
        <v/>
      </c>
      <c r="E118" s="279">
        <f>IF(E$1=0,"",IF($B118&lt;E$23,E117+PPMT(E$25/12,$B118,E$23,E$53,-E$27,0),IF($B118=E$23,E117+PPMT(E$25/12,$B118,E$23,E$53,-E$27,0)-E$27,0)))</f>
        <v/>
      </c>
      <c r="F118" s="279">
        <f>IF(F$1=0,"",IF($B118&lt;F$23,F117+PPMT(F$25/12,$B118,F$23,F$53,-F$27,0),IF($B118=F$23,F117+PPMT(F$25/12,$B118,F$23,F$53,-F$27,0)-F$27,0)))</f>
        <v/>
      </c>
      <c r="G118" s="279">
        <f>IF(G$1=0,"",IF($B118&lt;G$23,G117+PPMT(G$25/12,$B118,G$23,G$53,-G$27,0),IF($B118=G$23,G117+PPMT(G$25/12,$B118,G$23,G$53,-G$27,0)-G$27,0)))</f>
        <v/>
      </c>
      <c r="H118" s="279">
        <f>IF(H$1=0,"",IF($B118&lt;H$23,H117+PPMT(H$25/12,$B118,H$23,H$53,-H$27,0),IF($B118=H$23,H117+PPMT(H$25/12,$B118,H$23,H$53,-H$27,0)-H$27,0)))</f>
        <v/>
      </c>
      <c r="I118" s="279">
        <f>IF(I$1=0,"",IF($B118&lt;I$23,I117+PPMT(I$25/12,$B118,I$23,I$53,-I$27,0),IF($B118=I$23,I117+PPMT(I$25/12,$B118,I$23,I$53,-I$27,0)-I$27,0)))</f>
        <v/>
      </c>
      <c r="J118" s="279">
        <f>IF(J$1=0,"",IF($B118&lt;J$23,J117+PPMT(J$25/12,$B118,J$23,J$53,-J$27,0),IF($B118=J$23,J117+PPMT(J$25/12,$B118,J$23,J$53,-J$27,0)-J$27,0)))</f>
        <v/>
      </c>
      <c r="K118" s="279">
        <f>IF(K$1=0,"",IF($B118&lt;K$23,K117+PPMT(K$25/12,$B118,K$23,K$53,-K$27,0),IF($B118=K$23,K117+PPMT(K$25/12,$B118,K$23,K$53,-K$27,0)-K$27,0)))</f>
        <v/>
      </c>
      <c r="L118" s="279">
        <f>IF(L$1=0,"",IF($B118&lt;L$23,L117+PPMT(L$25/12,$B118,L$23,L$53,-L$27,0),IF($B118=L$23,L117+PPMT(L$25/12,$B118,L$23,L$53,-L$27,0)-L$27,0)))</f>
        <v/>
      </c>
      <c r="M118" s="279">
        <f>IF(M$1=0,"",IF($B118&lt;M$23,M117+PPMT(M$25/12,$B118,M$23,M$53,-M$27,0),IF($B118=M$23,M117+PPMT(M$25/12,$B118,M$23,M$53,-M$27,0)-M$27,0)))</f>
        <v/>
      </c>
      <c r="N118" s="280" t="n"/>
      <c r="O118" s="281" t="n"/>
    </row>
    <row r="119" hidden="1" outlineLevel="1">
      <c r="B119" s="2">
        <f>B118+1</f>
        <v/>
      </c>
      <c r="D119" s="279">
        <f>IF(B119&lt;$D$24,(+'CALCULETTE (2)'!T698/'CALCULETTE (2)'!$B$612),0)</f>
        <v/>
      </c>
      <c r="E119" s="279">
        <f>IF(E$1=0,"",IF($B119&lt;E$23,E118+PPMT(E$25/12,$B119,E$23,E$53,-E$27,0),IF($B119=E$23,E118+PPMT(E$25/12,$B119,E$23,E$53,-E$27,0)-E$27,0)))</f>
        <v/>
      </c>
      <c r="F119" s="279">
        <f>IF(F$1=0,"",IF($B119&lt;F$23,F118+PPMT(F$25/12,$B119,F$23,F$53,-F$27,0),IF($B119=F$23,F118+PPMT(F$25/12,$B119,F$23,F$53,-F$27,0)-F$27,0)))</f>
        <v/>
      </c>
      <c r="G119" s="279">
        <f>IF(G$1=0,"",IF($B119&lt;G$23,G118+PPMT(G$25/12,$B119,G$23,G$53,-G$27,0),IF($B119=G$23,G118+PPMT(G$25/12,$B119,G$23,G$53,-G$27,0)-G$27,0)))</f>
        <v/>
      </c>
      <c r="H119" s="279">
        <f>IF(H$1=0,"",IF($B119&lt;H$23,H118+PPMT(H$25/12,$B119,H$23,H$53,-H$27,0),IF($B119=H$23,H118+PPMT(H$25/12,$B119,H$23,H$53,-H$27,0)-H$27,0)))</f>
        <v/>
      </c>
      <c r="I119" s="279">
        <f>IF(I$1=0,"",IF($B119&lt;I$23,I118+PPMT(I$25/12,$B119,I$23,I$53,-I$27,0),IF($B119=I$23,I118+PPMT(I$25/12,$B119,I$23,I$53,-I$27,0)-I$27,0)))</f>
        <v/>
      </c>
      <c r="J119" s="279">
        <f>IF(J$1=0,"",IF($B119&lt;J$23,J118+PPMT(J$25/12,$B119,J$23,J$53,-J$27,0),IF($B119=J$23,J118+PPMT(J$25/12,$B119,J$23,J$53,-J$27,0)-J$27,0)))</f>
        <v/>
      </c>
      <c r="K119" s="279">
        <f>IF(K$1=0,"",IF($B119&lt;K$23,K118+PPMT(K$25/12,$B119,K$23,K$53,-K$27,0),IF($B119=K$23,K118+PPMT(K$25/12,$B119,K$23,K$53,-K$27,0)-K$27,0)))</f>
        <v/>
      </c>
      <c r="L119" s="279">
        <f>IF(L$1=0,"",IF($B119&lt;L$23,L118+PPMT(L$25/12,$B119,L$23,L$53,-L$27,0),IF($B119=L$23,L118+PPMT(L$25/12,$B119,L$23,L$53,-L$27,0)-L$27,0)))</f>
        <v/>
      </c>
      <c r="M119" s="279">
        <f>IF(M$1=0,"",IF($B119&lt;M$23,M118+PPMT(M$25/12,$B119,M$23,M$53,-M$27,0),IF($B119=M$23,M118+PPMT(M$25/12,$B119,M$23,M$53,-M$27,0)-M$27,0)))</f>
        <v/>
      </c>
      <c r="N119" s="280" t="n"/>
      <c r="O119" s="281" t="n"/>
    </row>
    <row r="120" hidden="1" outlineLevel="1">
      <c r="B120" s="2">
        <f>B119+1</f>
        <v/>
      </c>
      <c r="D120" s="279">
        <f>IF(B120&lt;$D$24,(+'CALCULETTE (2)'!T699/'CALCULETTE (2)'!$B$612),0)</f>
        <v/>
      </c>
      <c r="E120" s="279">
        <f>IF(E$1=0,"",IF($B120&lt;E$23,E119+PPMT(E$25/12,$B120,E$23,E$53,-E$27,0),IF($B120=E$23,E119+PPMT(E$25/12,$B120,E$23,E$53,-E$27,0)-E$27,0)))</f>
        <v/>
      </c>
      <c r="F120" s="279">
        <f>IF(F$1=0,"",IF($B120&lt;F$23,F119+PPMT(F$25/12,$B120,F$23,F$53,-F$27,0),IF($B120=F$23,F119+PPMT(F$25/12,$B120,F$23,F$53,-F$27,0)-F$27,0)))</f>
        <v/>
      </c>
      <c r="G120" s="279">
        <f>IF(G$1=0,"",IF($B120&lt;G$23,G119+PPMT(G$25/12,$B120,G$23,G$53,-G$27,0),IF($B120=G$23,G119+PPMT(G$25/12,$B120,G$23,G$53,-G$27,0)-G$27,0)))</f>
        <v/>
      </c>
      <c r="H120" s="279">
        <f>IF(H$1=0,"",IF($B120&lt;H$23,H119+PPMT(H$25/12,$B120,H$23,H$53,-H$27,0),IF($B120=H$23,H119+PPMT(H$25/12,$B120,H$23,H$53,-H$27,0)-H$27,0)))</f>
        <v/>
      </c>
      <c r="I120" s="279">
        <f>IF(I$1=0,"",IF($B120&lt;I$23,I119+PPMT(I$25/12,$B120,I$23,I$53,-I$27,0),IF($B120=I$23,I119+PPMT(I$25/12,$B120,I$23,I$53,-I$27,0)-I$27,0)))</f>
        <v/>
      </c>
      <c r="J120" s="279">
        <f>IF(J$1=0,"",IF($B120&lt;J$23,J119+PPMT(J$25/12,$B120,J$23,J$53,-J$27,0),IF($B120=J$23,J119+PPMT(J$25/12,$B120,J$23,J$53,-J$27,0)-J$27,0)))</f>
        <v/>
      </c>
      <c r="K120" s="279">
        <f>IF(K$1=0,"",IF($B120&lt;K$23,K119+PPMT(K$25/12,$B120,K$23,K$53,-K$27,0),IF($B120=K$23,K119+PPMT(K$25/12,$B120,K$23,K$53,-K$27,0)-K$27,0)))</f>
        <v/>
      </c>
      <c r="L120" s="279">
        <f>IF(L$1=0,"",IF($B120&lt;L$23,L119+PPMT(L$25/12,$B120,L$23,L$53,-L$27,0),IF($B120=L$23,L119+PPMT(L$25/12,$B120,L$23,L$53,-L$27,0)-L$27,0)))</f>
        <v/>
      </c>
      <c r="M120" s="279">
        <f>IF(M$1=0,"",IF($B120&lt;M$23,M119+PPMT(M$25/12,$B120,M$23,M$53,-M$27,0),IF($B120=M$23,M119+PPMT(M$25/12,$B120,M$23,M$53,-M$27,0)-M$27,0)))</f>
        <v/>
      </c>
      <c r="N120" s="280" t="n"/>
      <c r="O120" s="281" t="n"/>
    </row>
    <row r="121" hidden="1" outlineLevel="1">
      <c r="B121" s="2">
        <f>B120+1</f>
        <v/>
      </c>
      <c r="D121" s="279">
        <f>IF(B121&lt;$D$24,(+'CALCULETTE (2)'!T700/'CALCULETTE (2)'!$B$612),0)</f>
        <v/>
      </c>
      <c r="E121" s="279">
        <f>IF(E$1=0,"",IF($B121&lt;E$23,E120+PPMT(E$25/12,$B121,E$23,E$53,-E$27,0),IF($B121=E$23,E120+PPMT(E$25/12,$B121,E$23,E$53,-E$27,0)-E$27,0)))</f>
        <v/>
      </c>
      <c r="F121" s="279">
        <f>IF(F$1=0,"",IF($B121&lt;F$23,F120+PPMT(F$25/12,$B121,F$23,F$53,-F$27,0),IF($B121=F$23,F120+PPMT(F$25/12,$B121,F$23,F$53,-F$27,0)-F$27,0)))</f>
        <v/>
      </c>
      <c r="G121" s="279">
        <f>IF(G$1=0,"",IF($B121&lt;G$23,G120+PPMT(G$25/12,$B121,G$23,G$53,-G$27,0),IF($B121=G$23,G120+PPMT(G$25/12,$B121,G$23,G$53,-G$27,0)-G$27,0)))</f>
        <v/>
      </c>
      <c r="H121" s="279">
        <f>IF(H$1=0,"",IF($B121&lt;H$23,H120+PPMT(H$25/12,$B121,H$23,H$53,-H$27,0),IF($B121=H$23,H120+PPMT(H$25/12,$B121,H$23,H$53,-H$27,0)-H$27,0)))</f>
        <v/>
      </c>
      <c r="I121" s="279">
        <f>IF(I$1=0,"",IF($B121&lt;I$23,I120+PPMT(I$25/12,$B121,I$23,I$53,-I$27,0),IF($B121=I$23,I120+PPMT(I$25/12,$B121,I$23,I$53,-I$27,0)-I$27,0)))</f>
        <v/>
      </c>
      <c r="J121" s="279">
        <f>IF(J$1=0,"",IF($B121&lt;J$23,J120+PPMT(J$25/12,$B121,J$23,J$53,-J$27,0),IF($B121=J$23,J120+PPMT(J$25/12,$B121,J$23,J$53,-J$27,0)-J$27,0)))</f>
        <v/>
      </c>
      <c r="K121" s="279">
        <f>IF(K$1=0,"",IF($B121&lt;K$23,K120+PPMT(K$25/12,$B121,K$23,K$53,-K$27,0),IF($B121=K$23,K120+PPMT(K$25/12,$B121,K$23,K$53,-K$27,0)-K$27,0)))</f>
        <v/>
      </c>
      <c r="L121" s="279">
        <f>IF(L$1=0,"",IF($B121&lt;L$23,L120+PPMT(L$25/12,$B121,L$23,L$53,-L$27,0),IF($B121=L$23,L120+PPMT(L$25/12,$B121,L$23,L$53,-L$27,0)-L$27,0)))</f>
        <v/>
      </c>
      <c r="M121" s="279">
        <f>IF(M$1=0,"",IF($B121&lt;M$23,M120+PPMT(M$25/12,$B121,M$23,M$53,-M$27,0),IF($B121=M$23,M120+PPMT(M$25/12,$B121,M$23,M$53,-M$27,0)-M$27,0)))</f>
        <v/>
      </c>
      <c r="N121" s="280" t="n"/>
      <c r="O121" s="281" t="n"/>
    </row>
    <row r="122" hidden="1" outlineLevel="1">
      <c r="B122" s="2">
        <f>B121+1</f>
        <v/>
      </c>
      <c r="D122" s="279">
        <f>IF(B122&lt;$D$24,(+'CALCULETTE (2)'!T701/'CALCULETTE (2)'!$B$612),0)</f>
        <v/>
      </c>
      <c r="E122" s="279">
        <f>IF(E$1=0,"",IF($B122&lt;E$23,E121+PPMT(E$25/12,$B122,E$23,E$53,-E$27,0),IF($B122=E$23,E121+PPMT(E$25/12,$B122,E$23,E$53,-E$27,0)-E$27,0)))</f>
        <v/>
      </c>
      <c r="F122" s="279">
        <f>IF(F$1=0,"",IF($B122&lt;F$23,F121+PPMT(F$25/12,$B122,F$23,F$53,-F$27,0),IF($B122=F$23,F121+PPMT(F$25/12,$B122,F$23,F$53,-F$27,0)-F$27,0)))</f>
        <v/>
      </c>
      <c r="G122" s="279">
        <f>IF(G$1=0,"",IF($B122&lt;G$23,G121+PPMT(G$25/12,$B122,G$23,G$53,-G$27,0),IF($B122=G$23,G121+PPMT(G$25/12,$B122,G$23,G$53,-G$27,0)-G$27,0)))</f>
        <v/>
      </c>
      <c r="H122" s="279">
        <f>IF(H$1=0,"",IF($B122&lt;H$23,H121+PPMT(H$25/12,$B122,H$23,H$53,-H$27,0),IF($B122=H$23,H121+PPMT(H$25/12,$B122,H$23,H$53,-H$27,0)-H$27,0)))</f>
        <v/>
      </c>
      <c r="I122" s="279">
        <f>IF(I$1=0,"",IF($B122&lt;I$23,I121+PPMT(I$25/12,$B122,I$23,I$53,-I$27,0),IF($B122=I$23,I121+PPMT(I$25/12,$B122,I$23,I$53,-I$27,0)-I$27,0)))</f>
        <v/>
      </c>
      <c r="J122" s="279">
        <f>IF(J$1=0,"",IF($B122&lt;J$23,J121+PPMT(J$25/12,$B122,J$23,J$53,-J$27,0),IF($B122=J$23,J121+PPMT(J$25/12,$B122,J$23,J$53,-J$27,0)-J$27,0)))</f>
        <v/>
      </c>
      <c r="K122" s="279">
        <f>IF(K$1=0,"",IF($B122&lt;K$23,K121+PPMT(K$25/12,$B122,K$23,K$53,-K$27,0),IF($B122=K$23,K121+PPMT(K$25/12,$B122,K$23,K$53,-K$27,0)-K$27,0)))</f>
        <v/>
      </c>
      <c r="L122" s="279">
        <f>IF(L$1=0,"",IF($B122&lt;L$23,L121+PPMT(L$25/12,$B122,L$23,L$53,-L$27,0),IF($B122=L$23,L121+PPMT(L$25/12,$B122,L$23,L$53,-L$27,0)-L$27,0)))</f>
        <v/>
      </c>
      <c r="M122" s="279">
        <f>IF(M$1=0,"",IF($B122&lt;M$23,M121+PPMT(M$25/12,$B122,M$23,M$53,-M$27,0),IF($B122=M$23,M121+PPMT(M$25/12,$B122,M$23,M$53,-M$27,0)-M$27,0)))</f>
        <v/>
      </c>
      <c r="N122" s="280" t="n"/>
      <c r="O122" s="281" t="n"/>
    </row>
    <row r="123" hidden="1" outlineLevel="1">
      <c r="B123" s="2">
        <f>B122+1</f>
        <v/>
      </c>
      <c r="D123" s="279">
        <f>IF(B123&lt;$D$24,(+'CALCULETTE (2)'!T702/'CALCULETTE (2)'!$B$612),0)</f>
        <v/>
      </c>
      <c r="E123" s="279">
        <f>IF(E$1=0,"",IF($B123&lt;E$23,E122+PPMT(E$25/12,$B123,E$23,E$53,-E$27,0),IF($B123=E$23,E122+PPMT(E$25/12,$B123,E$23,E$53,-E$27,0)-E$27,0)))</f>
        <v/>
      </c>
      <c r="F123" s="279">
        <f>IF(F$1=0,"",IF($B123&lt;F$23,F122+PPMT(F$25/12,$B123,F$23,F$53,-F$27,0),IF($B123=F$23,F122+PPMT(F$25/12,$B123,F$23,F$53,-F$27,0)-F$27,0)))</f>
        <v/>
      </c>
      <c r="G123" s="279">
        <f>IF(G$1=0,"",IF($B123&lt;G$23,G122+PPMT(G$25/12,$B123,G$23,G$53,-G$27,0),IF($B123=G$23,G122+PPMT(G$25/12,$B123,G$23,G$53,-G$27,0)-G$27,0)))</f>
        <v/>
      </c>
      <c r="H123" s="279">
        <f>IF(H$1=0,"",IF($B123&lt;H$23,H122+PPMT(H$25/12,$B123,H$23,H$53,-H$27,0),IF($B123=H$23,H122+PPMT(H$25/12,$B123,H$23,H$53,-H$27,0)-H$27,0)))</f>
        <v/>
      </c>
      <c r="I123" s="279">
        <f>IF(I$1=0,"",IF($B123&lt;I$23,I122+PPMT(I$25/12,$B123,I$23,I$53,-I$27,0),IF($B123=I$23,I122+PPMT(I$25/12,$B123,I$23,I$53,-I$27,0)-I$27,0)))</f>
        <v/>
      </c>
      <c r="J123" s="279">
        <f>IF(J$1=0,"",IF($B123&lt;J$23,J122+PPMT(J$25/12,$B123,J$23,J$53,-J$27,0),IF($B123=J$23,J122+PPMT(J$25/12,$B123,J$23,J$53,-J$27,0)-J$27,0)))</f>
        <v/>
      </c>
      <c r="K123" s="279">
        <f>IF(K$1=0,"",IF($B123&lt;K$23,K122+PPMT(K$25/12,$B123,K$23,K$53,-K$27,0),IF($B123=K$23,K122+PPMT(K$25/12,$B123,K$23,K$53,-K$27,0)-K$27,0)))</f>
        <v/>
      </c>
      <c r="L123" s="279">
        <f>IF(L$1=0,"",IF($B123&lt;L$23,L122+PPMT(L$25/12,$B123,L$23,L$53,-L$27,0),IF($B123=L$23,L122+PPMT(L$25/12,$B123,L$23,L$53,-L$27,0)-L$27,0)))</f>
        <v/>
      </c>
      <c r="M123" s="279">
        <f>IF(M$1=0,"",IF($B123&lt;M$23,M122+PPMT(M$25/12,$B123,M$23,M$53,-M$27,0),IF($B123=M$23,M122+PPMT(M$25/12,$B123,M$23,M$53,-M$27,0)-M$27,0)))</f>
        <v/>
      </c>
      <c r="N123" s="280" t="n"/>
      <c r="O123" s="281" t="n"/>
    </row>
    <row r="124" hidden="1" outlineLevel="1">
      <c r="B124" s="2">
        <f>B123+1</f>
        <v/>
      </c>
      <c r="D124" s="279">
        <f>IF(B124&lt;$D$24,(+'CALCULETTE (2)'!T703/'CALCULETTE (2)'!$B$612),0)</f>
        <v/>
      </c>
      <c r="E124" s="279">
        <f>IF(E$1=0,"",IF($B124&lt;E$23,E123+PPMT(E$25/12,$B124,E$23,E$53,-E$27,0),IF($B124=E$23,E123+PPMT(E$25/12,$B124,E$23,E$53,-E$27,0)-E$27,0)))</f>
        <v/>
      </c>
      <c r="F124" s="279">
        <f>IF(F$1=0,"",IF($B124&lt;F$23,F123+PPMT(F$25/12,$B124,F$23,F$53,-F$27,0),IF($B124=F$23,F123+PPMT(F$25/12,$B124,F$23,F$53,-F$27,0)-F$27,0)))</f>
        <v/>
      </c>
      <c r="G124" s="279">
        <f>IF(G$1=0,"",IF($B124&lt;G$23,G123+PPMT(G$25/12,$B124,G$23,G$53,-G$27,0),IF($B124=G$23,G123+PPMT(G$25/12,$B124,G$23,G$53,-G$27,0)-G$27,0)))</f>
        <v/>
      </c>
      <c r="H124" s="279">
        <f>IF(H$1=0,"",IF($B124&lt;H$23,H123+PPMT(H$25/12,$B124,H$23,H$53,-H$27,0),IF($B124=H$23,H123+PPMT(H$25/12,$B124,H$23,H$53,-H$27,0)-H$27,0)))</f>
        <v/>
      </c>
      <c r="I124" s="279">
        <f>IF(I$1=0,"",IF($B124&lt;I$23,I123+PPMT(I$25/12,$B124,I$23,I$53,-I$27,0),IF($B124=I$23,I123+PPMT(I$25/12,$B124,I$23,I$53,-I$27,0)-I$27,0)))</f>
        <v/>
      </c>
      <c r="J124" s="279">
        <f>IF(J$1=0,"",IF($B124&lt;J$23,J123+PPMT(J$25/12,$B124,J$23,J$53,-J$27,0),IF($B124=J$23,J123+PPMT(J$25/12,$B124,J$23,J$53,-J$27,0)-J$27,0)))</f>
        <v/>
      </c>
      <c r="K124" s="279">
        <f>IF(K$1=0,"",IF($B124&lt;K$23,K123+PPMT(K$25/12,$B124,K$23,K$53,-K$27,0),IF($B124=K$23,K123+PPMT(K$25/12,$B124,K$23,K$53,-K$27,0)-K$27,0)))</f>
        <v/>
      </c>
      <c r="L124" s="279">
        <f>IF(L$1=0,"",IF($B124&lt;L$23,L123+PPMT(L$25/12,$B124,L$23,L$53,-L$27,0),IF($B124=L$23,L123+PPMT(L$25/12,$B124,L$23,L$53,-L$27,0)-L$27,0)))</f>
        <v/>
      </c>
      <c r="M124" s="279">
        <f>IF(M$1=0,"",IF($B124&lt;M$23,M123+PPMT(M$25/12,$B124,M$23,M$53,-M$27,0),IF($B124=M$23,M123+PPMT(M$25/12,$B124,M$23,M$53,-M$27,0)-M$27,0)))</f>
        <v/>
      </c>
      <c r="N124" s="280" t="n"/>
      <c r="O124" s="281" t="n"/>
    </row>
    <row r="125" hidden="1" outlineLevel="1">
      <c r="B125" s="2">
        <f>B124+1</f>
        <v/>
      </c>
      <c r="D125" s="279">
        <f>IF(B125&lt;$D$24,(+'CALCULETTE (2)'!T704/'CALCULETTE (2)'!$B$612),0)</f>
        <v/>
      </c>
      <c r="E125" s="279">
        <f>IF(E$1=0,"",IF($B125&lt;E$23,E124+PPMT(E$25/12,$B125,E$23,E$53,-E$27,0),IF($B125=E$23,E124+PPMT(E$25/12,$B125,E$23,E$53,-E$27,0)-E$27,0)))</f>
        <v/>
      </c>
      <c r="F125" s="279">
        <f>IF(F$1=0,"",IF($B125&lt;F$23,F124+PPMT(F$25/12,$B125,F$23,F$53,-F$27,0),IF($B125=F$23,F124+PPMT(F$25/12,$B125,F$23,F$53,-F$27,0)-F$27,0)))</f>
        <v/>
      </c>
      <c r="G125" s="279">
        <f>IF(G$1=0,"",IF($B125&lt;G$23,G124+PPMT(G$25/12,$B125,G$23,G$53,-G$27,0),IF($B125=G$23,G124+PPMT(G$25/12,$B125,G$23,G$53,-G$27,0)-G$27,0)))</f>
        <v/>
      </c>
      <c r="H125" s="279">
        <f>IF(H$1=0,"",IF($B125&lt;H$23,H124+PPMT(H$25/12,$B125,H$23,H$53,-H$27,0),IF($B125=H$23,H124+PPMT(H$25/12,$B125,H$23,H$53,-H$27,0)-H$27,0)))</f>
        <v/>
      </c>
      <c r="I125" s="279">
        <f>IF(I$1=0,"",IF($B125&lt;I$23,I124+PPMT(I$25/12,$B125,I$23,I$53,-I$27,0),IF($B125=I$23,I124+PPMT(I$25/12,$B125,I$23,I$53,-I$27,0)-I$27,0)))</f>
        <v/>
      </c>
      <c r="J125" s="279">
        <f>IF(J$1=0,"",IF($B125&lt;J$23,J124+PPMT(J$25/12,$B125,J$23,J$53,-J$27,0),IF($B125=J$23,J124+PPMT(J$25/12,$B125,J$23,J$53,-J$27,0)-J$27,0)))</f>
        <v/>
      </c>
      <c r="K125" s="279">
        <f>IF(K$1=0,"",IF($B125&lt;K$23,K124+PPMT(K$25/12,$B125,K$23,K$53,-K$27,0),IF($B125=K$23,K124+PPMT(K$25/12,$B125,K$23,K$53,-K$27,0)-K$27,0)))</f>
        <v/>
      </c>
      <c r="L125" s="279">
        <f>IF(L$1=0,"",IF($B125&lt;L$23,L124+PPMT(L$25/12,$B125,L$23,L$53,-L$27,0),IF($B125=L$23,L124+PPMT(L$25/12,$B125,L$23,L$53,-L$27,0)-L$27,0)))</f>
        <v/>
      </c>
      <c r="M125" s="279">
        <f>IF(M$1=0,"",IF($B125&lt;M$23,M124+PPMT(M$25/12,$B125,M$23,M$53,-M$27,0),IF($B125=M$23,M124+PPMT(M$25/12,$B125,M$23,M$53,-M$27,0)-M$27,0)))</f>
        <v/>
      </c>
      <c r="N125" s="280" t="n"/>
      <c r="O125" s="281" t="n"/>
    </row>
    <row r="126" hidden="1" outlineLevel="1">
      <c r="B126" s="2">
        <f>B125+1</f>
        <v/>
      </c>
      <c r="D126" s="279">
        <f>IF(B126&lt;$D$24,(+'CALCULETTE (2)'!T705/'CALCULETTE (2)'!$B$612),0)</f>
        <v/>
      </c>
      <c r="E126" s="279">
        <f>IF(E$1=0,"",IF($B126&lt;E$23,E125+PPMT(E$25/12,$B126,E$23,E$53,-E$27,0),IF($B126=E$23,E125+PPMT(E$25/12,$B126,E$23,E$53,-E$27,0)-E$27,0)))</f>
        <v/>
      </c>
      <c r="F126" s="279">
        <f>IF(F$1=0,"",IF($B126&lt;F$23,F125+PPMT(F$25/12,$B126,F$23,F$53,-F$27,0),IF($B126=F$23,F125+PPMT(F$25/12,$B126,F$23,F$53,-F$27,0)-F$27,0)))</f>
        <v/>
      </c>
      <c r="G126" s="279">
        <f>IF(G$1=0,"",IF($B126&lt;G$23,G125+PPMT(G$25/12,$B126,G$23,G$53,-G$27,0),IF($B126=G$23,G125+PPMT(G$25/12,$B126,G$23,G$53,-G$27,0)-G$27,0)))</f>
        <v/>
      </c>
      <c r="H126" s="279">
        <f>IF(H$1=0,"",IF($B126&lt;H$23,H125+PPMT(H$25/12,$B126,H$23,H$53,-H$27,0),IF($B126=H$23,H125+PPMT(H$25/12,$B126,H$23,H$53,-H$27,0)-H$27,0)))</f>
        <v/>
      </c>
      <c r="I126" s="279">
        <f>IF(I$1=0,"",IF($B126&lt;I$23,I125+PPMT(I$25/12,$B126,I$23,I$53,-I$27,0),IF($B126=I$23,I125+PPMT(I$25/12,$B126,I$23,I$53,-I$27,0)-I$27,0)))</f>
        <v/>
      </c>
      <c r="J126" s="279">
        <f>IF(J$1=0,"",IF($B126&lt;J$23,J125+PPMT(J$25/12,$B126,J$23,J$53,-J$27,0),IF($B126=J$23,J125+PPMT(J$25/12,$B126,J$23,J$53,-J$27,0)-J$27,0)))</f>
        <v/>
      </c>
      <c r="K126" s="279">
        <f>IF(K$1=0,"",IF($B126&lt;K$23,K125+PPMT(K$25/12,$B126,K$23,K$53,-K$27,0),IF($B126=K$23,K125+PPMT(K$25/12,$B126,K$23,K$53,-K$27,0)-K$27,0)))</f>
        <v/>
      </c>
      <c r="L126" s="279">
        <f>IF(L$1=0,"",IF($B126&lt;L$23,L125+PPMT(L$25/12,$B126,L$23,L$53,-L$27,0),IF($B126=L$23,L125+PPMT(L$25/12,$B126,L$23,L$53,-L$27,0)-L$27,0)))</f>
        <v/>
      </c>
      <c r="M126" s="279">
        <f>IF(M$1=0,"",IF($B126&lt;M$23,M125+PPMT(M$25/12,$B126,M$23,M$53,-M$27,0),IF($B126=M$23,M125+PPMT(M$25/12,$B126,M$23,M$53,-M$27,0)-M$27,0)))</f>
        <v/>
      </c>
      <c r="N126" s="280" t="n"/>
      <c r="O126" s="281" t="n"/>
    </row>
    <row r="127" hidden="1" outlineLevel="1">
      <c r="B127" s="2">
        <f>B126+1</f>
        <v/>
      </c>
      <c r="D127" s="279">
        <f>IF(B127&lt;$D$24,(+'CALCULETTE (2)'!T706/'CALCULETTE (2)'!$B$612),0)</f>
        <v/>
      </c>
      <c r="E127" s="279">
        <f>IF(E$1=0,"",IF($B127&lt;E$23,E126+PPMT(E$25/12,$B127,E$23,E$53,-E$27,0),IF($B127=E$23,E126+PPMT(E$25/12,$B127,E$23,E$53,-E$27,0)-E$27,0)))</f>
        <v/>
      </c>
      <c r="F127" s="279">
        <f>IF(F$1=0,"",IF($B127&lt;F$23,F126+PPMT(F$25/12,$B127,F$23,F$53,-F$27,0),IF($B127=F$23,F126+PPMT(F$25/12,$B127,F$23,F$53,-F$27,0)-F$27,0)))</f>
        <v/>
      </c>
      <c r="G127" s="279">
        <f>IF(G$1=0,"",IF($B127&lt;G$23,G126+PPMT(G$25/12,$B127,G$23,G$53,-G$27,0),IF($B127=G$23,G126+PPMT(G$25/12,$B127,G$23,G$53,-G$27,0)-G$27,0)))</f>
        <v/>
      </c>
      <c r="H127" s="279">
        <f>IF(H$1=0,"",IF($B127&lt;H$23,H126+PPMT(H$25/12,$B127,H$23,H$53,-H$27,0),IF($B127=H$23,H126+PPMT(H$25/12,$B127,H$23,H$53,-H$27,0)-H$27,0)))</f>
        <v/>
      </c>
      <c r="I127" s="279">
        <f>IF(I$1=0,"",IF($B127&lt;I$23,I126+PPMT(I$25/12,$B127,I$23,I$53,-I$27,0),IF($B127=I$23,I126+PPMT(I$25/12,$B127,I$23,I$53,-I$27,0)-I$27,0)))</f>
        <v/>
      </c>
      <c r="J127" s="279">
        <f>IF(J$1=0,"",IF($B127&lt;J$23,J126+PPMT(J$25/12,$B127,J$23,J$53,-J$27,0),IF($B127=J$23,J126+PPMT(J$25/12,$B127,J$23,J$53,-J$27,0)-J$27,0)))</f>
        <v/>
      </c>
      <c r="K127" s="279">
        <f>IF(K$1=0,"",IF($B127&lt;K$23,K126+PPMT(K$25/12,$B127,K$23,K$53,-K$27,0),IF($B127=K$23,K126+PPMT(K$25/12,$B127,K$23,K$53,-K$27,0)-K$27,0)))</f>
        <v/>
      </c>
      <c r="L127" s="279">
        <f>IF(L$1=0,"",IF($B127&lt;L$23,L126+PPMT(L$25/12,$B127,L$23,L$53,-L$27,0),IF($B127=L$23,L126+PPMT(L$25/12,$B127,L$23,L$53,-L$27,0)-L$27,0)))</f>
        <v/>
      </c>
      <c r="M127" s="279">
        <f>IF(M$1=0,"",IF($B127&lt;M$23,M126+PPMT(M$25/12,$B127,M$23,M$53,-M$27,0),IF($B127=M$23,M126+PPMT(M$25/12,$B127,M$23,M$53,-M$27,0)-M$27,0)))</f>
        <v/>
      </c>
      <c r="N127" s="280" t="n"/>
      <c r="O127" s="281" t="n"/>
    </row>
    <row r="128" hidden="1" outlineLevel="1">
      <c r="B128" s="2">
        <f>B127+1</f>
        <v/>
      </c>
      <c r="D128" s="279">
        <f>IF(B128&lt;$D$24,(+'CALCULETTE (2)'!T707/'CALCULETTE (2)'!$B$612),0)</f>
        <v/>
      </c>
      <c r="E128" s="279">
        <f>IF(E$1=0,"",IF($B128&lt;E$23,E127+PPMT(E$25/12,$B128,E$23,E$53,-E$27,0),IF($B128=E$23,E127+PPMT(E$25/12,$B128,E$23,E$53,-E$27,0)-E$27,0)))</f>
        <v/>
      </c>
      <c r="F128" s="279">
        <f>IF(F$1=0,"",IF($B128&lt;F$23,F127+PPMT(F$25/12,$B128,F$23,F$53,-F$27,0),IF($B128=F$23,F127+PPMT(F$25/12,$B128,F$23,F$53,-F$27,0)-F$27,0)))</f>
        <v/>
      </c>
      <c r="G128" s="279">
        <f>IF(G$1=0,"",IF($B128&lt;G$23,G127+PPMT(G$25/12,$B128,G$23,G$53,-G$27,0),IF($B128=G$23,G127+PPMT(G$25/12,$B128,G$23,G$53,-G$27,0)-G$27,0)))</f>
        <v/>
      </c>
      <c r="H128" s="279">
        <f>IF(H$1=0,"",IF($B128&lt;H$23,H127+PPMT(H$25/12,$B128,H$23,H$53,-H$27,0),IF($B128=H$23,H127+PPMT(H$25/12,$B128,H$23,H$53,-H$27,0)-H$27,0)))</f>
        <v/>
      </c>
      <c r="I128" s="279">
        <f>IF(I$1=0,"",IF($B128&lt;I$23,I127+PPMT(I$25/12,$B128,I$23,I$53,-I$27,0),IF($B128=I$23,I127+PPMT(I$25/12,$B128,I$23,I$53,-I$27,0)-I$27,0)))</f>
        <v/>
      </c>
      <c r="J128" s="279">
        <f>IF(J$1=0,"",IF($B128&lt;J$23,J127+PPMT(J$25/12,$B128,J$23,J$53,-J$27,0),IF($B128=J$23,J127+PPMT(J$25/12,$B128,J$23,J$53,-J$27,0)-J$27,0)))</f>
        <v/>
      </c>
      <c r="K128" s="279">
        <f>IF(K$1=0,"",IF($B128&lt;K$23,K127+PPMT(K$25/12,$B128,K$23,K$53,-K$27,0),IF($B128=K$23,K127+PPMT(K$25/12,$B128,K$23,K$53,-K$27,0)-K$27,0)))</f>
        <v/>
      </c>
      <c r="L128" s="279">
        <f>IF(L$1=0,"",IF($B128&lt;L$23,L127+PPMT(L$25/12,$B128,L$23,L$53,-L$27,0),IF($B128=L$23,L127+PPMT(L$25/12,$B128,L$23,L$53,-L$27,0)-L$27,0)))</f>
        <v/>
      </c>
      <c r="M128" s="279">
        <f>IF(M$1=0,"",IF($B128&lt;M$23,M127+PPMT(M$25/12,$B128,M$23,M$53,-M$27,0),IF($B128=M$23,M127+PPMT(M$25/12,$B128,M$23,M$53,-M$27,0)-M$27,0)))</f>
        <v/>
      </c>
      <c r="N128" s="280" t="n"/>
      <c r="O128" s="281" t="n"/>
    </row>
    <row r="129" hidden="1" outlineLevel="1">
      <c r="B129" s="2">
        <f>B128+1</f>
        <v/>
      </c>
      <c r="D129" s="279">
        <f>IF(B129&lt;$D$24,(+'CALCULETTE (2)'!T708/'CALCULETTE (2)'!$B$612),0)</f>
        <v/>
      </c>
      <c r="E129" s="279">
        <f>IF(E$1=0,"",IF($B129&lt;E$23,E128+PPMT(E$25/12,$B129,E$23,E$53,-E$27,0),IF($B129=E$23,E128+PPMT(E$25/12,$B129,E$23,E$53,-E$27,0)-E$27,0)))</f>
        <v/>
      </c>
      <c r="F129" s="279">
        <f>IF(F$1=0,"",IF($B129&lt;F$23,F128+PPMT(F$25/12,$B129,F$23,F$53,-F$27,0),IF($B129=F$23,F128+PPMT(F$25/12,$B129,F$23,F$53,-F$27,0)-F$27,0)))</f>
        <v/>
      </c>
      <c r="G129" s="279">
        <f>IF(G$1=0,"",IF($B129&lt;G$23,G128+PPMT(G$25/12,$B129,G$23,G$53,-G$27,0),IF($B129=G$23,G128+PPMT(G$25/12,$B129,G$23,G$53,-G$27,0)-G$27,0)))</f>
        <v/>
      </c>
      <c r="H129" s="279">
        <f>IF(H$1=0,"",IF($B129&lt;H$23,H128+PPMT(H$25/12,$B129,H$23,H$53,-H$27,0),IF($B129=H$23,H128+PPMT(H$25/12,$B129,H$23,H$53,-H$27,0)-H$27,0)))</f>
        <v/>
      </c>
      <c r="I129" s="279">
        <f>IF(I$1=0,"",IF($B129&lt;I$23,I128+PPMT(I$25/12,$B129,I$23,I$53,-I$27,0),IF($B129=I$23,I128+PPMT(I$25/12,$B129,I$23,I$53,-I$27,0)-I$27,0)))</f>
        <v/>
      </c>
      <c r="J129" s="279">
        <f>IF(J$1=0,"",IF($B129&lt;J$23,J128+PPMT(J$25/12,$B129,J$23,J$53,-J$27,0),IF($B129=J$23,J128+PPMT(J$25/12,$B129,J$23,J$53,-J$27,0)-J$27,0)))</f>
        <v/>
      </c>
      <c r="K129" s="279">
        <f>IF(K$1=0,"",IF($B129&lt;K$23,K128+PPMT(K$25/12,$B129,K$23,K$53,-K$27,0),IF($B129=K$23,K128+PPMT(K$25/12,$B129,K$23,K$53,-K$27,0)-K$27,0)))</f>
        <v/>
      </c>
      <c r="L129" s="279">
        <f>IF(L$1=0,"",IF($B129&lt;L$23,L128+PPMT(L$25/12,$B129,L$23,L$53,-L$27,0),IF($B129=L$23,L128+PPMT(L$25/12,$B129,L$23,L$53,-L$27,0)-L$27,0)))</f>
        <v/>
      </c>
      <c r="M129" s="279">
        <f>IF(M$1=0,"",IF($B129&lt;M$23,M128+PPMT(M$25/12,$B129,M$23,M$53,-M$27,0),IF($B129=M$23,M128+PPMT(M$25/12,$B129,M$23,M$53,-M$27,0)-M$27,0)))</f>
        <v/>
      </c>
      <c r="N129" s="280" t="n"/>
      <c r="O129" s="281" t="n"/>
    </row>
    <row r="130" hidden="1" outlineLevel="1">
      <c r="B130" s="2">
        <f>B129+1</f>
        <v/>
      </c>
      <c r="D130" s="279">
        <f>IF(B130&lt;$D$24,(+'CALCULETTE (2)'!T709/'CALCULETTE (2)'!$B$612),0)</f>
        <v/>
      </c>
      <c r="E130" s="279">
        <f>IF(E$1=0,"",IF($B130&lt;E$23,E129+PPMT(E$25/12,$B130,E$23,E$53,-E$27,0),IF($B130=E$23,E129+PPMT(E$25/12,$B130,E$23,E$53,-E$27,0)-E$27,0)))</f>
        <v/>
      </c>
      <c r="F130" s="279">
        <f>IF(F$1=0,"",IF($B130&lt;F$23,F129+PPMT(F$25/12,$B130,F$23,F$53,-F$27,0),IF($B130=F$23,F129+PPMT(F$25/12,$B130,F$23,F$53,-F$27,0)-F$27,0)))</f>
        <v/>
      </c>
      <c r="G130" s="279">
        <f>IF(G$1=0,"",IF($B130&lt;G$23,G129+PPMT(G$25/12,$B130,G$23,G$53,-G$27,0),IF($B130=G$23,G129+PPMT(G$25/12,$B130,G$23,G$53,-G$27,0)-G$27,0)))</f>
        <v/>
      </c>
      <c r="H130" s="279">
        <f>IF(H$1=0,"",IF($B130&lt;H$23,H129+PPMT(H$25/12,$B130,H$23,H$53,-H$27,0),IF($B130=H$23,H129+PPMT(H$25/12,$B130,H$23,H$53,-H$27,0)-H$27,0)))</f>
        <v/>
      </c>
      <c r="I130" s="279">
        <f>IF(I$1=0,"",IF($B130&lt;I$23,I129+PPMT(I$25/12,$B130,I$23,I$53,-I$27,0),IF($B130=I$23,I129+PPMT(I$25/12,$B130,I$23,I$53,-I$27,0)-I$27,0)))</f>
        <v/>
      </c>
      <c r="J130" s="279">
        <f>IF(J$1=0,"",IF($B130&lt;J$23,J129+PPMT(J$25/12,$B130,J$23,J$53,-J$27,0),IF($B130=J$23,J129+PPMT(J$25/12,$B130,J$23,J$53,-J$27,0)-J$27,0)))</f>
        <v/>
      </c>
      <c r="K130" s="279">
        <f>IF(K$1=0,"",IF($B130&lt;K$23,K129+PPMT(K$25/12,$B130,K$23,K$53,-K$27,0),IF($B130=K$23,K129+PPMT(K$25/12,$B130,K$23,K$53,-K$27,0)-K$27,0)))</f>
        <v/>
      </c>
      <c r="L130" s="279">
        <f>IF(L$1=0,"",IF($B130&lt;L$23,L129+PPMT(L$25/12,$B130,L$23,L$53,-L$27,0),IF($B130=L$23,L129+PPMT(L$25/12,$B130,L$23,L$53,-L$27,0)-L$27,0)))</f>
        <v/>
      </c>
      <c r="M130" s="279">
        <f>IF(M$1=0,"",IF($B130&lt;M$23,M129+PPMT(M$25/12,$B130,M$23,M$53,-M$27,0),IF($B130=M$23,M129+PPMT(M$25/12,$B130,M$23,M$53,-M$27,0)-M$27,0)))</f>
        <v/>
      </c>
      <c r="N130" s="280" t="n"/>
      <c r="O130" s="281" t="n"/>
    </row>
    <row r="131" hidden="1" outlineLevel="1">
      <c r="B131" s="2">
        <f>B130+1</f>
        <v/>
      </c>
      <c r="D131" s="279">
        <f>IF(B131&lt;$D$24,(+'CALCULETTE (2)'!T710/'CALCULETTE (2)'!$B$612),0)</f>
        <v/>
      </c>
      <c r="E131" s="279">
        <f>IF(E$1=0,"",IF($B131&lt;E$23,E130+PPMT(E$25/12,$B131,E$23,E$53,-E$27,0),IF($B131=E$23,E130+PPMT(E$25/12,$B131,E$23,E$53,-E$27,0)-E$27,0)))</f>
        <v/>
      </c>
      <c r="F131" s="279">
        <f>IF(F$1=0,"",IF($B131&lt;F$23,F130+PPMT(F$25/12,$B131,F$23,F$53,-F$27,0),IF($B131=F$23,F130+PPMT(F$25/12,$B131,F$23,F$53,-F$27,0)-F$27,0)))</f>
        <v/>
      </c>
      <c r="G131" s="279">
        <f>IF(G$1=0,"",IF($B131&lt;G$23,G130+PPMT(G$25/12,$B131,G$23,G$53,-G$27,0),IF($B131=G$23,G130+PPMT(G$25/12,$B131,G$23,G$53,-G$27,0)-G$27,0)))</f>
        <v/>
      </c>
      <c r="H131" s="279">
        <f>IF(H$1=0,"",IF($B131&lt;H$23,H130+PPMT(H$25/12,$B131,H$23,H$53,-H$27,0),IF($B131=H$23,H130+PPMT(H$25/12,$B131,H$23,H$53,-H$27,0)-H$27,0)))</f>
        <v/>
      </c>
      <c r="I131" s="279">
        <f>IF(I$1=0,"",IF($B131&lt;I$23,I130+PPMT(I$25/12,$B131,I$23,I$53,-I$27,0),IF($B131=I$23,I130+PPMT(I$25/12,$B131,I$23,I$53,-I$27,0)-I$27,0)))</f>
        <v/>
      </c>
      <c r="J131" s="279">
        <f>IF(J$1=0,"",IF($B131&lt;J$23,J130+PPMT(J$25/12,$B131,J$23,J$53,-J$27,0),IF($B131=J$23,J130+PPMT(J$25/12,$B131,J$23,J$53,-J$27,0)-J$27,0)))</f>
        <v/>
      </c>
      <c r="K131" s="279">
        <f>IF(K$1=0,"",IF($B131&lt;K$23,K130+PPMT(K$25/12,$B131,K$23,K$53,-K$27,0),IF($B131=K$23,K130+PPMT(K$25/12,$B131,K$23,K$53,-K$27,0)-K$27,0)))</f>
        <v/>
      </c>
      <c r="L131" s="279">
        <f>IF(L$1=0,"",IF($B131&lt;L$23,L130+PPMT(L$25/12,$B131,L$23,L$53,-L$27,0),IF($B131=L$23,L130+PPMT(L$25/12,$B131,L$23,L$53,-L$27,0)-L$27,0)))</f>
        <v/>
      </c>
      <c r="M131" s="279">
        <f>IF(M$1=0,"",IF($B131&lt;M$23,M130+PPMT(M$25/12,$B131,M$23,M$53,-M$27,0),IF($B131=M$23,M130+PPMT(M$25/12,$B131,M$23,M$53,-M$27,0)-M$27,0)))</f>
        <v/>
      </c>
      <c r="N131" s="280" t="n"/>
      <c r="O131" s="281" t="n"/>
    </row>
    <row r="132" hidden="1" outlineLevel="1">
      <c r="B132" s="2">
        <f>B131+1</f>
        <v/>
      </c>
      <c r="D132" s="279">
        <f>IF(B132&lt;$D$24,(+'CALCULETTE (2)'!T711/'CALCULETTE (2)'!$B$612),0)</f>
        <v/>
      </c>
      <c r="E132" s="279">
        <f>IF(E$1=0,"",IF($B132&lt;E$23,E131+PPMT(E$25/12,$B132,E$23,E$53,-E$27,0),IF($B132=E$23,E131+PPMT(E$25/12,$B132,E$23,E$53,-E$27,0)-E$27,0)))</f>
        <v/>
      </c>
      <c r="F132" s="279">
        <f>IF(F$1=0,"",IF($B132&lt;F$23,F131+PPMT(F$25/12,$B132,F$23,F$53,-F$27,0),IF($B132=F$23,F131+PPMT(F$25/12,$B132,F$23,F$53,-F$27,0)-F$27,0)))</f>
        <v/>
      </c>
      <c r="G132" s="279">
        <f>IF(G$1=0,"",IF($B132&lt;G$23,G131+PPMT(G$25/12,$B132,G$23,G$53,-G$27,0),IF($B132=G$23,G131+PPMT(G$25/12,$B132,G$23,G$53,-G$27,0)-G$27,0)))</f>
        <v/>
      </c>
      <c r="H132" s="279">
        <f>IF(H$1=0,"",IF($B132&lt;H$23,H131+PPMT(H$25/12,$B132,H$23,H$53,-H$27,0),IF($B132=H$23,H131+PPMT(H$25/12,$B132,H$23,H$53,-H$27,0)-H$27,0)))</f>
        <v/>
      </c>
      <c r="I132" s="279">
        <f>IF(I$1=0,"",IF($B132&lt;I$23,I131+PPMT(I$25/12,$B132,I$23,I$53,-I$27,0),IF($B132=I$23,I131+PPMT(I$25/12,$B132,I$23,I$53,-I$27,0)-I$27,0)))</f>
        <v/>
      </c>
      <c r="J132" s="279">
        <f>IF(J$1=0,"",IF($B132&lt;J$23,J131+PPMT(J$25/12,$B132,J$23,J$53,-J$27,0),IF($B132=J$23,J131+PPMT(J$25/12,$B132,J$23,J$53,-J$27,0)-J$27,0)))</f>
        <v/>
      </c>
      <c r="K132" s="279">
        <f>IF(K$1=0,"",IF($B132&lt;K$23,K131+PPMT(K$25/12,$B132,K$23,K$53,-K$27,0),IF($B132=K$23,K131+PPMT(K$25/12,$B132,K$23,K$53,-K$27,0)-K$27,0)))</f>
        <v/>
      </c>
      <c r="L132" s="279">
        <f>IF(L$1=0,"",IF($B132&lt;L$23,L131+PPMT(L$25/12,$B132,L$23,L$53,-L$27,0),IF($B132=L$23,L131+PPMT(L$25/12,$B132,L$23,L$53,-L$27,0)-L$27,0)))</f>
        <v/>
      </c>
      <c r="M132" s="279">
        <f>IF(M$1=0,"",IF($B132&lt;M$23,M131+PPMT(M$25/12,$B132,M$23,M$53,-M$27,0),IF($B132=M$23,M131+PPMT(M$25/12,$B132,M$23,M$53,-M$27,0)-M$27,0)))</f>
        <v/>
      </c>
      <c r="N132" s="280" t="n"/>
      <c r="O132" s="281" t="n"/>
    </row>
    <row r="133" hidden="1" outlineLevel="1">
      <c r="B133" s="2">
        <f>B132+1</f>
        <v/>
      </c>
      <c r="D133" s="279">
        <f>IF(B133&lt;$D$24,(+'CALCULETTE (2)'!T712/'CALCULETTE (2)'!$B$612),0)</f>
        <v/>
      </c>
      <c r="E133" s="279">
        <f>IF(E$1=0,"",IF($B133&lt;E$23,E132+PPMT(E$25/12,$B133,E$23,E$53,-E$27,0),IF($B133=E$23,E132+PPMT(E$25/12,$B133,E$23,E$53,-E$27,0)-E$27,0)))</f>
        <v/>
      </c>
      <c r="F133" s="279">
        <f>IF(F$1=0,"",IF($B133&lt;F$23,F132+PPMT(F$25/12,$B133,F$23,F$53,-F$27,0),IF($B133=F$23,F132+PPMT(F$25/12,$B133,F$23,F$53,-F$27,0)-F$27,0)))</f>
        <v/>
      </c>
      <c r="G133" s="279">
        <f>IF(G$1=0,"",IF($B133&lt;G$23,G132+PPMT(G$25/12,$B133,G$23,G$53,-G$27,0),IF($B133=G$23,G132+PPMT(G$25/12,$B133,G$23,G$53,-G$27,0)-G$27,0)))</f>
        <v/>
      </c>
      <c r="H133" s="279">
        <f>IF(H$1=0,"",IF($B133&lt;H$23,H132+PPMT(H$25/12,$B133,H$23,H$53,-H$27,0),IF($B133=H$23,H132+PPMT(H$25/12,$B133,H$23,H$53,-H$27,0)-H$27,0)))</f>
        <v/>
      </c>
      <c r="I133" s="279">
        <f>IF(I$1=0,"",IF($B133&lt;I$23,I132+PPMT(I$25/12,$B133,I$23,I$53,-I$27,0),IF($B133=I$23,I132+PPMT(I$25/12,$B133,I$23,I$53,-I$27,0)-I$27,0)))</f>
        <v/>
      </c>
      <c r="J133" s="279">
        <f>IF(J$1=0,"",IF($B133&lt;J$23,J132+PPMT(J$25/12,$B133,J$23,J$53,-J$27,0),IF($B133=J$23,J132+PPMT(J$25/12,$B133,J$23,J$53,-J$27,0)-J$27,0)))</f>
        <v/>
      </c>
      <c r="K133" s="279">
        <f>IF(K$1=0,"",IF($B133&lt;K$23,K132+PPMT(K$25/12,$B133,K$23,K$53,-K$27,0),IF($B133=K$23,K132+PPMT(K$25/12,$B133,K$23,K$53,-K$27,0)-K$27,0)))</f>
        <v/>
      </c>
      <c r="L133" s="279">
        <f>IF(L$1=0,"",IF($B133&lt;L$23,L132+PPMT(L$25/12,$B133,L$23,L$53,-L$27,0),IF($B133=L$23,L132+PPMT(L$25/12,$B133,L$23,L$53,-L$27,0)-L$27,0)))</f>
        <v/>
      </c>
      <c r="M133" s="279">
        <f>IF(M$1=0,"",IF($B133&lt;M$23,M132+PPMT(M$25/12,$B133,M$23,M$53,-M$27,0),IF($B133=M$23,M132+PPMT(M$25/12,$B133,M$23,M$53,-M$27,0)-M$27,0)))</f>
        <v/>
      </c>
      <c r="N133" s="280" t="n"/>
      <c r="O133" s="281" t="n"/>
    </row>
    <row r="134" hidden="1" outlineLevel="1">
      <c r="B134" s="2">
        <f>B133+1</f>
        <v/>
      </c>
      <c r="D134" s="279">
        <f>IF(B134&lt;$D$24,(+'CALCULETTE (2)'!T713/'CALCULETTE (2)'!$B$612),0)</f>
        <v/>
      </c>
      <c r="E134" s="279">
        <f>IF(E$1=0,"",IF($B134&lt;E$23,E133+PPMT(E$25/12,$B134,E$23,E$53,-E$27,0),IF($B134=E$23,E133+PPMT(E$25/12,$B134,E$23,E$53,-E$27,0)-E$27,0)))</f>
        <v/>
      </c>
      <c r="F134" s="279">
        <f>IF(F$1=0,"",IF($B134&lt;F$23,F133+PPMT(F$25/12,$B134,F$23,F$53,-F$27,0),IF($B134=F$23,F133+PPMT(F$25/12,$B134,F$23,F$53,-F$27,0)-F$27,0)))</f>
        <v/>
      </c>
      <c r="G134" s="279">
        <f>IF(G$1=0,"",IF($B134&lt;G$23,G133+PPMT(G$25/12,$B134,G$23,G$53,-G$27,0),IF($B134=G$23,G133+PPMT(G$25/12,$B134,G$23,G$53,-G$27,0)-G$27,0)))</f>
        <v/>
      </c>
      <c r="H134" s="279">
        <f>IF(H$1=0,"",IF($B134&lt;H$23,H133+PPMT(H$25/12,$B134,H$23,H$53,-H$27,0),IF($B134=H$23,H133+PPMT(H$25/12,$B134,H$23,H$53,-H$27,0)-H$27,0)))</f>
        <v/>
      </c>
      <c r="I134" s="279">
        <f>IF(I$1=0,"",IF($B134&lt;I$23,I133+PPMT(I$25/12,$B134,I$23,I$53,-I$27,0),IF($B134=I$23,I133+PPMT(I$25/12,$B134,I$23,I$53,-I$27,0)-I$27,0)))</f>
        <v/>
      </c>
      <c r="J134" s="279">
        <f>IF(J$1=0,"",IF($B134&lt;J$23,J133+PPMT(J$25/12,$B134,J$23,J$53,-J$27,0),IF($B134=J$23,J133+PPMT(J$25/12,$B134,J$23,J$53,-J$27,0)-J$27,0)))</f>
        <v/>
      </c>
      <c r="K134" s="279">
        <f>IF(K$1=0,"",IF($B134&lt;K$23,K133+PPMT(K$25/12,$B134,K$23,K$53,-K$27,0),IF($B134=K$23,K133+PPMT(K$25/12,$B134,K$23,K$53,-K$27,0)-K$27,0)))</f>
        <v/>
      </c>
      <c r="L134" s="279">
        <f>IF(L$1=0,"",IF($B134&lt;L$23,L133+PPMT(L$25/12,$B134,L$23,L$53,-L$27,0),IF($B134=L$23,L133+PPMT(L$25/12,$B134,L$23,L$53,-L$27,0)-L$27,0)))</f>
        <v/>
      </c>
      <c r="M134" s="279">
        <f>IF(M$1=0,"",IF($B134&lt;M$23,M133+PPMT(M$25/12,$B134,M$23,M$53,-M$27,0),IF($B134=M$23,M133+PPMT(M$25/12,$B134,M$23,M$53,-M$27,0)-M$27,0)))</f>
        <v/>
      </c>
      <c r="N134" s="280" t="n"/>
      <c r="O134" s="281" t="n"/>
    </row>
    <row r="135" hidden="1" outlineLevel="1">
      <c r="B135" s="2">
        <f>B134+1</f>
        <v/>
      </c>
      <c r="D135" s="279">
        <f>IF(B135&lt;$D$24,(+'CALCULETTE (2)'!T714/'CALCULETTE (2)'!$B$612),0)</f>
        <v/>
      </c>
      <c r="E135" s="279">
        <f>IF(E$1=0,"",IF($B135&lt;E$23,E134+PPMT(E$25/12,$B135,E$23,E$53,-E$27,0),IF($B135=E$23,E134+PPMT(E$25/12,$B135,E$23,E$53,-E$27,0)-E$27,0)))</f>
        <v/>
      </c>
      <c r="F135" s="279">
        <f>IF(F$1=0,"",IF($B135&lt;F$23,F134+PPMT(F$25/12,$B135,F$23,F$53,-F$27,0),IF($B135=F$23,F134+PPMT(F$25/12,$B135,F$23,F$53,-F$27,0)-F$27,0)))</f>
        <v/>
      </c>
      <c r="G135" s="279">
        <f>IF(G$1=0,"",IF($B135&lt;G$23,G134+PPMT(G$25/12,$B135,G$23,G$53,-G$27,0),IF($B135=G$23,G134+PPMT(G$25/12,$B135,G$23,G$53,-G$27,0)-G$27,0)))</f>
        <v/>
      </c>
      <c r="H135" s="279">
        <f>IF(H$1=0,"",IF($B135&lt;H$23,H134+PPMT(H$25/12,$B135,H$23,H$53,-H$27,0),IF($B135=H$23,H134+PPMT(H$25/12,$B135,H$23,H$53,-H$27,0)-H$27,0)))</f>
        <v/>
      </c>
      <c r="I135" s="279">
        <f>IF(I$1=0,"",IF($B135&lt;I$23,I134+PPMT(I$25/12,$B135,I$23,I$53,-I$27,0),IF($B135=I$23,I134+PPMT(I$25/12,$B135,I$23,I$53,-I$27,0)-I$27,0)))</f>
        <v/>
      </c>
      <c r="J135" s="279">
        <f>IF(J$1=0,"",IF($B135&lt;J$23,J134+PPMT(J$25/12,$B135,J$23,J$53,-J$27,0),IF($B135=J$23,J134+PPMT(J$25/12,$B135,J$23,J$53,-J$27,0)-J$27,0)))</f>
        <v/>
      </c>
      <c r="K135" s="279">
        <f>IF(K$1=0,"",IF($B135&lt;K$23,K134+PPMT(K$25/12,$B135,K$23,K$53,-K$27,0),IF($B135=K$23,K134+PPMT(K$25/12,$B135,K$23,K$53,-K$27,0)-K$27,0)))</f>
        <v/>
      </c>
      <c r="L135" s="279">
        <f>IF(L$1=0,"",IF($B135&lt;L$23,L134+PPMT(L$25/12,$B135,L$23,L$53,-L$27,0),IF($B135=L$23,L134+PPMT(L$25/12,$B135,L$23,L$53,-L$27,0)-L$27,0)))</f>
        <v/>
      </c>
      <c r="M135" s="279">
        <f>IF(M$1=0,"",IF($B135&lt;M$23,M134+PPMT(M$25/12,$B135,M$23,M$53,-M$27,0),IF($B135=M$23,M134+PPMT(M$25/12,$B135,M$23,M$53,-M$27,0)-M$27,0)))</f>
        <v/>
      </c>
      <c r="N135" s="280" t="n"/>
      <c r="O135" s="281" t="n"/>
    </row>
    <row r="136" hidden="1" outlineLevel="1">
      <c r="B136" s="2">
        <f>B135+1</f>
        <v/>
      </c>
      <c r="D136" s="279">
        <f>IF(B136&lt;$D$24,(+'CALCULETTE (2)'!T715/'CALCULETTE (2)'!$B$612),0)</f>
        <v/>
      </c>
      <c r="E136" s="279">
        <f>IF(E$1=0,"",IF($B136&lt;E$23,E135+PPMT(E$25/12,$B136,E$23,E$53,-E$27,0),IF($B136=E$23,E135+PPMT(E$25/12,$B136,E$23,E$53,-E$27,0)-E$27,0)))</f>
        <v/>
      </c>
      <c r="F136" s="279">
        <f>IF(F$1=0,"",IF($B136&lt;F$23,F135+PPMT(F$25/12,$B136,F$23,F$53,-F$27,0),IF($B136=F$23,F135+PPMT(F$25/12,$B136,F$23,F$53,-F$27,0)-F$27,0)))</f>
        <v/>
      </c>
      <c r="G136" s="279">
        <f>IF(G$1=0,"",IF($B136&lt;G$23,G135+PPMT(G$25/12,$B136,G$23,G$53,-G$27,0),IF($B136=G$23,G135+PPMT(G$25/12,$B136,G$23,G$53,-G$27,0)-G$27,0)))</f>
        <v/>
      </c>
      <c r="H136" s="279">
        <f>IF(H$1=0,"",IF($B136&lt;H$23,H135+PPMT(H$25/12,$B136,H$23,H$53,-H$27,0),IF($B136=H$23,H135+PPMT(H$25/12,$B136,H$23,H$53,-H$27,0)-H$27,0)))</f>
        <v/>
      </c>
      <c r="I136" s="279">
        <f>IF(I$1=0,"",IF($B136&lt;I$23,I135+PPMT(I$25/12,$B136,I$23,I$53,-I$27,0),IF($B136=I$23,I135+PPMT(I$25/12,$B136,I$23,I$53,-I$27,0)-I$27,0)))</f>
        <v/>
      </c>
      <c r="J136" s="279">
        <f>IF(J$1=0,"",IF($B136&lt;J$23,J135+PPMT(J$25/12,$B136,J$23,J$53,-J$27,0),IF($B136=J$23,J135+PPMT(J$25/12,$B136,J$23,J$53,-J$27,0)-J$27,0)))</f>
        <v/>
      </c>
      <c r="K136" s="279">
        <f>IF(K$1=0,"",IF($B136&lt;K$23,K135+PPMT(K$25/12,$B136,K$23,K$53,-K$27,0),IF($B136=K$23,K135+PPMT(K$25/12,$B136,K$23,K$53,-K$27,0)-K$27,0)))</f>
        <v/>
      </c>
      <c r="L136" s="279">
        <f>IF(L$1=0,"",IF($B136&lt;L$23,L135+PPMT(L$25/12,$B136,L$23,L$53,-L$27,0),IF($B136=L$23,L135+PPMT(L$25/12,$B136,L$23,L$53,-L$27,0)-L$27,0)))</f>
        <v/>
      </c>
      <c r="M136" s="279">
        <f>IF(M$1=0,"",IF($B136&lt;M$23,M135+PPMT(M$25/12,$B136,M$23,M$53,-M$27,0),IF($B136=M$23,M135+PPMT(M$25/12,$B136,M$23,M$53,-M$27,0)-M$27,0)))</f>
        <v/>
      </c>
      <c r="N136" s="280" t="n"/>
      <c r="O136" s="281" t="n"/>
    </row>
    <row r="137" hidden="1" outlineLevel="1">
      <c r="B137" s="2">
        <f>B136+1</f>
        <v/>
      </c>
      <c r="D137" s="279">
        <f>IF(B137&lt;$D$24,(+'CALCULETTE (2)'!T716/'CALCULETTE (2)'!$B$612),0)</f>
        <v/>
      </c>
      <c r="E137" s="279">
        <f>IF(E$1=0,"",IF($B137&lt;E$23,E136+PPMT(E$25/12,$B137,E$23,E$53,-E$27,0),IF($B137=E$23,E136+PPMT(E$25/12,$B137,E$23,E$53,-E$27,0)-E$27,0)))</f>
        <v/>
      </c>
      <c r="F137" s="279">
        <f>IF(F$1=0,"",IF($B137&lt;F$23,F136+PPMT(F$25/12,$B137,F$23,F$53,-F$27,0),IF($B137=F$23,F136+PPMT(F$25/12,$B137,F$23,F$53,-F$27,0)-F$27,0)))</f>
        <v/>
      </c>
      <c r="G137" s="279">
        <f>IF(G$1=0,"",IF($B137&lt;G$23,G136+PPMT(G$25/12,$B137,G$23,G$53,-G$27,0),IF($B137=G$23,G136+PPMT(G$25/12,$B137,G$23,G$53,-G$27,0)-G$27,0)))</f>
        <v/>
      </c>
      <c r="H137" s="279">
        <f>IF(H$1=0,"",IF($B137&lt;H$23,H136+PPMT(H$25/12,$B137,H$23,H$53,-H$27,0),IF($B137=H$23,H136+PPMT(H$25/12,$B137,H$23,H$53,-H$27,0)-H$27,0)))</f>
        <v/>
      </c>
      <c r="I137" s="279">
        <f>IF(I$1=0,"",IF($B137&lt;I$23,I136+PPMT(I$25/12,$B137,I$23,I$53,-I$27,0),IF($B137=I$23,I136+PPMT(I$25/12,$B137,I$23,I$53,-I$27,0)-I$27,0)))</f>
        <v/>
      </c>
      <c r="J137" s="279">
        <f>IF(J$1=0,"",IF($B137&lt;J$23,J136+PPMT(J$25/12,$B137,J$23,J$53,-J$27,0),IF($B137=J$23,J136+PPMT(J$25/12,$B137,J$23,J$53,-J$27,0)-J$27,0)))</f>
        <v/>
      </c>
      <c r="K137" s="279">
        <f>IF(K$1=0,"",IF($B137&lt;K$23,K136+PPMT(K$25/12,$B137,K$23,K$53,-K$27,0),IF($B137=K$23,K136+PPMT(K$25/12,$B137,K$23,K$53,-K$27,0)-K$27,0)))</f>
        <v/>
      </c>
      <c r="L137" s="279">
        <f>IF(L$1=0,"",IF($B137&lt;L$23,L136+PPMT(L$25/12,$B137,L$23,L$53,-L$27,0),IF($B137=L$23,L136+PPMT(L$25/12,$B137,L$23,L$53,-L$27,0)-L$27,0)))</f>
        <v/>
      </c>
      <c r="M137" s="279">
        <f>IF(M$1=0,"",IF($B137&lt;M$23,M136+PPMT(M$25/12,$B137,M$23,M$53,-M$27,0),IF($B137=M$23,M136+PPMT(M$25/12,$B137,M$23,M$53,-M$27,0)-M$27,0)))</f>
        <v/>
      </c>
      <c r="N137" s="280" t="n"/>
      <c r="O137" s="281" t="n"/>
    </row>
    <row r="138" hidden="1" outlineLevel="1">
      <c r="B138" s="2">
        <f>B137+1</f>
        <v/>
      </c>
      <c r="D138" s="279">
        <f>IF(B138&lt;$D$24,(+'CALCULETTE (2)'!T717/'CALCULETTE (2)'!$B$612),0)</f>
        <v/>
      </c>
      <c r="E138" s="279">
        <f>IF(E$1=0,"",IF($B138&lt;E$23,E137+PPMT(E$25/12,$B138,E$23,E$53,-E$27,0),IF($B138=E$23,E137+PPMT(E$25/12,$B138,E$23,E$53,-E$27,0)-E$27,0)))</f>
        <v/>
      </c>
      <c r="F138" s="279">
        <f>IF(F$1=0,"",IF($B138&lt;F$23,F137+PPMT(F$25/12,$B138,F$23,F$53,-F$27,0),IF($B138=F$23,F137+PPMT(F$25/12,$B138,F$23,F$53,-F$27,0)-F$27,0)))</f>
        <v/>
      </c>
      <c r="G138" s="279">
        <f>IF(G$1=0,"",IF($B138&lt;G$23,G137+PPMT(G$25/12,$B138,G$23,G$53,-G$27,0),IF($B138=G$23,G137+PPMT(G$25/12,$B138,G$23,G$53,-G$27,0)-G$27,0)))</f>
        <v/>
      </c>
      <c r="H138" s="279">
        <f>IF(H$1=0,"",IF($B138&lt;H$23,H137+PPMT(H$25/12,$B138,H$23,H$53,-H$27,0),IF($B138=H$23,H137+PPMT(H$25/12,$B138,H$23,H$53,-H$27,0)-H$27,0)))</f>
        <v/>
      </c>
      <c r="I138" s="279">
        <f>IF(I$1=0,"",IF($B138&lt;I$23,I137+PPMT(I$25/12,$B138,I$23,I$53,-I$27,0),IF($B138=I$23,I137+PPMT(I$25/12,$B138,I$23,I$53,-I$27,0)-I$27,0)))</f>
        <v/>
      </c>
      <c r="J138" s="279">
        <f>IF(J$1=0,"",IF($B138&lt;J$23,J137+PPMT(J$25/12,$B138,J$23,J$53,-J$27,0),IF($B138=J$23,J137+PPMT(J$25/12,$B138,J$23,J$53,-J$27,0)-J$27,0)))</f>
        <v/>
      </c>
      <c r="K138" s="279">
        <f>IF(K$1=0,"",IF($B138&lt;K$23,K137+PPMT(K$25/12,$B138,K$23,K$53,-K$27,0),IF($B138=K$23,K137+PPMT(K$25/12,$B138,K$23,K$53,-K$27,0)-K$27,0)))</f>
        <v/>
      </c>
      <c r="L138" s="279">
        <f>IF(L$1=0,"",IF($B138&lt;L$23,L137+PPMT(L$25/12,$B138,L$23,L$53,-L$27,0),IF($B138=L$23,L137+PPMT(L$25/12,$B138,L$23,L$53,-L$27,0)-L$27,0)))</f>
        <v/>
      </c>
      <c r="M138" s="279">
        <f>IF(M$1=0,"",IF($B138&lt;M$23,M137+PPMT(M$25/12,$B138,M$23,M$53,-M$27,0),IF($B138=M$23,M137+PPMT(M$25/12,$B138,M$23,M$53,-M$27,0)-M$27,0)))</f>
        <v/>
      </c>
      <c r="N138" s="280" t="n"/>
      <c r="O138" s="281" t="n"/>
    </row>
    <row r="139" hidden="1" outlineLevel="1">
      <c r="B139" s="2">
        <f>B138+1</f>
        <v/>
      </c>
      <c r="D139" s="279">
        <f>IF(B139&lt;$D$24,(+'CALCULETTE (2)'!T718/'CALCULETTE (2)'!$B$612),0)</f>
        <v/>
      </c>
      <c r="E139" s="279">
        <f>IF(E$1=0,"",IF($B139&lt;E$23,E138+PPMT(E$25/12,$B139,E$23,E$53,-E$27,0),IF($B139=E$23,E138+PPMT(E$25/12,$B139,E$23,E$53,-E$27,0)-E$27,0)))</f>
        <v/>
      </c>
      <c r="F139" s="279">
        <f>IF(F$1=0,"",IF($B139&lt;F$23,F138+PPMT(F$25/12,$B139,F$23,F$53,-F$27,0),IF($B139=F$23,F138+PPMT(F$25/12,$B139,F$23,F$53,-F$27,0)-F$27,0)))</f>
        <v/>
      </c>
      <c r="G139" s="279">
        <f>IF(G$1=0,"",IF($B139&lt;G$23,G138+PPMT(G$25/12,$B139,G$23,G$53,-G$27,0),IF($B139=G$23,G138+PPMT(G$25/12,$B139,G$23,G$53,-G$27,0)-G$27,0)))</f>
        <v/>
      </c>
      <c r="H139" s="279">
        <f>IF(H$1=0,"",IF($B139&lt;H$23,H138+PPMT(H$25/12,$B139,H$23,H$53,-H$27,0),IF($B139=H$23,H138+PPMT(H$25/12,$B139,H$23,H$53,-H$27,0)-H$27,0)))</f>
        <v/>
      </c>
      <c r="I139" s="279">
        <f>IF(I$1=0,"",IF($B139&lt;I$23,I138+PPMT(I$25/12,$B139,I$23,I$53,-I$27,0),IF($B139=I$23,I138+PPMT(I$25/12,$B139,I$23,I$53,-I$27,0)-I$27,0)))</f>
        <v/>
      </c>
      <c r="J139" s="279">
        <f>IF(J$1=0,"",IF($B139&lt;J$23,J138+PPMT(J$25/12,$B139,J$23,J$53,-J$27,0),IF($B139=J$23,J138+PPMT(J$25/12,$B139,J$23,J$53,-J$27,0)-J$27,0)))</f>
        <v/>
      </c>
      <c r="K139" s="279">
        <f>IF(K$1=0,"",IF($B139&lt;K$23,K138+PPMT(K$25/12,$B139,K$23,K$53,-K$27,0),IF($B139=K$23,K138+PPMT(K$25/12,$B139,K$23,K$53,-K$27,0)-K$27,0)))</f>
        <v/>
      </c>
      <c r="L139" s="279">
        <f>IF(L$1=0,"",IF($B139&lt;L$23,L138+PPMT(L$25/12,$B139,L$23,L$53,-L$27,0),IF($B139=L$23,L138+PPMT(L$25/12,$B139,L$23,L$53,-L$27,0)-L$27,0)))</f>
        <v/>
      </c>
      <c r="M139" s="279">
        <f>IF(M$1=0,"",IF($B139&lt;M$23,M138+PPMT(M$25/12,$B139,M$23,M$53,-M$27,0),IF($B139=M$23,M138+PPMT(M$25/12,$B139,M$23,M$53,-M$27,0)-M$27,0)))</f>
        <v/>
      </c>
      <c r="N139" s="280" t="n"/>
      <c r="O139" s="281" t="n"/>
    </row>
    <row r="140" hidden="1" outlineLevel="1">
      <c r="B140" s="2">
        <f>B139+1</f>
        <v/>
      </c>
      <c r="D140" s="279">
        <f>IF(B140&lt;$D$24,(+'CALCULETTE (2)'!T719/'CALCULETTE (2)'!$B$612),0)</f>
        <v/>
      </c>
      <c r="E140" s="279">
        <f>IF(E$1=0,"",IF($B140&lt;E$23,E139+PPMT(E$25/12,$B140,E$23,E$53,-E$27,0),IF($B140=E$23,E139+PPMT(E$25/12,$B140,E$23,E$53,-E$27,0)-E$27,0)))</f>
        <v/>
      </c>
      <c r="F140" s="279">
        <f>IF(F$1=0,"",IF($B140&lt;F$23,F139+PPMT(F$25/12,$B140,F$23,F$53,-F$27,0),IF($B140=F$23,F139+PPMT(F$25/12,$B140,F$23,F$53,-F$27,0)-F$27,0)))</f>
        <v/>
      </c>
      <c r="G140" s="279">
        <f>IF(G$1=0,"",IF($B140&lt;G$23,G139+PPMT(G$25/12,$B140,G$23,G$53,-G$27,0),IF($B140=G$23,G139+PPMT(G$25/12,$B140,G$23,G$53,-G$27,0)-G$27,0)))</f>
        <v/>
      </c>
      <c r="H140" s="279">
        <f>IF(H$1=0,"",IF($B140&lt;H$23,H139+PPMT(H$25/12,$B140,H$23,H$53,-H$27,0),IF($B140=H$23,H139+PPMT(H$25/12,$B140,H$23,H$53,-H$27,0)-H$27,0)))</f>
        <v/>
      </c>
      <c r="I140" s="279">
        <f>IF(I$1=0,"",IF($B140&lt;I$23,I139+PPMT(I$25/12,$B140,I$23,I$53,-I$27,0),IF($B140=I$23,I139+PPMT(I$25/12,$B140,I$23,I$53,-I$27,0)-I$27,0)))</f>
        <v/>
      </c>
      <c r="J140" s="279">
        <f>IF(J$1=0,"",IF($B140&lt;J$23,J139+PPMT(J$25/12,$B140,J$23,J$53,-J$27,0),IF($B140=J$23,J139+PPMT(J$25/12,$B140,J$23,J$53,-J$27,0)-J$27,0)))</f>
        <v/>
      </c>
      <c r="K140" s="279">
        <f>IF(K$1=0,"",IF($B140&lt;K$23,K139+PPMT(K$25/12,$B140,K$23,K$53,-K$27,0),IF($B140=K$23,K139+PPMT(K$25/12,$B140,K$23,K$53,-K$27,0)-K$27,0)))</f>
        <v/>
      </c>
      <c r="L140" s="279">
        <f>IF(L$1=0,"",IF($B140&lt;L$23,L139+PPMT(L$25/12,$B140,L$23,L$53,-L$27,0),IF($B140=L$23,L139+PPMT(L$25/12,$B140,L$23,L$53,-L$27,0)-L$27,0)))</f>
        <v/>
      </c>
      <c r="M140" s="279">
        <f>IF(M$1=0,"",IF($B140&lt;M$23,M139+PPMT(M$25/12,$B140,M$23,M$53,-M$27,0),IF($B140=M$23,M139+PPMT(M$25/12,$B140,M$23,M$53,-M$27,0)-M$27,0)))</f>
        <v/>
      </c>
      <c r="N140" s="280" t="n"/>
      <c r="O140" s="281" t="n"/>
    </row>
    <row r="141" hidden="1" outlineLevel="1">
      <c r="B141" s="2">
        <f>B140+1</f>
        <v/>
      </c>
      <c r="D141" s="279">
        <f>IF(B141&lt;$D$24,(+'CALCULETTE (2)'!T720/'CALCULETTE (2)'!$B$612),0)</f>
        <v/>
      </c>
      <c r="E141" s="279">
        <f>IF(E$1=0,"",IF($B141&lt;E$23,E140+PPMT(E$25/12,$B141,E$23,E$53,-E$27,0),IF($B141=E$23,E140+PPMT(E$25/12,$B141,E$23,E$53,-E$27,0)-E$27,0)))</f>
        <v/>
      </c>
      <c r="F141" s="279">
        <f>IF(F$1=0,"",IF($B141&lt;F$23,F140+PPMT(F$25/12,$B141,F$23,F$53,-F$27,0),IF($B141=F$23,F140+PPMT(F$25/12,$B141,F$23,F$53,-F$27,0)-F$27,0)))</f>
        <v/>
      </c>
      <c r="G141" s="279">
        <f>IF(G$1=0,"",IF($B141&lt;G$23,G140+PPMT(G$25/12,$B141,G$23,G$53,-G$27,0),IF($B141=G$23,G140+PPMT(G$25/12,$B141,G$23,G$53,-G$27,0)-G$27,0)))</f>
        <v/>
      </c>
      <c r="H141" s="279">
        <f>IF(H$1=0,"",IF($B141&lt;H$23,H140+PPMT(H$25/12,$B141,H$23,H$53,-H$27,0),IF($B141=H$23,H140+PPMT(H$25/12,$B141,H$23,H$53,-H$27,0)-H$27,0)))</f>
        <v/>
      </c>
      <c r="I141" s="279">
        <f>IF(I$1=0,"",IF($B141&lt;I$23,I140+PPMT(I$25/12,$B141,I$23,I$53,-I$27,0),IF($B141=I$23,I140+PPMT(I$25/12,$B141,I$23,I$53,-I$27,0)-I$27,0)))</f>
        <v/>
      </c>
      <c r="J141" s="279">
        <f>IF(J$1=0,"",IF($B141&lt;J$23,J140+PPMT(J$25/12,$B141,J$23,J$53,-J$27,0),IF($B141=J$23,J140+PPMT(J$25/12,$B141,J$23,J$53,-J$27,0)-J$27,0)))</f>
        <v/>
      </c>
      <c r="K141" s="279">
        <f>IF(K$1=0,"",IF($B141&lt;K$23,K140+PPMT(K$25/12,$B141,K$23,K$53,-K$27,0),IF($B141=K$23,K140+PPMT(K$25/12,$B141,K$23,K$53,-K$27,0)-K$27,0)))</f>
        <v/>
      </c>
      <c r="L141" s="279">
        <f>IF(L$1=0,"",IF($B141&lt;L$23,L140+PPMT(L$25/12,$B141,L$23,L$53,-L$27,0),IF($B141=L$23,L140+PPMT(L$25/12,$B141,L$23,L$53,-L$27,0)-L$27,0)))</f>
        <v/>
      </c>
      <c r="M141" s="279">
        <f>IF(M$1=0,"",IF($B141&lt;M$23,M140+PPMT(M$25/12,$B141,M$23,M$53,-M$27,0),IF($B141=M$23,M140+PPMT(M$25/12,$B141,M$23,M$53,-M$27,0)-M$27,0)))</f>
        <v/>
      </c>
      <c r="N141" s="280" t="n"/>
      <c r="O141" s="281" t="n"/>
    </row>
    <row r="142" hidden="1" outlineLevel="1">
      <c r="B142" s="2">
        <f>B141+1</f>
        <v/>
      </c>
      <c r="D142" s="279">
        <f>IF(B142&lt;$D$24,(+'CALCULETTE (2)'!T721/'CALCULETTE (2)'!$B$612),0)</f>
        <v/>
      </c>
      <c r="E142" s="279">
        <f>IF(E$1=0,"",IF($B142&lt;E$23,E141+PPMT(E$25/12,$B142,E$23,E$53,-E$27,0),IF($B142=E$23,E141+PPMT(E$25/12,$B142,E$23,E$53,-E$27,0)-E$27,0)))</f>
        <v/>
      </c>
      <c r="F142" s="279">
        <f>IF(F$1=0,"",IF($B142&lt;F$23,F141+PPMT(F$25/12,$B142,F$23,F$53,-F$27,0),IF($B142=F$23,F141+PPMT(F$25/12,$B142,F$23,F$53,-F$27,0)-F$27,0)))</f>
        <v/>
      </c>
      <c r="G142" s="279">
        <f>IF(G$1=0,"",IF($B142&lt;G$23,G141+PPMT(G$25/12,$B142,G$23,G$53,-G$27,0),IF($B142=G$23,G141+PPMT(G$25/12,$B142,G$23,G$53,-G$27,0)-G$27,0)))</f>
        <v/>
      </c>
      <c r="H142" s="279">
        <f>IF(H$1=0,"",IF($B142&lt;H$23,H141+PPMT(H$25/12,$B142,H$23,H$53,-H$27,0),IF($B142=H$23,H141+PPMT(H$25/12,$B142,H$23,H$53,-H$27,0)-H$27,0)))</f>
        <v/>
      </c>
      <c r="I142" s="279">
        <f>IF(I$1=0,"",IF($B142&lt;I$23,I141+PPMT(I$25/12,$B142,I$23,I$53,-I$27,0),IF($B142=I$23,I141+PPMT(I$25/12,$B142,I$23,I$53,-I$27,0)-I$27,0)))</f>
        <v/>
      </c>
      <c r="J142" s="279">
        <f>IF(J$1=0,"",IF($B142&lt;J$23,J141+PPMT(J$25/12,$B142,J$23,J$53,-J$27,0),IF($B142=J$23,J141+PPMT(J$25/12,$B142,J$23,J$53,-J$27,0)-J$27,0)))</f>
        <v/>
      </c>
      <c r="K142" s="279">
        <f>IF(K$1=0,"",IF($B142&lt;K$23,K141+PPMT(K$25/12,$B142,K$23,K$53,-K$27,0),IF($B142=K$23,K141+PPMT(K$25/12,$B142,K$23,K$53,-K$27,0)-K$27,0)))</f>
        <v/>
      </c>
      <c r="L142" s="279">
        <f>IF(L$1=0,"",IF($B142&lt;L$23,L141+PPMT(L$25/12,$B142,L$23,L$53,-L$27,0),IF($B142=L$23,L141+PPMT(L$25/12,$B142,L$23,L$53,-L$27,0)-L$27,0)))</f>
        <v/>
      </c>
      <c r="M142" s="279">
        <f>IF(M$1=0,"",IF($B142&lt;M$23,M141+PPMT(M$25/12,$B142,M$23,M$53,-M$27,0),IF($B142=M$23,M141+PPMT(M$25/12,$B142,M$23,M$53,-M$27,0)-M$27,0)))</f>
        <v/>
      </c>
      <c r="N142" s="280" t="n"/>
      <c r="O142" s="281" t="n"/>
    </row>
    <row r="143" hidden="1" outlineLevel="1">
      <c r="B143" s="2">
        <f>B142+1</f>
        <v/>
      </c>
      <c r="D143" s="279">
        <f>IF(B143&lt;$D$24,(+'CALCULETTE (2)'!T722/'CALCULETTE (2)'!$B$612),0)</f>
        <v/>
      </c>
      <c r="E143" s="279">
        <f>IF(E$1=0,"",IF($B143&lt;E$23,E142+PPMT(E$25/12,$B143,E$23,E$53,-E$27,0),IF($B143=E$23,E142+PPMT(E$25/12,$B143,E$23,E$53,-E$27,0)-E$27,0)))</f>
        <v/>
      </c>
      <c r="F143" s="279">
        <f>IF(F$1=0,"",IF($B143&lt;F$23,F142+PPMT(F$25/12,$B143,F$23,F$53,-F$27,0),IF($B143=F$23,F142+PPMT(F$25/12,$B143,F$23,F$53,-F$27,0)-F$27,0)))</f>
        <v/>
      </c>
      <c r="G143" s="279">
        <f>IF(G$1=0,"",IF($B143&lt;G$23,G142+PPMT(G$25/12,$B143,G$23,G$53,-G$27,0),IF($B143=G$23,G142+PPMT(G$25/12,$B143,G$23,G$53,-G$27,0)-G$27,0)))</f>
        <v/>
      </c>
      <c r="H143" s="279">
        <f>IF(H$1=0,"",IF($B143&lt;H$23,H142+PPMT(H$25/12,$B143,H$23,H$53,-H$27,0),IF($B143=H$23,H142+PPMT(H$25/12,$B143,H$23,H$53,-H$27,0)-H$27,0)))</f>
        <v/>
      </c>
      <c r="I143" s="279">
        <f>IF(I$1=0,"",IF($B143&lt;I$23,I142+PPMT(I$25/12,$B143,I$23,I$53,-I$27,0),IF($B143=I$23,I142+PPMT(I$25/12,$B143,I$23,I$53,-I$27,0)-I$27,0)))</f>
        <v/>
      </c>
      <c r="J143" s="279">
        <f>IF(J$1=0,"",IF($B143&lt;J$23,J142+PPMT(J$25/12,$B143,J$23,J$53,-J$27,0),IF($B143=J$23,J142+PPMT(J$25/12,$B143,J$23,J$53,-J$27,0)-J$27,0)))</f>
        <v/>
      </c>
      <c r="K143" s="279">
        <f>IF(K$1=0,"",IF($B143&lt;K$23,K142+PPMT(K$25/12,$B143,K$23,K$53,-K$27,0),IF($B143=K$23,K142+PPMT(K$25/12,$B143,K$23,K$53,-K$27,0)-K$27,0)))</f>
        <v/>
      </c>
      <c r="L143" s="279">
        <f>IF(L$1=0,"",IF($B143&lt;L$23,L142+PPMT(L$25/12,$B143,L$23,L$53,-L$27,0),IF($B143=L$23,L142+PPMT(L$25/12,$B143,L$23,L$53,-L$27,0)-L$27,0)))</f>
        <v/>
      </c>
      <c r="M143" s="279">
        <f>IF(M$1=0,"",IF($B143&lt;M$23,M142+PPMT(M$25/12,$B143,M$23,M$53,-M$27,0),IF($B143=M$23,M142+PPMT(M$25/12,$B143,M$23,M$53,-M$27,0)-M$27,0)))</f>
        <v/>
      </c>
      <c r="N143" s="280" t="n"/>
      <c r="O143" s="281" t="n"/>
    </row>
    <row r="144" hidden="1" outlineLevel="1">
      <c r="B144" s="2">
        <f>B143+1</f>
        <v/>
      </c>
      <c r="D144" s="279">
        <f>IF(B144&lt;$D$24,(+'CALCULETTE (2)'!T723/'CALCULETTE (2)'!$B$612),0)</f>
        <v/>
      </c>
      <c r="E144" s="279">
        <f>IF(E$1=0,"",IF($B144&lt;E$23,E143+PPMT(E$25/12,$B144,E$23,E$53,-E$27,0),IF($B144=E$23,E143+PPMT(E$25/12,$B144,E$23,E$53,-E$27,0)-E$27,0)))</f>
        <v/>
      </c>
      <c r="F144" s="279">
        <f>IF(F$1=0,"",IF($B144&lt;F$23,F143+PPMT(F$25/12,$B144,F$23,F$53,-F$27,0),IF($B144=F$23,F143+PPMT(F$25/12,$B144,F$23,F$53,-F$27,0)-F$27,0)))</f>
        <v/>
      </c>
      <c r="G144" s="279">
        <f>IF(G$1=0,"",IF($B144&lt;G$23,G143+PPMT(G$25/12,$B144,G$23,G$53,-G$27,0),IF($B144=G$23,G143+PPMT(G$25/12,$B144,G$23,G$53,-G$27,0)-G$27,0)))</f>
        <v/>
      </c>
      <c r="H144" s="279">
        <f>IF(H$1=0,"",IF($B144&lt;H$23,H143+PPMT(H$25/12,$B144,H$23,H$53,-H$27,0),IF($B144=H$23,H143+PPMT(H$25/12,$B144,H$23,H$53,-H$27,0)-H$27,0)))</f>
        <v/>
      </c>
      <c r="I144" s="279">
        <f>IF(I$1=0,"",IF($B144&lt;I$23,I143+PPMT(I$25/12,$B144,I$23,I$53,-I$27,0),IF($B144=I$23,I143+PPMT(I$25/12,$B144,I$23,I$53,-I$27,0)-I$27,0)))</f>
        <v/>
      </c>
      <c r="J144" s="279">
        <f>IF(J$1=0,"",IF($B144&lt;J$23,J143+PPMT(J$25/12,$B144,J$23,J$53,-J$27,0),IF($B144=J$23,J143+PPMT(J$25/12,$B144,J$23,J$53,-J$27,0)-J$27,0)))</f>
        <v/>
      </c>
      <c r="K144" s="279">
        <f>IF(K$1=0,"",IF($B144&lt;K$23,K143+PPMT(K$25/12,$B144,K$23,K$53,-K$27,0),IF($B144=K$23,K143+PPMT(K$25/12,$B144,K$23,K$53,-K$27,0)-K$27,0)))</f>
        <v/>
      </c>
      <c r="L144" s="279">
        <f>IF(L$1=0,"",IF($B144&lt;L$23,L143+PPMT(L$25/12,$B144,L$23,L$53,-L$27,0),IF($B144=L$23,L143+PPMT(L$25/12,$B144,L$23,L$53,-L$27,0)-L$27,0)))</f>
        <v/>
      </c>
      <c r="M144" s="279">
        <f>IF(M$1=0,"",IF($B144&lt;M$23,M143+PPMT(M$25/12,$B144,M$23,M$53,-M$27,0),IF($B144=M$23,M143+PPMT(M$25/12,$B144,M$23,M$53,-M$27,0)-M$27,0)))</f>
        <v/>
      </c>
      <c r="N144" s="280" t="n"/>
      <c r="O144" s="281" t="n"/>
    </row>
    <row r="145" hidden="1" outlineLevel="1">
      <c r="B145" s="2">
        <f>B144+1</f>
        <v/>
      </c>
      <c r="D145" s="279">
        <f>IF(B145&lt;$D$24,(+'CALCULETTE (2)'!T724/'CALCULETTE (2)'!$B$612),0)</f>
        <v/>
      </c>
      <c r="E145" s="279">
        <f>IF(E$1=0,"",IF($B145&lt;E$23,E144+PPMT(E$25/12,$B145,E$23,E$53,-E$27,0),IF($B145=E$23,E144+PPMT(E$25/12,$B145,E$23,E$53,-E$27,0)-E$27,0)))</f>
        <v/>
      </c>
      <c r="F145" s="279">
        <f>IF(F$1=0,"",IF($B145&lt;F$23,F144+PPMT(F$25/12,$B145,F$23,F$53,-F$27,0),IF($B145=F$23,F144+PPMT(F$25/12,$B145,F$23,F$53,-F$27,0)-F$27,0)))</f>
        <v/>
      </c>
      <c r="G145" s="279">
        <f>IF(G$1=0,"",IF($B145&lt;G$23,G144+PPMT(G$25/12,$B145,G$23,G$53,-G$27,0),IF($B145=G$23,G144+PPMT(G$25/12,$B145,G$23,G$53,-G$27,0)-G$27,0)))</f>
        <v/>
      </c>
      <c r="H145" s="279">
        <f>IF(H$1=0,"",IF($B145&lt;H$23,H144+PPMT(H$25/12,$B145,H$23,H$53,-H$27,0),IF($B145=H$23,H144+PPMT(H$25/12,$B145,H$23,H$53,-H$27,0)-H$27,0)))</f>
        <v/>
      </c>
      <c r="I145" s="279">
        <f>IF(I$1=0,"",IF($B145&lt;I$23,I144+PPMT(I$25/12,$B145,I$23,I$53,-I$27,0),IF($B145=I$23,I144+PPMT(I$25/12,$B145,I$23,I$53,-I$27,0)-I$27,0)))</f>
        <v/>
      </c>
      <c r="J145" s="279">
        <f>IF(J$1=0,"",IF($B145&lt;J$23,J144+PPMT(J$25/12,$B145,J$23,J$53,-J$27,0),IF($B145=J$23,J144+PPMT(J$25/12,$B145,J$23,J$53,-J$27,0)-J$27,0)))</f>
        <v/>
      </c>
      <c r="K145" s="279">
        <f>IF(K$1=0,"",IF($B145&lt;K$23,K144+PPMT(K$25/12,$B145,K$23,K$53,-K$27,0),IF($B145=K$23,K144+PPMT(K$25/12,$B145,K$23,K$53,-K$27,0)-K$27,0)))</f>
        <v/>
      </c>
      <c r="L145" s="279">
        <f>IF(L$1=0,"",IF($B145&lt;L$23,L144+PPMT(L$25/12,$B145,L$23,L$53,-L$27,0),IF($B145=L$23,L144+PPMT(L$25/12,$B145,L$23,L$53,-L$27,0)-L$27,0)))</f>
        <v/>
      </c>
      <c r="M145" s="279">
        <f>IF(M$1=0,"",IF($B145&lt;M$23,M144+PPMT(M$25/12,$B145,M$23,M$53,-M$27,0),IF($B145=M$23,M144+PPMT(M$25/12,$B145,M$23,M$53,-M$27,0)-M$27,0)))</f>
        <v/>
      </c>
      <c r="N145" s="280" t="n"/>
      <c r="O145" s="281" t="n"/>
    </row>
    <row r="146" hidden="1" outlineLevel="1">
      <c r="B146" s="2">
        <f>B145+1</f>
        <v/>
      </c>
      <c r="D146" s="279">
        <f>IF(B146&lt;$D$24,(+'CALCULETTE (2)'!T725/'CALCULETTE (2)'!$B$612),0)</f>
        <v/>
      </c>
      <c r="E146" s="279">
        <f>IF(E$1=0,"",IF($B146&lt;E$23,E145+PPMT(E$25/12,$B146,E$23,E$53,-E$27,0),IF($B146=E$23,E145+PPMT(E$25/12,$B146,E$23,E$53,-E$27,0)-E$27,0)))</f>
        <v/>
      </c>
      <c r="F146" s="279">
        <f>IF(F$1=0,"",IF($B146&lt;F$23,F145+PPMT(F$25/12,$B146,F$23,F$53,-F$27,0),IF($B146=F$23,F145+PPMT(F$25/12,$B146,F$23,F$53,-F$27,0)-F$27,0)))</f>
        <v/>
      </c>
      <c r="G146" s="279">
        <f>IF(G$1=0,"",IF($B146&lt;G$23,G145+PPMT(G$25/12,$B146,G$23,G$53,-G$27,0),IF($B146=G$23,G145+PPMT(G$25/12,$B146,G$23,G$53,-G$27,0)-G$27,0)))</f>
        <v/>
      </c>
      <c r="H146" s="279">
        <f>IF(H$1=0,"",IF($B146&lt;H$23,H145+PPMT(H$25/12,$B146,H$23,H$53,-H$27,0),IF($B146=H$23,H145+PPMT(H$25/12,$B146,H$23,H$53,-H$27,0)-H$27,0)))</f>
        <v/>
      </c>
      <c r="I146" s="279">
        <f>IF(I$1=0,"",IF($B146&lt;I$23,I145+PPMT(I$25/12,$B146,I$23,I$53,-I$27,0),IF($B146=I$23,I145+PPMT(I$25/12,$B146,I$23,I$53,-I$27,0)-I$27,0)))</f>
        <v/>
      </c>
      <c r="J146" s="279">
        <f>IF(J$1=0,"",IF($B146&lt;J$23,J145+PPMT(J$25/12,$B146,J$23,J$53,-J$27,0),IF($B146=J$23,J145+PPMT(J$25/12,$B146,J$23,J$53,-J$27,0)-J$27,0)))</f>
        <v/>
      </c>
      <c r="K146" s="279">
        <f>IF(K$1=0,"",IF($B146&lt;K$23,K145+PPMT(K$25/12,$B146,K$23,K$53,-K$27,0),IF($B146=K$23,K145+PPMT(K$25/12,$B146,K$23,K$53,-K$27,0)-K$27,0)))</f>
        <v/>
      </c>
      <c r="L146" s="279">
        <f>IF(L$1=0,"",IF($B146&lt;L$23,L145+PPMT(L$25/12,$B146,L$23,L$53,-L$27,0),IF($B146=L$23,L145+PPMT(L$25/12,$B146,L$23,L$53,-L$27,0)-L$27,0)))</f>
        <v/>
      </c>
      <c r="M146" s="279">
        <f>IF(M$1=0,"",IF($B146&lt;M$23,M145+PPMT(M$25/12,$B146,M$23,M$53,-M$27,0),IF($B146=M$23,M145+PPMT(M$25/12,$B146,M$23,M$53,-M$27,0)-M$27,0)))</f>
        <v/>
      </c>
      <c r="N146" s="280" t="n"/>
      <c r="O146" s="281" t="n"/>
    </row>
    <row r="147" hidden="1" outlineLevel="1">
      <c r="B147" s="2">
        <f>B146+1</f>
        <v/>
      </c>
      <c r="D147" s="279">
        <f>IF(B147&lt;$D$24,(+'CALCULETTE (2)'!T726/'CALCULETTE (2)'!$B$612),0)</f>
        <v/>
      </c>
      <c r="E147" s="279">
        <f>IF(E$1=0,"",IF($B147&lt;E$23,E146+PPMT(E$25/12,$B147,E$23,E$53,-E$27,0),IF($B147=E$23,E146+PPMT(E$25/12,$B147,E$23,E$53,-E$27,0)-E$27,0)))</f>
        <v/>
      </c>
      <c r="F147" s="279">
        <f>IF(F$1=0,"",IF($B147&lt;F$23,F146+PPMT(F$25/12,$B147,F$23,F$53,-F$27,0),IF($B147=F$23,F146+PPMT(F$25/12,$B147,F$23,F$53,-F$27,0)-F$27,0)))</f>
        <v/>
      </c>
      <c r="G147" s="279">
        <f>IF(G$1=0,"",IF($B147&lt;G$23,G146+PPMT(G$25/12,$B147,G$23,G$53,-G$27,0),IF($B147=G$23,G146+PPMT(G$25/12,$B147,G$23,G$53,-G$27,0)-G$27,0)))</f>
        <v/>
      </c>
      <c r="H147" s="279">
        <f>IF(H$1=0,"",IF($B147&lt;H$23,H146+PPMT(H$25/12,$B147,H$23,H$53,-H$27,0),IF($B147=H$23,H146+PPMT(H$25/12,$B147,H$23,H$53,-H$27,0)-H$27,0)))</f>
        <v/>
      </c>
      <c r="I147" s="279">
        <f>IF(I$1=0,"",IF($B147&lt;I$23,I146+PPMT(I$25/12,$B147,I$23,I$53,-I$27,0),IF($B147=I$23,I146+PPMT(I$25/12,$B147,I$23,I$53,-I$27,0)-I$27,0)))</f>
        <v/>
      </c>
      <c r="J147" s="279">
        <f>IF(J$1=0,"",IF($B147&lt;J$23,J146+PPMT(J$25/12,$B147,J$23,J$53,-J$27,0),IF($B147=J$23,J146+PPMT(J$25/12,$B147,J$23,J$53,-J$27,0)-J$27,0)))</f>
        <v/>
      </c>
      <c r="K147" s="279">
        <f>IF(K$1=0,"",IF($B147&lt;K$23,K146+PPMT(K$25/12,$B147,K$23,K$53,-K$27,0),IF($B147=K$23,K146+PPMT(K$25/12,$B147,K$23,K$53,-K$27,0)-K$27,0)))</f>
        <v/>
      </c>
      <c r="L147" s="279">
        <f>IF(L$1=0,"",IF($B147&lt;L$23,L146+PPMT(L$25/12,$B147,L$23,L$53,-L$27,0),IF($B147=L$23,L146+PPMT(L$25/12,$B147,L$23,L$53,-L$27,0)-L$27,0)))</f>
        <v/>
      </c>
      <c r="M147" s="279">
        <f>IF(M$1=0,"",IF($B147&lt;M$23,M146+PPMT(M$25/12,$B147,M$23,M$53,-M$27,0),IF($B147=M$23,M146+PPMT(M$25/12,$B147,M$23,M$53,-M$27,0)-M$27,0)))</f>
        <v/>
      </c>
      <c r="N147" s="280" t="n"/>
      <c r="O147" s="281" t="n"/>
    </row>
    <row r="148" hidden="1" outlineLevel="1">
      <c r="B148" s="2">
        <f>B147+1</f>
        <v/>
      </c>
      <c r="D148" s="279">
        <f>IF(B148&lt;$D$24,(+'CALCULETTE (2)'!T727/'CALCULETTE (2)'!$B$612),0)</f>
        <v/>
      </c>
      <c r="E148" s="279">
        <f>IF(E$1=0,"",IF($B148&lt;E$23,E147+PPMT(E$25/12,$B148,E$23,E$53,-E$27,0),IF($B148=E$23,E147+PPMT(E$25/12,$B148,E$23,E$53,-E$27,0)-E$27,0)))</f>
        <v/>
      </c>
      <c r="F148" s="279">
        <f>IF(F$1=0,"",IF($B148&lt;F$23,F147+PPMT(F$25/12,$B148,F$23,F$53,-F$27,0),IF($B148=F$23,F147+PPMT(F$25/12,$B148,F$23,F$53,-F$27,0)-F$27,0)))</f>
        <v/>
      </c>
      <c r="G148" s="279">
        <f>IF(G$1=0,"",IF($B148&lt;G$23,G147+PPMT(G$25/12,$B148,G$23,G$53,-G$27,0),IF($B148=G$23,G147+PPMT(G$25/12,$B148,G$23,G$53,-G$27,0)-G$27,0)))</f>
        <v/>
      </c>
      <c r="H148" s="279">
        <f>IF(H$1=0,"",IF($B148&lt;H$23,H147+PPMT(H$25/12,$B148,H$23,H$53,-H$27,0),IF($B148=H$23,H147+PPMT(H$25/12,$B148,H$23,H$53,-H$27,0)-H$27,0)))</f>
        <v/>
      </c>
      <c r="I148" s="279">
        <f>IF(I$1=0,"",IF($B148&lt;I$23,I147+PPMT(I$25/12,$B148,I$23,I$53,-I$27,0),IF($B148=I$23,I147+PPMT(I$25/12,$B148,I$23,I$53,-I$27,0)-I$27,0)))</f>
        <v/>
      </c>
      <c r="J148" s="279">
        <f>IF(J$1=0,"",IF($B148&lt;J$23,J147+PPMT(J$25/12,$B148,J$23,J$53,-J$27,0),IF($B148=J$23,J147+PPMT(J$25/12,$B148,J$23,J$53,-J$27,0)-J$27,0)))</f>
        <v/>
      </c>
      <c r="K148" s="279">
        <f>IF(K$1=0,"",IF($B148&lt;K$23,K147+PPMT(K$25/12,$B148,K$23,K$53,-K$27,0),IF($B148=K$23,K147+PPMT(K$25/12,$B148,K$23,K$53,-K$27,0)-K$27,0)))</f>
        <v/>
      </c>
      <c r="L148" s="279">
        <f>IF(L$1=0,"",IF($B148&lt;L$23,L147+PPMT(L$25/12,$B148,L$23,L$53,-L$27,0),IF($B148=L$23,L147+PPMT(L$25/12,$B148,L$23,L$53,-L$27,0)-L$27,0)))</f>
        <v/>
      </c>
      <c r="M148" s="279">
        <f>IF(M$1=0,"",IF($B148&lt;M$23,M147+PPMT(M$25/12,$B148,M$23,M$53,-M$27,0),IF($B148=M$23,M147+PPMT(M$25/12,$B148,M$23,M$53,-M$27,0)-M$27,0)))</f>
        <v/>
      </c>
      <c r="N148" s="280" t="n"/>
      <c r="O148" s="281" t="n"/>
    </row>
    <row r="149" hidden="1" outlineLevel="1">
      <c r="B149" s="2">
        <f>B148+1</f>
        <v/>
      </c>
      <c r="D149" s="279">
        <f>IF(B149&lt;$D$24,(+'CALCULETTE (2)'!T728/'CALCULETTE (2)'!$B$612),0)</f>
        <v/>
      </c>
      <c r="E149" s="279">
        <f>IF(E$1=0,"",IF($B149&lt;E$23,E148+PPMT(E$25/12,$B149,E$23,E$53,-E$27,0),IF($B149=E$23,E148+PPMT(E$25/12,$B149,E$23,E$53,-E$27,0)-E$27,0)))</f>
        <v/>
      </c>
      <c r="F149" s="279">
        <f>IF(F$1=0,"",IF($B149&lt;F$23,F148+PPMT(F$25/12,$B149,F$23,F$53,-F$27,0),IF($B149=F$23,F148+PPMT(F$25/12,$B149,F$23,F$53,-F$27,0)-F$27,0)))</f>
        <v/>
      </c>
      <c r="G149" s="279">
        <f>IF(G$1=0,"",IF($B149&lt;G$23,G148+PPMT(G$25/12,$B149,G$23,G$53,-G$27,0),IF($B149=G$23,G148+PPMT(G$25/12,$B149,G$23,G$53,-G$27,0)-G$27,0)))</f>
        <v/>
      </c>
      <c r="H149" s="279">
        <f>IF(H$1=0,"",IF($B149&lt;H$23,H148+PPMT(H$25/12,$B149,H$23,H$53,-H$27,0),IF($B149=H$23,H148+PPMT(H$25/12,$B149,H$23,H$53,-H$27,0)-H$27,0)))</f>
        <v/>
      </c>
      <c r="I149" s="279">
        <f>IF(I$1=0,"",IF($B149&lt;I$23,I148+PPMT(I$25/12,$B149,I$23,I$53,-I$27,0),IF($B149=I$23,I148+PPMT(I$25/12,$B149,I$23,I$53,-I$27,0)-I$27,0)))</f>
        <v/>
      </c>
      <c r="J149" s="279">
        <f>IF(J$1=0,"",IF($B149&lt;J$23,J148+PPMT(J$25/12,$B149,J$23,J$53,-J$27,0),IF($B149=J$23,J148+PPMT(J$25/12,$B149,J$23,J$53,-J$27,0)-J$27,0)))</f>
        <v/>
      </c>
      <c r="K149" s="279">
        <f>IF(K$1=0,"",IF($B149&lt;K$23,K148+PPMT(K$25/12,$B149,K$23,K$53,-K$27,0),IF($B149=K$23,K148+PPMT(K$25/12,$B149,K$23,K$53,-K$27,0)-K$27,0)))</f>
        <v/>
      </c>
      <c r="L149" s="279">
        <f>IF(L$1=0,"",IF($B149&lt;L$23,L148+PPMT(L$25/12,$B149,L$23,L$53,-L$27,0),IF($B149=L$23,L148+PPMT(L$25/12,$B149,L$23,L$53,-L$27,0)-L$27,0)))</f>
        <v/>
      </c>
      <c r="M149" s="279">
        <f>IF(M$1=0,"",IF($B149&lt;M$23,M148+PPMT(M$25/12,$B149,M$23,M$53,-M$27,0),IF($B149=M$23,M148+PPMT(M$25/12,$B149,M$23,M$53,-M$27,0)-M$27,0)))</f>
        <v/>
      </c>
      <c r="N149" s="280" t="n"/>
      <c r="O149" s="281" t="n"/>
    </row>
    <row r="150" hidden="1" outlineLevel="1">
      <c r="B150" s="2">
        <f>B149+1</f>
        <v/>
      </c>
      <c r="D150" s="279">
        <f>IF(B150&lt;$D$24,(+'CALCULETTE (2)'!T729/'CALCULETTE (2)'!$B$612),0)</f>
        <v/>
      </c>
      <c r="E150" s="279">
        <f>IF(E$1=0,"",IF($B150&lt;E$23,E149+PPMT(E$25/12,$B150,E$23,E$53,-E$27,0),IF($B150=E$23,E149+PPMT(E$25/12,$B150,E$23,E$53,-E$27,0)-E$27,0)))</f>
        <v/>
      </c>
      <c r="F150" s="279">
        <f>IF(F$1=0,"",IF($B150&lt;F$23,F149+PPMT(F$25/12,$B150,F$23,F$53,-F$27,0),IF($B150=F$23,F149+PPMT(F$25/12,$B150,F$23,F$53,-F$27,0)-F$27,0)))</f>
        <v/>
      </c>
      <c r="G150" s="279">
        <f>IF(G$1=0,"",IF($B150&lt;G$23,G149+PPMT(G$25/12,$B150,G$23,G$53,-G$27,0),IF($B150=G$23,G149+PPMT(G$25/12,$B150,G$23,G$53,-G$27,0)-G$27,0)))</f>
        <v/>
      </c>
      <c r="H150" s="279">
        <f>IF(H$1=0,"",IF($B150&lt;H$23,H149+PPMT(H$25/12,$B150,H$23,H$53,-H$27,0),IF($B150=H$23,H149+PPMT(H$25/12,$B150,H$23,H$53,-H$27,0)-H$27,0)))</f>
        <v/>
      </c>
      <c r="I150" s="279">
        <f>IF(I$1=0,"",IF($B150&lt;I$23,I149+PPMT(I$25/12,$B150,I$23,I$53,-I$27,0),IF($B150=I$23,I149+PPMT(I$25/12,$B150,I$23,I$53,-I$27,0)-I$27,0)))</f>
        <v/>
      </c>
      <c r="J150" s="279">
        <f>IF(J$1=0,"",IF($B150&lt;J$23,J149+PPMT(J$25/12,$B150,J$23,J$53,-J$27,0),IF($B150=J$23,J149+PPMT(J$25/12,$B150,J$23,J$53,-J$27,0)-J$27,0)))</f>
        <v/>
      </c>
      <c r="K150" s="279">
        <f>IF(K$1=0,"",IF($B150&lt;K$23,K149+PPMT(K$25/12,$B150,K$23,K$53,-K$27,0),IF($B150=K$23,K149+PPMT(K$25/12,$B150,K$23,K$53,-K$27,0)-K$27,0)))</f>
        <v/>
      </c>
      <c r="L150" s="279">
        <f>IF(L$1=0,"",IF($B150&lt;L$23,L149+PPMT(L$25/12,$B150,L$23,L$53,-L$27,0),IF($B150=L$23,L149+PPMT(L$25/12,$B150,L$23,L$53,-L$27,0)-L$27,0)))</f>
        <v/>
      </c>
      <c r="M150" s="279">
        <f>IF(M$1=0,"",IF($B150&lt;M$23,M149+PPMT(M$25/12,$B150,M$23,M$53,-M$27,0),IF($B150=M$23,M149+PPMT(M$25/12,$B150,M$23,M$53,-M$27,0)-M$27,0)))</f>
        <v/>
      </c>
      <c r="N150" s="280" t="n"/>
      <c r="O150" s="281" t="n"/>
    </row>
    <row r="151" hidden="1" outlineLevel="1">
      <c r="B151" s="2">
        <f>B150+1</f>
        <v/>
      </c>
      <c r="D151" s="279">
        <f>IF(B151&lt;$D$24,(+'CALCULETTE (2)'!T730/'CALCULETTE (2)'!$B$612),0)</f>
        <v/>
      </c>
      <c r="E151" s="279">
        <f>IF(E$1=0,"",IF($B151&lt;E$23,E150+PPMT(E$25/12,$B151,E$23,E$53,-E$27,0),IF($B151=E$23,E150+PPMT(E$25/12,$B151,E$23,E$53,-E$27,0)-E$27,0)))</f>
        <v/>
      </c>
      <c r="F151" s="279">
        <f>IF(F$1=0,"",IF($B151&lt;F$23,F150+PPMT(F$25/12,$B151,F$23,F$53,-F$27,0),IF($B151=F$23,F150+PPMT(F$25/12,$B151,F$23,F$53,-F$27,0)-F$27,0)))</f>
        <v/>
      </c>
      <c r="G151" s="279">
        <f>IF(G$1=0,"",IF($B151&lt;G$23,G150+PPMT(G$25/12,$B151,G$23,G$53,-G$27,0),IF($B151=G$23,G150+PPMT(G$25/12,$B151,G$23,G$53,-G$27,0)-G$27,0)))</f>
        <v/>
      </c>
      <c r="H151" s="279">
        <f>IF(H$1=0,"",IF($B151&lt;H$23,H150+PPMT(H$25/12,$B151,H$23,H$53,-H$27,0),IF($B151=H$23,H150+PPMT(H$25/12,$B151,H$23,H$53,-H$27,0)-H$27,0)))</f>
        <v/>
      </c>
      <c r="I151" s="279">
        <f>IF(I$1=0,"",IF($B151&lt;I$23,I150+PPMT(I$25/12,$B151,I$23,I$53,-I$27,0),IF($B151=I$23,I150+PPMT(I$25/12,$B151,I$23,I$53,-I$27,0)-I$27,0)))</f>
        <v/>
      </c>
      <c r="J151" s="279">
        <f>IF(J$1=0,"",IF($B151&lt;J$23,J150+PPMT(J$25/12,$B151,J$23,J$53,-J$27,0),IF($B151=J$23,J150+PPMT(J$25/12,$B151,J$23,J$53,-J$27,0)-J$27,0)))</f>
        <v/>
      </c>
      <c r="K151" s="279">
        <f>IF(K$1=0,"",IF($B151&lt;K$23,K150+PPMT(K$25/12,$B151,K$23,K$53,-K$27,0),IF($B151=K$23,K150+PPMT(K$25/12,$B151,K$23,K$53,-K$27,0)-K$27,0)))</f>
        <v/>
      </c>
      <c r="L151" s="279">
        <f>IF(L$1=0,"",IF($B151&lt;L$23,L150+PPMT(L$25/12,$B151,L$23,L$53,-L$27,0),IF($B151=L$23,L150+PPMT(L$25/12,$B151,L$23,L$53,-L$27,0)-L$27,0)))</f>
        <v/>
      </c>
      <c r="M151" s="279">
        <f>IF(M$1=0,"",IF($B151&lt;M$23,M150+PPMT(M$25/12,$B151,M$23,M$53,-M$27,0),IF($B151=M$23,M150+PPMT(M$25/12,$B151,M$23,M$53,-M$27,0)-M$27,0)))</f>
        <v/>
      </c>
      <c r="N151" s="280" t="n"/>
      <c r="O151" s="281" t="n"/>
    </row>
    <row r="152" hidden="1" outlineLevel="1">
      <c r="B152" s="2">
        <f>B151+1</f>
        <v/>
      </c>
      <c r="D152" s="279">
        <f>IF(B152&lt;$D$24,(+'CALCULETTE (2)'!T731/'CALCULETTE (2)'!$B$612),0)</f>
        <v/>
      </c>
      <c r="E152" s="279">
        <f>IF(E$1=0,"",IF($B152&lt;E$23,E151+PPMT(E$25/12,$B152,E$23,E$53,-E$27,0),IF($B152=E$23,E151+PPMT(E$25/12,$B152,E$23,E$53,-E$27,0)-E$27,0)))</f>
        <v/>
      </c>
      <c r="F152" s="279">
        <f>IF(F$1=0,"",IF($B152&lt;F$23,F151+PPMT(F$25/12,$B152,F$23,F$53,-F$27,0),IF($B152=F$23,F151+PPMT(F$25/12,$B152,F$23,F$53,-F$27,0)-F$27,0)))</f>
        <v/>
      </c>
      <c r="G152" s="279">
        <f>IF(G$1=0,"",IF($B152&lt;G$23,G151+PPMT(G$25/12,$B152,G$23,G$53,-G$27,0),IF($B152=G$23,G151+PPMT(G$25/12,$B152,G$23,G$53,-G$27,0)-G$27,0)))</f>
        <v/>
      </c>
      <c r="H152" s="279">
        <f>IF(H$1=0,"",IF($B152&lt;H$23,H151+PPMT(H$25/12,$B152,H$23,H$53,-H$27,0),IF($B152=H$23,H151+PPMT(H$25/12,$B152,H$23,H$53,-H$27,0)-H$27,0)))</f>
        <v/>
      </c>
      <c r="I152" s="279">
        <f>IF(I$1=0,"",IF($B152&lt;I$23,I151+PPMT(I$25/12,$B152,I$23,I$53,-I$27,0),IF($B152=I$23,I151+PPMT(I$25/12,$B152,I$23,I$53,-I$27,0)-I$27,0)))</f>
        <v/>
      </c>
      <c r="J152" s="279">
        <f>IF(J$1=0,"",IF($B152&lt;J$23,J151+PPMT(J$25/12,$B152,J$23,J$53,-J$27,0),IF($B152=J$23,J151+PPMT(J$25/12,$B152,J$23,J$53,-J$27,0)-J$27,0)))</f>
        <v/>
      </c>
      <c r="K152" s="279">
        <f>IF(K$1=0,"",IF($B152&lt;K$23,K151+PPMT(K$25/12,$B152,K$23,K$53,-K$27,0),IF($B152=K$23,K151+PPMT(K$25/12,$B152,K$23,K$53,-K$27,0)-K$27,0)))</f>
        <v/>
      </c>
      <c r="L152" s="279">
        <f>IF(L$1=0,"",IF($B152&lt;L$23,L151+PPMT(L$25/12,$B152,L$23,L$53,-L$27,0),IF($B152=L$23,L151+PPMT(L$25/12,$B152,L$23,L$53,-L$27,0)-L$27,0)))</f>
        <v/>
      </c>
      <c r="M152" s="279">
        <f>IF(M$1=0,"",IF($B152&lt;M$23,M151+PPMT(M$25/12,$B152,M$23,M$53,-M$27,0),IF($B152=M$23,M151+PPMT(M$25/12,$B152,M$23,M$53,-M$27,0)-M$27,0)))</f>
        <v/>
      </c>
      <c r="N152" s="280" t="n"/>
      <c r="O152" s="281" t="n"/>
    </row>
    <row r="153" hidden="1" outlineLevel="1">
      <c r="B153" s="2">
        <f>B152+1</f>
        <v/>
      </c>
      <c r="D153" s="279">
        <f>IF(B153&lt;$D$24,(+'CALCULETTE (2)'!T732/'CALCULETTE (2)'!$B$612),0)</f>
        <v/>
      </c>
      <c r="E153" s="279">
        <f>IF(E$1=0,"",IF($B153&lt;E$23,E152+PPMT(E$25/12,$B153,E$23,E$53,-E$27,0),IF($B153=E$23,E152+PPMT(E$25/12,$B153,E$23,E$53,-E$27,0)-E$27,0)))</f>
        <v/>
      </c>
      <c r="F153" s="279">
        <f>IF(F$1=0,"",IF($B153&lt;F$23,F152+PPMT(F$25/12,$B153,F$23,F$53,-F$27,0),IF($B153=F$23,F152+PPMT(F$25/12,$B153,F$23,F$53,-F$27,0)-F$27,0)))</f>
        <v/>
      </c>
      <c r="G153" s="279">
        <f>IF(G$1=0,"",IF($B153&lt;G$23,G152+PPMT(G$25/12,$B153,G$23,G$53,-G$27,0),IF($B153=G$23,G152+PPMT(G$25/12,$B153,G$23,G$53,-G$27,0)-G$27,0)))</f>
        <v/>
      </c>
      <c r="H153" s="279">
        <f>IF(H$1=0,"",IF($B153&lt;H$23,H152+PPMT(H$25/12,$B153,H$23,H$53,-H$27,0),IF($B153=H$23,H152+PPMT(H$25/12,$B153,H$23,H$53,-H$27,0)-H$27,0)))</f>
        <v/>
      </c>
      <c r="I153" s="279">
        <f>IF(I$1=0,"",IF($B153&lt;I$23,I152+PPMT(I$25/12,$B153,I$23,I$53,-I$27,0),IF($B153=I$23,I152+PPMT(I$25/12,$B153,I$23,I$53,-I$27,0)-I$27,0)))</f>
        <v/>
      </c>
      <c r="J153" s="279">
        <f>IF(J$1=0,"",IF($B153&lt;J$23,J152+PPMT(J$25/12,$B153,J$23,J$53,-J$27,0),IF($B153=J$23,J152+PPMT(J$25/12,$B153,J$23,J$53,-J$27,0)-J$27,0)))</f>
        <v/>
      </c>
      <c r="K153" s="279">
        <f>IF(K$1=0,"",IF($B153&lt;K$23,K152+PPMT(K$25/12,$B153,K$23,K$53,-K$27,0),IF($B153=K$23,K152+PPMT(K$25/12,$B153,K$23,K$53,-K$27,0)-K$27,0)))</f>
        <v/>
      </c>
      <c r="L153" s="279">
        <f>IF(L$1=0,"",IF($B153&lt;L$23,L152+PPMT(L$25/12,$B153,L$23,L$53,-L$27,0),IF($B153=L$23,L152+PPMT(L$25/12,$B153,L$23,L$53,-L$27,0)-L$27,0)))</f>
        <v/>
      </c>
      <c r="M153" s="279">
        <f>IF(M$1=0,"",IF($B153&lt;M$23,M152+PPMT(M$25/12,$B153,M$23,M$53,-M$27,0),IF($B153=M$23,M152+PPMT(M$25/12,$B153,M$23,M$53,-M$27,0)-M$27,0)))</f>
        <v/>
      </c>
      <c r="N153" s="280" t="n"/>
      <c r="O153" s="281" t="n"/>
    </row>
    <row r="154" hidden="1" outlineLevel="1">
      <c r="B154" s="2">
        <f>B153+1</f>
        <v/>
      </c>
      <c r="D154" s="279">
        <f>IF(B154&lt;$D$24,(+'CALCULETTE (2)'!T733/'CALCULETTE (2)'!$B$612),0)</f>
        <v/>
      </c>
      <c r="E154" s="279">
        <f>IF(E$1=0,"",IF($B154&lt;E$23,E153+PPMT(E$25/12,$B154,E$23,E$53,-E$27,0),IF($B154=E$23,E153+PPMT(E$25/12,$B154,E$23,E$53,-E$27,0)-E$27,0)))</f>
        <v/>
      </c>
      <c r="F154" s="279">
        <f>IF(F$1=0,"",IF($B154&lt;F$23,F153+PPMT(F$25/12,$B154,F$23,F$53,-F$27,0),IF($B154=F$23,F153+PPMT(F$25/12,$B154,F$23,F$53,-F$27,0)-F$27,0)))</f>
        <v/>
      </c>
      <c r="G154" s="279">
        <f>IF(G$1=0,"",IF($B154&lt;G$23,G153+PPMT(G$25/12,$B154,G$23,G$53,-G$27,0),IF($B154=G$23,G153+PPMT(G$25/12,$B154,G$23,G$53,-G$27,0)-G$27,0)))</f>
        <v/>
      </c>
      <c r="H154" s="279">
        <f>IF(H$1=0,"",IF($B154&lt;H$23,H153+PPMT(H$25/12,$B154,H$23,H$53,-H$27,0),IF($B154=H$23,H153+PPMT(H$25/12,$B154,H$23,H$53,-H$27,0)-H$27,0)))</f>
        <v/>
      </c>
      <c r="I154" s="279">
        <f>IF(I$1=0,"",IF($B154&lt;I$23,I153+PPMT(I$25/12,$B154,I$23,I$53,-I$27,0),IF($B154=I$23,I153+PPMT(I$25/12,$B154,I$23,I$53,-I$27,0)-I$27,0)))</f>
        <v/>
      </c>
      <c r="J154" s="279">
        <f>IF(J$1=0,"",IF($B154&lt;J$23,J153+PPMT(J$25/12,$B154,J$23,J$53,-J$27,0),IF($B154=J$23,J153+PPMT(J$25/12,$B154,J$23,J$53,-J$27,0)-J$27,0)))</f>
        <v/>
      </c>
      <c r="K154" s="279">
        <f>IF(K$1=0,"",IF($B154&lt;K$23,K153+PPMT(K$25/12,$B154,K$23,K$53,-K$27,0),IF($B154=K$23,K153+PPMT(K$25/12,$B154,K$23,K$53,-K$27,0)-K$27,0)))</f>
        <v/>
      </c>
      <c r="L154" s="279">
        <f>IF(L$1=0,"",IF($B154&lt;L$23,L153+PPMT(L$25/12,$B154,L$23,L$53,-L$27,0),IF($B154=L$23,L153+PPMT(L$25/12,$B154,L$23,L$53,-L$27,0)-L$27,0)))</f>
        <v/>
      </c>
      <c r="M154" s="279">
        <f>IF(M$1=0,"",IF($B154&lt;M$23,M153+PPMT(M$25/12,$B154,M$23,M$53,-M$27,0),IF($B154=M$23,M153+PPMT(M$25/12,$B154,M$23,M$53,-M$27,0)-M$27,0)))</f>
        <v/>
      </c>
      <c r="N154" s="280" t="n"/>
      <c r="O154" s="281" t="n"/>
    </row>
    <row r="155" hidden="1" outlineLevel="1">
      <c r="B155" s="2">
        <f>B154+1</f>
        <v/>
      </c>
      <c r="D155" s="279">
        <f>IF(B155&lt;$D$24,(+'CALCULETTE (2)'!T734/'CALCULETTE (2)'!$B$612),0)</f>
        <v/>
      </c>
      <c r="E155" s="279">
        <f>IF(E$1=0,"",IF($B155&lt;E$23,E154+PPMT(E$25/12,$B155,E$23,E$53,-E$27,0),IF($B155=E$23,E154+PPMT(E$25/12,$B155,E$23,E$53,-E$27,0)-E$27,0)))</f>
        <v/>
      </c>
      <c r="F155" s="279">
        <f>IF(F$1=0,"",IF($B155&lt;F$23,F154+PPMT(F$25/12,$B155,F$23,F$53,-F$27,0),IF($B155=F$23,F154+PPMT(F$25/12,$B155,F$23,F$53,-F$27,0)-F$27,0)))</f>
        <v/>
      </c>
      <c r="G155" s="279">
        <f>IF(G$1=0,"",IF($B155&lt;G$23,G154+PPMT(G$25/12,$B155,G$23,G$53,-G$27,0),IF($B155=G$23,G154+PPMT(G$25/12,$B155,G$23,G$53,-G$27,0)-G$27,0)))</f>
        <v/>
      </c>
      <c r="H155" s="279">
        <f>IF(H$1=0,"",IF($B155&lt;H$23,H154+PPMT(H$25/12,$B155,H$23,H$53,-H$27,0),IF($B155=H$23,H154+PPMT(H$25/12,$B155,H$23,H$53,-H$27,0)-H$27,0)))</f>
        <v/>
      </c>
      <c r="I155" s="279">
        <f>IF(I$1=0,"",IF($B155&lt;I$23,I154+PPMT(I$25/12,$B155,I$23,I$53,-I$27,0),IF($B155=I$23,I154+PPMT(I$25/12,$B155,I$23,I$53,-I$27,0)-I$27,0)))</f>
        <v/>
      </c>
      <c r="J155" s="279">
        <f>IF(J$1=0,"",IF($B155&lt;J$23,J154+PPMT(J$25/12,$B155,J$23,J$53,-J$27,0),IF($B155=J$23,J154+PPMT(J$25/12,$B155,J$23,J$53,-J$27,0)-J$27,0)))</f>
        <v/>
      </c>
      <c r="K155" s="279">
        <f>IF(K$1=0,"",IF($B155&lt;K$23,K154+PPMT(K$25/12,$B155,K$23,K$53,-K$27,0),IF($B155=K$23,K154+PPMT(K$25/12,$B155,K$23,K$53,-K$27,0)-K$27,0)))</f>
        <v/>
      </c>
      <c r="L155" s="279">
        <f>IF(L$1=0,"",IF($B155&lt;L$23,L154+PPMT(L$25/12,$B155,L$23,L$53,-L$27,0),IF($B155=L$23,L154+PPMT(L$25/12,$B155,L$23,L$53,-L$27,0)-L$27,0)))</f>
        <v/>
      </c>
      <c r="M155" s="279">
        <f>IF(M$1=0,"",IF($B155&lt;M$23,M154+PPMT(M$25/12,$B155,M$23,M$53,-M$27,0),IF($B155=M$23,M154+PPMT(M$25/12,$B155,M$23,M$53,-M$27,0)-M$27,0)))</f>
        <v/>
      </c>
      <c r="N155" s="280" t="n"/>
      <c r="O155" s="281" t="n"/>
    </row>
    <row r="156" hidden="1" outlineLevel="1">
      <c r="B156" s="2">
        <f>B155+1</f>
        <v/>
      </c>
      <c r="D156" s="279">
        <f>IF(B156&lt;$D$24,(+'CALCULETTE (2)'!T735/'CALCULETTE (2)'!$B$612),0)</f>
        <v/>
      </c>
      <c r="E156" s="279">
        <f>IF(E$1=0,"",IF($B156&lt;E$23,E155+PPMT(E$25/12,$B156,E$23,E$53,-E$27,0),IF($B156=E$23,E155+PPMT(E$25/12,$B156,E$23,E$53,-E$27,0)-E$27,0)))</f>
        <v/>
      </c>
      <c r="F156" s="279">
        <f>IF(F$1=0,"",IF($B156&lt;F$23,F155+PPMT(F$25/12,$B156,F$23,F$53,-F$27,0),IF($B156=F$23,F155+PPMT(F$25/12,$B156,F$23,F$53,-F$27,0)-F$27,0)))</f>
        <v/>
      </c>
      <c r="G156" s="279">
        <f>IF(G$1=0,"",IF($B156&lt;G$23,G155+PPMT(G$25/12,$B156,G$23,G$53,-G$27,0),IF($B156=G$23,G155+PPMT(G$25/12,$B156,G$23,G$53,-G$27,0)-G$27,0)))</f>
        <v/>
      </c>
      <c r="H156" s="279">
        <f>IF(H$1=0,"",IF($B156&lt;H$23,H155+PPMT(H$25/12,$B156,H$23,H$53,-H$27,0),IF($B156=H$23,H155+PPMT(H$25/12,$B156,H$23,H$53,-H$27,0)-H$27,0)))</f>
        <v/>
      </c>
      <c r="I156" s="279">
        <f>IF(I$1=0,"",IF($B156&lt;I$23,I155+PPMT(I$25/12,$B156,I$23,I$53,-I$27,0),IF($B156=I$23,I155+PPMT(I$25/12,$B156,I$23,I$53,-I$27,0)-I$27,0)))</f>
        <v/>
      </c>
      <c r="J156" s="279">
        <f>IF(J$1=0,"",IF($B156&lt;J$23,J155+PPMT(J$25/12,$B156,J$23,J$53,-J$27,0),IF($B156=J$23,J155+PPMT(J$25/12,$B156,J$23,J$53,-J$27,0)-J$27,0)))</f>
        <v/>
      </c>
      <c r="K156" s="279">
        <f>IF(K$1=0,"",IF($B156&lt;K$23,K155+PPMT(K$25/12,$B156,K$23,K$53,-K$27,0),IF($B156=K$23,K155+PPMT(K$25/12,$B156,K$23,K$53,-K$27,0)-K$27,0)))</f>
        <v/>
      </c>
      <c r="L156" s="279">
        <f>IF(L$1=0,"",IF($B156&lt;L$23,L155+PPMT(L$25/12,$B156,L$23,L$53,-L$27,0),IF($B156=L$23,L155+PPMT(L$25/12,$B156,L$23,L$53,-L$27,0)-L$27,0)))</f>
        <v/>
      </c>
      <c r="M156" s="279">
        <f>IF(M$1=0,"",IF($B156&lt;M$23,M155+PPMT(M$25/12,$B156,M$23,M$53,-M$27,0),IF($B156=M$23,M155+PPMT(M$25/12,$B156,M$23,M$53,-M$27,0)-M$27,0)))</f>
        <v/>
      </c>
      <c r="N156" s="280" t="n"/>
      <c r="O156" s="281" t="n"/>
    </row>
    <row r="157" hidden="1" outlineLevel="1">
      <c r="B157" s="2">
        <f>B156+1</f>
        <v/>
      </c>
      <c r="D157" s="279">
        <f>IF(B157&lt;$D$24,(+'CALCULETTE (2)'!T736/'CALCULETTE (2)'!$B$612),0)</f>
        <v/>
      </c>
      <c r="E157" s="279">
        <f>IF(E$1=0,"",IF($B157&lt;E$23,E156+PPMT(E$25/12,$B157,E$23,E$53,-E$27,0),IF($B157=E$23,E156+PPMT(E$25/12,$B157,E$23,E$53,-E$27,0)-E$27,0)))</f>
        <v/>
      </c>
      <c r="F157" s="279">
        <f>IF(F$1=0,"",IF($B157&lt;F$23,F156+PPMT(F$25/12,$B157,F$23,F$53,-F$27,0),IF($B157=F$23,F156+PPMT(F$25/12,$B157,F$23,F$53,-F$27,0)-F$27,0)))</f>
        <v/>
      </c>
      <c r="G157" s="279">
        <f>IF(G$1=0,"",IF($B157&lt;G$23,G156+PPMT(G$25/12,$B157,G$23,G$53,-G$27,0),IF($B157=G$23,G156+PPMT(G$25/12,$B157,G$23,G$53,-G$27,0)-G$27,0)))</f>
        <v/>
      </c>
      <c r="H157" s="279">
        <f>IF(H$1=0,"",IF($B157&lt;H$23,H156+PPMT(H$25/12,$B157,H$23,H$53,-H$27,0),IF($B157=H$23,H156+PPMT(H$25/12,$B157,H$23,H$53,-H$27,0)-H$27,0)))</f>
        <v/>
      </c>
      <c r="I157" s="279">
        <f>IF(I$1=0,"",IF($B157&lt;I$23,I156+PPMT(I$25/12,$B157,I$23,I$53,-I$27,0),IF($B157=I$23,I156+PPMT(I$25/12,$B157,I$23,I$53,-I$27,0)-I$27,0)))</f>
        <v/>
      </c>
      <c r="J157" s="279">
        <f>IF(J$1=0,"",IF($B157&lt;J$23,J156+PPMT(J$25/12,$B157,J$23,J$53,-J$27,0),IF($B157=J$23,J156+PPMT(J$25/12,$B157,J$23,J$53,-J$27,0)-J$27,0)))</f>
        <v/>
      </c>
      <c r="K157" s="279">
        <f>IF(K$1=0,"",IF($B157&lt;K$23,K156+PPMT(K$25/12,$B157,K$23,K$53,-K$27,0),IF($B157=K$23,K156+PPMT(K$25/12,$B157,K$23,K$53,-K$27,0)-K$27,0)))</f>
        <v/>
      </c>
      <c r="L157" s="279">
        <f>IF(L$1=0,"",IF($B157&lt;L$23,L156+PPMT(L$25/12,$B157,L$23,L$53,-L$27,0),IF($B157=L$23,L156+PPMT(L$25/12,$B157,L$23,L$53,-L$27,0)-L$27,0)))</f>
        <v/>
      </c>
      <c r="M157" s="279">
        <f>IF(M$1=0,"",IF($B157&lt;M$23,M156+PPMT(M$25/12,$B157,M$23,M$53,-M$27,0),IF($B157=M$23,M156+PPMT(M$25/12,$B157,M$23,M$53,-M$27,0)-M$27,0)))</f>
        <v/>
      </c>
      <c r="N157" s="280" t="n"/>
      <c r="O157" s="281" t="n"/>
    </row>
    <row r="158" hidden="1" outlineLevel="1">
      <c r="B158" s="2">
        <f>B157+1</f>
        <v/>
      </c>
      <c r="D158" s="279">
        <f>IF(B158&lt;$D$24,(+'CALCULETTE (2)'!T737/'CALCULETTE (2)'!$B$612),0)</f>
        <v/>
      </c>
      <c r="E158" s="279">
        <f>IF(E$1=0,"",IF($B158&lt;E$23,E157+PPMT(E$25/12,$B158,E$23,E$53,-E$27,0),IF($B158=E$23,E157+PPMT(E$25/12,$B158,E$23,E$53,-E$27,0)-E$27,0)))</f>
        <v/>
      </c>
      <c r="F158" s="279">
        <f>IF(F$1=0,"",IF($B158&lt;F$23,F157+PPMT(F$25/12,$B158,F$23,F$53,-F$27,0),IF($B158=F$23,F157+PPMT(F$25/12,$B158,F$23,F$53,-F$27,0)-F$27,0)))</f>
        <v/>
      </c>
      <c r="G158" s="279">
        <f>IF(G$1=0,"",IF($B158&lt;G$23,G157+PPMT(G$25/12,$B158,G$23,G$53,-G$27,0),IF($B158=G$23,G157+PPMT(G$25/12,$B158,G$23,G$53,-G$27,0)-G$27,0)))</f>
        <v/>
      </c>
      <c r="H158" s="279">
        <f>IF(H$1=0,"",IF($B158&lt;H$23,H157+PPMT(H$25/12,$B158,H$23,H$53,-H$27,0),IF($B158=H$23,H157+PPMT(H$25/12,$B158,H$23,H$53,-H$27,0)-H$27,0)))</f>
        <v/>
      </c>
      <c r="I158" s="279">
        <f>IF(I$1=0,"",IF($B158&lt;I$23,I157+PPMT(I$25/12,$B158,I$23,I$53,-I$27,0),IF($B158=I$23,I157+PPMT(I$25/12,$B158,I$23,I$53,-I$27,0)-I$27,0)))</f>
        <v/>
      </c>
      <c r="J158" s="279">
        <f>IF(J$1=0,"",IF($B158&lt;J$23,J157+PPMT(J$25/12,$B158,J$23,J$53,-J$27,0),IF($B158=J$23,J157+PPMT(J$25/12,$B158,J$23,J$53,-J$27,0)-J$27,0)))</f>
        <v/>
      </c>
      <c r="K158" s="279">
        <f>IF(K$1=0,"",IF($B158&lt;K$23,K157+PPMT(K$25/12,$B158,K$23,K$53,-K$27,0),IF($B158=K$23,K157+PPMT(K$25/12,$B158,K$23,K$53,-K$27,0)-K$27,0)))</f>
        <v/>
      </c>
      <c r="L158" s="279">
        <f>IF(L$1=0,"",IF($B158&lt;L$23,L157+PPMT(L$25/12,$B158,L$23,L$53,-L$27,0),IF($B158=L$23,L157+PPMT(L$25/12,$B158,L$23,L$53,-L$27,0)-L$27,0)))</f>
        <v/>
      </c>
      <c r="M158" s="279">
        <f>IF(M$1=0,"",IF($B158&lt;M$23,M157+PPMT(M$25/12,$B158,M$23,M$53,-M$27,0),IF($B158=M$23,M157+PPMT(M$25/12,$B158,M$23,M$53,-M$27,0)-M$27,0)))</f>
        <v/>
      </c>
      <c r="N158" s="280" t="n"/>
      <c r="O158" s="281" t="n"/>
    </row>
    <row r="159" hidden="1" outlineLevel="1">
      <c r="B159" s="2">
        <f>B158+1</f>
        <v/>
      </c>
      <c r="D159" s="279">
        <f>IF(B159&lt;$D$24,(+'CALCULETTE (2)'!T738/'CALCULETTE (2)'!$B$612),0)</f>
        <v/>
      </c>
      <c r="E159" s="279">
        <f>IF(E$1=0,"",IF($B159&lt;E$23,E158+PPMT(E$25/12,$B159,E$23,E$53,-E$27,0),IF($B159=E$23,E158+PPMT(E$25/12,$B159,E$23,E$53,-E$27,0)-E$27,0)))</f>
        <v/>
      </c>
      <c r="F159" s="279">
        <f>IF(F$1=0,"",IF($B159&lt;F$23,F158+PPMT(F$25/12,$B159,F$23,F$53,-F$27,0),IF($B159=F$23,F158+PPMT(F$25/12,$B159,F$23,F$53,-F$27,0)-F$27,0)))</f>
        <v/>
      </c>
      <c r="G159" s="279">
        <f>IF(G$1=0,"",IF($B159&lt;G$23,G158+PPMT(G$25/12,$B159,G$23,G$53,-G$27,0),IF($B159=G$23,G158+PPMT(G$25/12,$B159,G$23,G$53,-G$27,0)-G$27,0)))</f>
        <v/>
      </c>
      <c r="H159" s="279">
        <f>IF(H$1=0,"",IF($B159&lt;H$23,H158+PPMT(H$25/12,$B159,H$23,H$53,-H$27,0),IF($B159=H$23,H158+PPMT(H$25/12,$B159,H$23,H$53,-H$27,0)-H$27,0)))</f>
        <v/>
      </c>
      <c r="I159" s="279">
        <f>IF(I$1=0,"",IF($B159&lt;I$23,I158+PPMT(I$25/12,$B159,I$23,I$53,-I$27,0),IF($B159=I$23,I158+PPMT(I$25/12,$B159,I$23,I$53,-I$27,0)-I$27,0)))</f>
        <v/>
      </c>
      <c r="J159" s="279">
        <f>IF(J$1=0,"",IF($B159&lt;J$23,J158+PPMT(J$25/12,$B159,J$23,J$53,-J$27,0),IF($B159=J$23,J158+PPMT(J$25/12,$B159,J$23,J$53,-J$27,0)-J$27,0)))</f>
        <v/>
      </c>
      <c r="K159" s="279">
        <f>IF(K$1=0,"",IF($B159&lt;K$23,K158+PPMT(K$25/12,$B159,K$23,K$53,-K$27,0),IF($B159=K$23,K158+PPMT(K$25/12,$B159,K$23,K$53,-K$27,0)-K$27,0)))</f>
        <v/>
      </c>
      <c r="L159" s="279">
        <f>IF(L$1=0,"",IF($B159&lt;L$23,L158+PPMT(L$25/12,$B159,L$23,L$53,-L$27,0),IF($B159=L$23,L158+PPMT(L$25/12,$B159,L$23,L$53,-L$27,0)-L$27,0)))</f>
        <v/>
      </c>
      <c r="M159" s="279">
        <f>IF(M$1=0,"",IF($B159&lt;M$23,M158+PPMT(M$25/12,$B159,M$23,M$53,-M$27,0),IF($B159=M$23,M158+PPMT(M$25/12,$B159,M$23,M$53,-M$27,0)-M$27,0)))</f>
        <v/>
      </c>
      <c r="N159" s="280" t="n"/>
      <c r="O159" s="281" t="n"/>
    </row>
    <row r="160" hidden="1" outlineLevel="1">
      <c r="B160" s="2">
        <f>B159+1</f>
        <v/>
      </c>
      <c r="D160" s="279">
        <f>IF(B160&lt;$D$24,(+'CALCULETTE (2)'!T739/'CALCULETTE (2)'!$B$612),0)</f>
        <v/>
      </c>
      <c r="E160" s="279">
        <f>IF(E$1=0,"",IF($B160&lt;E$23,E159+PPMT(E$25/12,$B160,E$23,E$53,-E$27,0),IF($B160=E$23,E159+PPMT(E$25/12,$B160,E$23,E$53,-E$27,0)-E$27,0)))</f>
        <v/>
      </c>
      <c r="F160" s="279">
        <f>IF(F$1=0,"",IF($B160&lt;F$23,F159+PPMT(F$25/12,$B160,F$23,F$53,-F$27,0),IF($B160=F$23,F159+PPMT(F$25/12,$B160,F$23,F$53,-F$27,0)-F$27,0)))</f>
        <v/>
      </c>
      <c r="G160" s="279">
        <f>IF(G$1=0,"",IF($B160&lt;G$23,G159+PPMT(G$25/12,$B160,G$23,G$53,-G$27,0),IF($B160=G$23,G159+PPMT(G$25/12,$B160,G$23,G$53,-G$27,0)-G$27,0)))</f>
        <v/>
      </c>
      <c r="H160" s="279">
        <f>IF(H$1=0,"",IF($B160&lt;H$23,H159+PPMT(H$25/12,$B160,H$23,H$53,-H$27,0),IF($B160=H$23,H159+PPMT(H$25/12,$B160,H$23,H$53,-H$27,0)-H$27,0)))</f>
        <v/>
      </c>
      <c r="I160" s="279">
        <f>IF(I$1=0,"",IF($B160&lt;I$23,I159+PPMT(I$25/12,$B160,I$23,I$53,-I$27,0),IF($B160=I$23,I159+PPMT(I$25/12,$B160,I$23,I$53,-I$27,0)-I$27,0)))</f>
        <v/>
      </c>
      <c r="J160" s="279">
        <f>IF(J$1=0,"",IF($B160&lt;J$23,J159+PPMT(J$25/12,$B160,J$23,J$53,-J$27,0),IF($B160=J$23,J159+PPMT(J$25/12,$B160,J$23,J$53,-J$27,0)-J$27,0)))</f>
        <v/>
      </c>
      <c r="K160" s="279">
        <f>IF(K$1=0,"",IF($B160&lt;K$23,K159+PPMT(K$25/12,$B160,K$23,K$53,-K$27,0),IF($B160=K$23,K159+PPMT(K$25/12,$B160,K$23,K$53,-K$27,0)-K$27,0)))</f>
        <v/>
      </c>
      <c r="L160" s="279">
        <f>IF(L$1=0,"",IF($B160&lt;L$23,L159+PPMT(L$25/12,$B160,L$23,L$53,-L$27,0),IF($B160=L$23,L159+PPMT(L$25/12,$B160,L$23,L$53,-L$27,0)-L$27,0)))</f>
        <v/>
      </c>
      <c r="M160" s="279">
        <f>IF(M$1=0,"",IF($B160&lt;M$23,M159+PPMT(M$25/12,$B160,M$23,M$53,-M$27,0),IF($B160=M$23,M159+PPMT(M$25/12,$B160,M$23,M$53,-M$27,0)-M$27,0)))</f>
        <v/>
      </c>
      <c r="N160" s="280" t="n"/>
      <c r="O160" s="281" t="n"/>
    </row>
    <row r="161" hidden="1" outlineLevel="1">
      <c r="B161" s="2">
        <f>B160+1</f>
        <v/>
      </c>
      <c r="D161" s="279">
        <f>IF(B161&lt;$D$24,(+'CALCULETTE (2)'!T740/'CALCULETTE (2)'!$B$612),0)</f>
        <v/>
      </c>
      <c r="E161" s="279">
        <f>IF(E$1=0,"",IF($B161&lt;E$23,E160+PPMT(E$25/12,$B161,E$23,E$53,-E$27,0),IF($B161=E$23,E160+PPMT(E$25/12,$B161,E$23,E$53,-E$27,0)-E$27,0)))</f>
        <v/>
      </c>
      <c r="F161" s="279">
        <f>IF(F$1=0,"",IF($B161&lt;F$23,F160+PPMT(F$25/12,$B161,F$23,F$53,-F$27,0),IF($B161=F$23,F160+PPMT(F$25/12,$B161,F$23,F$53,-F$27,0)-F$27,0)))</f>
        <v/>
      </c>
      <c r="G161" s="279">
        <f>IF(G$1=0,"",IF($B161&lt;G$23,G160+PPMT(G$25/12,$B161,G$23,G$53,-G$27,0),IF($B161=G$23,G160+PPMT(G$25/12,$B161,G$23,G$53,-G$27,0)-G$27,0)))</f>
        <v/>
      </c>
      <c r="H161" s="279">
        <f>IF(H$1=0,"",IF($B161&lt;H$23,H160+PPMT(H$25/12,$B161,H$23,H$53,-H$27,0),IF($B161=H$23,H160+PPMT(H$25/12,$B161,H$23,H$53,-H$27,0)-H$27,0)))</f>
        <v/>
      </c>
      <c r="I161" s="279">
        <f>IF(I$1=0,"",IF($B161&lt;I$23,I160+PPMT(I$25/12,$B161,I$23,I$53,-I$27,0),IF($B161=I$23,I160+PPMT(I$25/12,$B161,I$23,I$53,-I$27,0)-I$27,0)))</f>
        <v/>
      </c>
      <c r="J161" s="279">
        <f>IF(J$1=0,"",IF($B161&lt;J$23,J160+PPMT(J$25/12,$B161,J$23,J$53,-J$27,0),IF($B161=J$23,J160+PPMT(J$25/12,$B161,J$23,J$53,-J$27,0)-J$27,0)))</f>
        <v/>
      </c>
      <c r="K161" s="279">
        <f>IF(K$1=0,"",IF($B161&lt;K$23,K160+PPMT(K$25/12,$B161,K$23,K$53,-K$27,0),IF($B161=K$23,K160+PPMT(K$25/12,$B161,K$23,K$53,-K$27,0)-K$27,0)))</f>
        <v/>
      </c>
      <c r="L161" s="279">
        <f>IF(L$1=0,"",IF($B161&lt;L$23,L160+PPMT(L$25/12,$B161,L$23,L$53,-L$27,0),IF($B161=L$23,L160+PPMT(L$25/12,$B161,L$23,L$53,-L$27,0)-L$27,0)))</f>
        <v/>
      </c>
      <c r="M161" s="279">
        <f>IF(M$1=0,"",IF($B161&lt;M$23,M160+PPMT(M$25/12,$B161,M$23,M$53,-M$27,0),IF($B161=M$23,M160+PPMT(M$25/12,$B161,M$23,M$53,-M$27,0)-M$27,0)))</f>
        <v/>
      </c>
      <c r="N161" s="280" t="n"/>
      <c r="O161" s="281" t="n"/>
    </row>
    <row r="162" hidden="1" outlineLevel="1">
      <c r="B162" s="2">
        <f>B161+1</f>
        <v/>
      </c>
      <c r="D162" s="279">
        <f>IF(B162&lt;$D$24,(+'CALCULETTE (2)'!T741/'CALCULETTE (2)'!$B$612),0)</f>
        <v/>
      </c>
      <c r="E162" s="279">
        <f>IF(E$1=0,"",IF($B162&lt;E$23,E161+PPMT(E$25/12,$B162,E$23,E$53,-E$27,0),IF($B162=E$23,E161+PPMT(E$25/12,$B162,E$23,E$53,-E$27,0)-E$27,0)))</f>
        <v/>
      </c>
      <c r="F162" s="279">
        <f>IF(F$1=0,"",IF($B162&lt;F$23,F161+PPMT(F$25/12,$B162,F$23,F$53,-F$27,0),IF($B162=F$23,F161+PPMT(F$25/12,$B162,F$23,F$53,-F$27,0)-F$27,0)))</f>
        <v/>
      </c>
      <c r="G162" s="279">
        <f>IF(G$1=0,"",IF($B162&lt;G$23,G161+PPMT(G$25/12,$B162,G$23,G$53,-G$27,0),IF($B162=G$23,G161+PPMT(G$25/12,$B162,G$23,G$53,-G$27,0)-G$27,0)))</f>
        <v/>
      </c>
      <c r="H162" s="279">
        <f>IF(H$1=0,"",IF($B162&lt;H$23,H161+PPMT(H$25/12,$B162,H$23,H$53,-H$27,0),IF($B162=H$23,H161+PPMT(H$25/12,$B162,H$23,H$53,-H$27,0)-H$27,0)))</f>
        <v/>
      </c>
      <c r="I162" s="279">
        <f>IF(I$1=0,"",IF($B162&lt;I$23,I161+PPMT(I$25/12,$B162,I$23,I$53,-I$27,0),IF($B162=I$23,I161+PPMT(I$25/12,$B162,I$23,I$53,-I$27,0)-I$27,0)))</f>
        <v/>
      </c>
      <c r="J162" s="279">
        <f>IF(J$1=0,"",IF($B162&lt;J$23,J161+PPMT(J$25/12,$B162,J$23,J$53,-J$27,0),IF($B162=J$23,J161+PPMT(J$25/12,$B162,J$23,J$53,-J$27,0)-J$27,0)))</f>
        <v/>
      </c>
      <c r="K162" s="279">
        <f>IF(K$1=0,"",IF($B162&lt;K$23,K161+PPMT(K$25/12,$B162,K$23,K$53,-K$27,0),IF($B162=K$23,K161+PPMT(K$25/12,$B162,K$23,K$53,-K$27,0)-K$27,0)))</f>
        <v/>
      </c>
      <c r="L162" s="279">
        <f>IF(L$1=0,"",IF($B162&lt;L$23,L161+PPMT(L$25/12,$B162,L$23,L$53,-L$27,0),IF($B162=L$23,L161+PPMT(L$25/12,$B162,L$23,L$53,-L$27,0)-L$27,0)))</f>
        <v/>
      </c>
      <c r="M162" s="279">
        <f>IF(M$1=0,"",IF($B162&lt;M$23,M161+PPMT(M$25/12,$B162,M$23,M$53,-M$27,0),IF($B162=M$23,M161+PPMT(M$25/12,$B162,M$23,M$53,-M$27,0)-M$27,0)))</f>
        <v/>
      </c>
      <c r="N162" s="280" t="n"/>
      <c r="O162" s="281" t="n"/>
    </row>
    <row r="163" hidden="1" outlineLevel="1">
      <c r="B163" s="2">
        <f>B162+1</f>
        <v/>
      </c>
      <c r="D163" s="279">
        <f>IF(B163&lt;$D$24,(+'CALCULETTE (2)'!T742/'CALCULETTE (2)'!$B$612),0)</f>
        <v/>
      </c>
      <c r="E163" s="279">
        <f>IF(E$1=0,"",IF($B163&lt;E$23,E162+PPMT(E$25/12,$B163,E$23,E$53,-E$27,0),IF($B163=E$23,E162+PPMT(E$25/12,$B163,E$23,E$53,-E$27,0)-E$27,0)))</f>
        <v/>
      </c>
      <c r="F163" s="279">
        <f>IF(F$1=0,"",IF($B163&lt;F$23,F162+PPMT(F$25/12,$B163,F$23,F$53,-F$27,0),IF($B163=F$23,F162+PPMT(F$25/12,$B163,F$23,F$53,-F$27,0)-F$27,0)))</f>
        <v/>
      </c>
      <c r="G163" s="279">
        <f>IF(G$1=0,"",IF($B163&lt;G$23,G162+PPMT(G$25/12,$B163,G$23,G$53,-G$27,0),IF($B163=G$23,G162+PPMT(G$25/12,$B163,G$23,G$53,-G$27,0)-G$27,0)))</f>
        <v/>
      </c>
      <c r="H163" s="279">
        <f>IF(H$1=0,"",IF($B163&lt;H$23,H162+PPMT(H$25/12,$B163,H$23,H$53,-H$27,0),IF($B163=H$23,H162+PPMT(H$25/12,$B163,H$23,H$53,-H$27,0)-H$27,0)))</f>
        <v/>
      </c>
      <c r="I163" s="279">
        <f>IF(I$1=0,"",IF($B163&lt;I$23,I162+PPMT(I$25/12,$B163,I$23,I$53,-I$27,0),IF($B163=I$23,I162+PPMT(I$25/12,$B163,I$23,I$53,-I$27,0)-I$27,0)))</f>
        <v/>
      </c>
      <c r="J163" s="279">
        <f>IF(J$1=0,"",IF($B163&lt;J$23,J162+PPMT(J$25/12,$B163,J$23,J$53,-J$27,0),IF($B163=J$23,J162+PPMT(J$25/12,$B163,J$23,J$53,-J$27,0)-J$27,0)))</f>
        <v/>
      </c>
      <c r="K163" s="279">
        <f>IF(K$1=0,"",IF($B163&lt;K$23,K162+PPMT(K$25/12,$B163,K$23,K$53,-K$27,0),IF($B163=K$23,K162+PPMT(K$25/12,$B163,K$23,K$53,-K$27,0)-K$27,0)))</f>
        <v/>
      </c>
      <c r="L163" s="279">
        <f>IF(L$1=0,"",IF($B163&lt;L$23,L162+PPMT(L$25/12,$B163,L$23,L$53,-L$27,0),IF($B163=L$23,L162+PPMT(L$25/12,$B163,L$23,L$53,-L$27,0)-L$27,0)))</f>
        <v/>
      </c>
      <c r="M163" s="279">
        <f>IF(M$1=0,"",IF($B163&lt;M$23,M162+PPMT(M$25/12,$B163,M$23,M$53,-M$27,0),IF($B163=M$23,M162+PPMT(M$25/12,$B163,M$23,M$53,-M$27,0)-M$27,0)))</f>
        <v/>
      </c>
      <c r="N163" s="280" t="n"/>
      <c r="O163" s="281" t="n"/>
    </row>
    <row r="164" hidden="1" outlineLevel="1">
      <c r="B164" s="2">
        <f>B163+1</f>
        <v/>
      </c>
      <c r="D164" s="279">
        <f>IF(B164&lt;$D$24,(+'CALCULETTE (2)'!T743/'CALCULETTE (2)'!$B$612),0)</f>
        <v/>
      </c>
      <c r="E164" s="279">
        <f>IF(E$1=0,"",IF($B164&lt;E$23,E163+PPMT(E$25/12,$B164,E$23,E$53,-E$27,0),IF($B164=E$23,E163+PPMT(E$25/12,$B164,E$23,E$53,-E$27,0)-E$27,0)))</f>
        <v/>
      </c>
      <c r="F164" s="279">
        <f>IF(F$1=0,"",IF($B164&lt;F$23,F163+PPMT(F$25/12,$B164,F$23,F$53,-F$27,0),IF($B164=F$23,F163+PPMT(F$25/12,$B164,F$23,F$53,-F$27,0)-F$27,0)))</f>
        <v/>
      </c>
      <c r="G164" s="279">
        <f>IF(G$1=0,"",IF($B164&lt;G$23,G163+PPMT(G$25/12,$B164,G$23,G$53,-G$27,0),IF($B164=G$23,G163+PPMT(G$25/12,$B164,G$23,G$53,-G$27,0)-G$27,0)))</f>
        <v/>
      </c>
      <c r="H164" s="279">
        <f>IF(H$1=0,"",IF($B164&lt;H$23,H163+PPMT(H$25/12,$B164,H$23,H$53,-H$27,0),IF($B164=H$23,H163+PPMT(H$25/12,$B164,H$23,H$53,-H$27,0)-H$27,0)))</f>
        <v/>
      </c>
      <c r="I164" s="279">
        <f>IF(I$1=0,"",IF($B164&lt;I$23,I163+PPMT(I$25/12,$B164,I$23,I$53,-I$27,0),IF($B164=I$23,I163+PPMT(I$25/12,$B164,I$23,I$53,-I$27,0)-I$27,0)))</f>
        <v/>
      </c>
      <c r="J164" s="279">
        <f>IF(J$1=0,"",IF($B164&lt;J$23,J163+PPMT(J$25/12,$B164,J$23,J$53,-J$27,0),IF($B164=J$23,J163+PPMT(J$25/12,$B164,J$23,J$53,-J$27,0)-J$27,0)))</f>
        <v/>
      </c>
      <c r="K164" s="279">
        <f>IF(K$1=0,"",IF($B164&lt;K$23,K163+PPMT(K$25/12,$B164,K$23,K$53,-K$27,0),IF($B164=K$23,K163+PPMT(K$25/12,$B164,K$23,K$53,-K$27,0)-K$27,0)))</f>
        <v/>
      </c>
      <c r="L164" s="279">
        <f>IF(L$1=0,"",IF($B164&lt;L$23,L163+PPMT(L$25/12,$B164,L$23,L$53,-L$27,0),IF($B164=L$23,L163+PPMT(L$25/12,$B164,L$23,L$53,-L$27,0)-L$27,0)))</f>
        <v/>
      </c>
      <c r="M164" s="279">
        <f>IF(M$1=0,"",IF($B164&lt;M$23,M163+PPMT(M$25/12,$B164,M$23,M$53,-M$27,0),IF($B164=M$23,M163+PPMT(M$25/12,$B164,M$23,M$53,-M$27,0)-M$27,0)))</f>
        <v/>
      </c>
      <c r="N164" s="280" t="n"/>
      <c r="O164" s="281" t="n"/>
    </row>
    <row r="165" hidden="1" outlineLevel="1">
      <c r="B165" s="2">
        <f>B164+1</f>
        <v/>
      </c>
      <c r="D165" s="279">
        <f>IF(B165&lt;$D$24,(+'CALCULETTE (2)'!T744/'CALCULETTE (2)'!$B$612),0)</f>
        <v/>
      </c>
      <c r="E165" s="279">
        <f>IF(E$1=0,"",IF($B165&lt;E$23,E164+PPMT(E$25/12,$B165,E$23,E$53,-E$27,0),IF($B165=E$23,E164+PPMT(E$25/12,$B165,E$23,E$53,-E$27,0)-E$27,0)))</f>
        <v/>
      </c>
      <c r="F165" s="279">
        <f>IF(F$1=0,"",IF($B165&lt;F$23,F164+PPMT(F$25/12,$B165,F$23,F$53,-F$27,0),IF($B165=F$23,F164+PPMT(F$25/12,$B165,F$23,F$53,-F$27,0)-F$27,0)))</f>
        <v/>
      </c>
      <c r="G165" s="279">
        <f>IF(G$1=0,"",IF($B165&lt;G$23,G164+PPMT(G$25/12,$B165,G$23,G$53,-G$27,0),IF($B165=G$23,G164+PPMT(G$25/12,$B165,G$23,G$53,-G$27,0)-G$27,0)))</f>
        <v/>
      </c>
      <c r="H165" s="279">
        <f>IF(H$1=0,"",IF($B165&lt;H$23,H164+PPMT(H$25/12,$B165,H$23,H$53,-H$27,0),IF($B165=H$23,H164+PPMT(H$25/12,$B165,H$23,H$53,-H$27,0)-H$27,0)))</f>
        <v/>
      </c>
      <c r="I165" s="279">
        <f>IF(I$1=0,"",IF($B165&lt;I$23,I164+PPMT(I$25/12,$B165,I$23,I$53,-I$27,0),IF($B165=I$23,I164+PPMT(I$25/12,$B165,I$23,I$53,-I$27,0)-I$27,0)))</f>
        <v/>
      </c>
      <c r="J165" s="279">
        <f>IF(J$1=0,"",IF($B165&lt;J$23,J164+PPMT(J$25/12,$B165,J$23,J$53,-J$27,0),IF($B165=J$23,J164+PPMT(J$25/12,$B165,J$23,J$53,-J$27,0)-J$27,0)))</f>
        <v/>
      </c>
      <c r="K165" s="279">
        <f>IF(K$1=0,"",IF($B165&lt;K$23,K164+PPMT(K$25/12,$B165,K$23,K$53,-K$27,0),IF($B165=K$23,K164+PPMT(K$25/12,$B165,K$23,K$53,-K$27,0)-K$27,0)))</f>
        <v/>
      </c>
      <c r="L165" s="279">
        <f>IF(L$1=0,"",IF($B165&lt;L$23,L164+PPMT(L$25/12,$B165,L$23,L$53,-L$27,0),IF($B165=L$23,L164+PPMT(L$25/12,$B165,L$23,L$53,-L$27,0)-L$27,0)))</f>
        <v/>
      </c>
      <c r="M165" s="279">
        <f>IF(M$1=0,"",IF($B165&lt;M$23,M164+PPMT(M$25/12,$B165,M$23,M$53,-M$27,0),IF($B165=M$23,M164+PPMT(M$25/12,$B165,M$23,M$53,-M$27,0)-M$27,0)))</f>
        <v/>
      </c>
      <c r="N165" s="280" t="n"/>
      <c r="O165" s="281" t="n"/>
    </row>
    <row r="166" hidden="1" outlineLevel="1">
      <c r="B166" s="2">
        <f>B165+1</f>
        <v/>
      </c>
      <c r="D166" s="279">
        <f>IF(B166&lt;$D$24,(+'CALCULETTE (2)'!T745/'CALCULETTE (2)'!$B$612),0)</f>
        <v/>
      </c>
      <c r="E166" s="279">
        <f>IF(E$1=0,"",IF($B166&lt;E$23,E165+PPMT(E$25/12,$B166,E$23,E$53,-E$27,0),IF($B166=E$23,E165+PPMT(E$25/12,$B166,E$23,E$53,-E$27,0)-E$27,0)))</f>
        <v/>
      </c>
      <c r="F166" s="279">
        <f>IF(F$1=0,"",IF($B166&lt;F$23,F165+PPMT(F$25/12,$B166,F$23,F$53,-F$27,0),IF($B166=F$23,F165+PPMT(F$25/12,$B166,F$23,F$53,-F$27,0)-F$27,0)))</f>
        <v/>
      </c>
      <c r="G166" s="279">
        <f>IF(G$1=0,"",IF($B166&lt;G$23,G165+PPMT(G$25/12,$B166,G$23,G$53,-G$27,0),IF($B166=G$23,G165+PPMT(G$25/12,$B166,G$23,G$53,-G$27,0)-G$27,0)))</f>
        <v/>
      </c>
      <c r="H166" s="279">
        <f>IF(H$1=0,"",IF($B166&lt;H$23,H165+PPMT(H$25/12,$B166,H$23,H$53,-H$27,0),IF($B166=H$23,H165+PPMT(H$25/12,$B166,H$23,H$53,-H$27,0)-H$27,0)))</f>
        <v/>
      </c>
      <c r="I166" s="279">
        <f>IF(I$1=0,"",IF($B166&lt;I$23,I165+PPMT(I$25/12,$B166,I$23,I$53,-I$27,0),IF($B166=I$23,I165+PPMT(I$25/12,$B166,I$23,I$53,-I$27,0)-I$27,0)))</f>
        <v/>
      </c>
      <c r="J166" s="279">
        <f>IF(J$1=0,"",IF($B166&lt;J$23,J165+PPMT(J$25/12,$B166,J$23,J$53,-J$27,0),IF($B166=J$23,J165+PPMT(J$25/12,$B166,J$23,J$53,-J$27,0)-J$27,0)))</f>
        <v/>
      </c>
      <c r="K166" s="279">
        <f>IF(K$1=0,"",IF($B166&lt;K$23,K165+PPMT(K$25/12,$B166,K$23,K$53,-K$27,0),IF($B166=K$23,K165+PPMT(K$25/12,$B166,K$23,K$53,-K$27,0)-K$27,0)))</f>
        <v/>
      </c>
      <c r="L166" s="279">
        <f>IF(L$1=0,"",IF($B166&lt;L$23,L165+PPMT(L$25/12,$B166,L$23,L$53,-L$27,0),IF($B166=L$23,L165+PPMT(L$25/12,$B166,L$23,L$53,-L$27,0)-L$27,0)))</f>
        <v/>
      </c>
      <c r="M166" s="279">
        <f>IF(M$1=0,"",IF($B166&lt;M$23,M165+PPMT(M$25/12,$B166,M$23,M$53,-M$27,0),IF($B166=M$23,M165+PPMT(M$25/12,$B166,M$23,M$53,-M$27,0)-M$27,0)))</f>
        <v/>
      </c>
      <c r="N166" s="280" t="n"/>
      <c r="O166" s="281" t="n"/>
    </row>
    <row r="167" hidden="1" outlineLevel="1">
      <c r="B167" s="2">
        <f>B166+1</f>
        <v/>
      </c>
      <c r="D167" s="279">
        <f>IF(B167&lt;$D$24,(+'CALCULETTE (2)'!T746/'CALCULETTE (2)'!$B$612),0)</f>
        <v/>
      </c>
      <c r="E167" s="279">
        <f>IF(E$1=0,"",IF($B167&lt;E$23,E166+PPMT(E$25/12,$B167,E$23,E$53,-E$27,0),IF($B167=E$23,E166+PPMT(E$25/12,$B167,E$23,E$53,-E$27,0)-E$27,0)))</f>
        <v/>
      </c>
      <c r="F167" s="279">
        <f>IF(F$1=0,"",IF($B167&lt;F$23,F166+PPMT(F$25/12,$B167,F$23,F$53,-F$27,0),IF($B167=F$23,F166+PPMT(F$25/12,$B167,F$23,F$53,-F$27,0)-F$27,0)))</f>
        <v/>
      </c>
      <c r="G167" s="279">
        <f>IF(G$1=0,"",IF($B167&lt;G$23,G166+PPMT(G$25/12,$B167,G$23,G$53,-G$27,0),IF($B167=G$23,G166+PPMT(G$25/12,$B167,G$23,G$53,-G$27,0)-G$27,0)))</f>
        <v/>
      </c>
      <c r="H167" s="279">
        <f>IF(H$1=0,"",IF($B167&lt;H$23,H166+PPMT(H$25/12,$B167,H$23,H$53,-H$27,0),IF($B167=H$23,H166+PPMT(H$25/12,$B167,H$23,H$53,-H$27,0)-H$27,0)))</f>
        <v/>
      </c>
      <c r="I167" s="279">
        <f>IF(I$1=0,"",IF($B167&lt;I$23,I166+PPMT(I$25/12,$B167,I$23,I$53,-I$27,0),IF($B167=I$23,I166+PPMT(I$25/12,$B167,I$23,I$53,-I$27,0)-I$27,0)))</f>
        <v/>
      </c>
      <c r="J167" s="279">
        <f>IF(J$1=0,"",IF($B167&lt;J$23,J166+PPMT(J$25/12,$B167,J$23,J$53,-J$27,0),IF($B167=J$23,J166+PPMT(J$25/12,$B167,J$23,J$53,-J$27,0)-J$27,0)))</f>
        <v/>
      </c>
      <c r="K167" s="279">
        <f>IF(K$1=0,"",IF($B167&lt;K$23,K166+PPMT(K$25/12,$B167,K$23,K$53,-K$27,0),IF($B167=K$23,K166+PPMT(K$25/12,$B167,K$23,K$53,-K$27,0)-K$27,0)))</f>
        <v/>
      </c>
      <c r="L167" s="279">
        <f>IF(L$1=0,"",IF($B167&lt;L$23,L166+PPMT(L$25/12,$B167,L$23,L$53,-L$27,0),IF($B167=L$23,L166+PPMT(L$25/12,$B167,L$23,L$53,-L$27,0)-L$27,0)))</f>
        <v/>
      </c>
      <c r="M167" s="279">
        <f>IF(M$1=0,"",IF($B167&lt;M$23,M166+PPMT(M$25/12,$B167,M$23,M$53,-M$27,0),IF($B167=M$23,M166+PPMT(M$25/12,$B167,M$23,M$53,-M$27,0)-M$27,0)))</f>
        <v/>
      </c>
      <c r="N167" s="280" t="n"/>
      <c r="O167" s="281" t="n"/>
    </row>
    <row r="168" hidden="1" outlineLevel="1">
      <c r="B168" s="2">
        <f>B167+1</f>
        <v/>
      </c>
      <c r="D168" s="279">
        <f>IF(B168&lt;$D$24,(+'CALCULETTE (2)'!T747/'CALCULETTE (2)'!$B$612),0)</f>
        <v/>
      </c>
      <c r="E168" s="279">
        <f>IF(E$1=0,"",IF($B168&lt;E$23,E167+PPMT(E$25/12,$B168,E$23,E$53,-E$27,0),IF($B168=E$23,E167+PPMT(E$25/12,$B168,E$23,E$53,-E$27,0)-E$27,0)))</f>
        <v/>
      </c>
      <c r="F168" s="279">
        <f>IF(F$1=0,"",IF($B168&lt;F$23,F167+PPMT(F$25/12,$B168,F$23,F$53,-F$27,0),IF($B168=F$23,F167+PPMT(F$25/12,$B168,F$23,F$53,-F$27,0)-F$27,0)))</f>
        <v/>
      </c>
      <c r="G168" s="279">
        <f>IF(G$1=0,"",IF($B168&lt;G$23,G167+PPMT(G$25/12,$B168,G$23,G$53,-G$27,0),IF($B168=G$23,G167+PPMT(G$25/12,$B168,G$23,G$53,-G$27,0)-G$27,0)))</f>
        <v/>
      </c>
      <c r="H168" s="279">
        <f>IF(H$1=0,"",IF($B168&lt;H$23,H167+PPMT(H$25/12,$B168,H$23,H$53,-H$27,0),IF($B168=H$23,H167+PPMT(H$25/12,$B168,H$23,H$53,-H$27,0)-H$27,0)))</f>
        <v/>
      </c>
      <c r="I168" s="279">
        <f>IF(I$1=0,"",IF($B168&lt;I$23,I167+PPMT(I$25/12,$B168,I$23,I$53,-I$27,0),IF($B168=I$23,I167+PPMT(I$25/12,$B168,I$23,I$53,-I$27,0)-I$27,0)))</f>
        <v/>
      </c>
      <c r="J168" s="279">
        <f>IF(J$1=0,"",IF($B168&lt;J$23,J167+PPMT(J$25/12,$B168,J$23,J$53,-J$27,0),IF($B168=J$23,J167+PPMT(J$25/12,$B168,J$23,J$53,-J$27,0)-J$27,0)))</f>
        <v/>
      </c>
      <c r="K168" s="279">
        <f>IF(K$1=0,"",IF($B168&lt;K$23,K167+PPMT(K$25/12,$B168,K$23,K$53,-K$27,0),IF($B168=K$23,K167+PPMT(K$25/12,$B168,K$23,K$53,-K$27,0)-K$27,0)))</f>
        <v/>
      </c>
      <c r="L168" s="279">
        <f>IF(L$1=0,"",IF($B168&lt;L$23,L167+PPMT(L$25/12,$B168,L$23,L$53,-L$27,0),IF($B168=L$23,L167+PPMT(L$25/12,$B168,L$23,L$53,-L$27,0)-L$27,0)))</f>
        <v/>
      </c>
      <c r="M168" s="279">
        <f>IF(M$1=0,"",IF($B168&lt;M$23,M167+PPMT(M$25/12,$B168,M$23,M$53,-M$27,0),IF($B168=M$23,M167+PPMT(M$25/12,$B168,M$23,M$53,-M$27,0)-M$27,0)))</f>
        <v/>
      </c>
      <c r="N168" s="280" t="n"/>
      <c r="O168" s="281" t="n"/>
    </row>
    <row r="169" hidden="1" outlineLevel="1">
      <c r="B169" s="2">
        <f>B168+1</f>
        <v/>
      </c>
      <c r="D169" s="279">
        <f>IF(B169&lt;$D$24,(+'CALCULETTE (2)'!T748/'CALCULETTE (2)'!$B$612),0)</f>
        <v/>
      </c>
      <c r="E169" s="279">
        <f>IF(E$1=0,"",IF($B169&lt;E$23,E168+PPMT(E$25/12,$B169,E$23,E$53,-E$27,0),IF($B169=E$23,E168+PPMT(E$25/12,$B169,E$23,E$53,-E$27,0)-E$27,0)))</f>
        <v/>
      </c>
      <c r="F169" s="279">
        <f>IF(F$1=0,"",IF($B169&lt;F$23,F168+PPMT(F$25/12,$B169,F$23,F$53,-F$27,0),IF($B169=F$23,F168+PPMT(F$25/12,$B169,F$23,F$53,-F$27,0)-F$27,0)))</f>
        <v/>
      </c>
      <c r="G169" s="279">
        <f>IF(G$1=0,"",IF($B169&lt;G$23,G168+PPMT(G$25/12,$B169,G$23,G$53,-G$27,0),IF($B169=G$23,G168+PPMT(G$25/12,$B169,G$23,G$53,-G$27,0)-G$27,0)))</f>
        <v/>
      </c>
      <c r="H169" s="279">
        <f>IF(H$1=0,"",IF($B169&lt;H$23,H168+PPMT(H$25/12,$B169,H$23,H$53,-H$27,0),IF($B169=H$23,H168+PPMT(H$25/12,$B169,H$23,H$53,-H$27,0)-H$27,0)))</f>
        <v/>
      </c>
      <c r="I169" s="279">
        <f>IF(I$1=0,"",IF($B169&lt;I$23,I168+PPMT(I$25/12,$B169,I$23,I$53,-I$27,0),IF($B169=I$23,I168+PPMT(I$25/12,$B169,I$23,I$53,-I$27,0)-I$27,0)))</f>
        <v/>
      </c>
      <c r="J169" s="279">
        <f>IF(J$1=0,"",IF($B169&lt;J$23,J168+PPMT(J$25/12,$B169,J$23,J$53,-J$27,0),IF($B169=J$23,J168+PPMT(J$25/12,$B169,J$23,J$53,-J$27,0)-J$27,0)))</f>
        <v/>
      </c>
      <c r="K169" s="279">
        <f>IF(K$1=0,"",IF($B169&lt;K$23,K168+PPMT(K$25/12,$B169,K$23,K$53,-K$27,0),IF($B169=K$23,K168+PPMT(K$25/12,$B169,K$23,K$53,-K$27,0)-K$27,0)))</f>
        <v/>
      </c>
      <c r="L169" s="279">
        <f>IF(L$1=0,"",IF($B169&lt;L$23,L168+PPMT(L$25/12,$B169,L$23,L$53,-L$27,0),IF($B169=L$23,L168+PPMT(L$25/12,$B169,L$23,L$53,-L$27,0)-L$27,0)))</f>
        <v/>
      </c>
      <c r="M169" s="279">
        <f>IF(M$1=0,"",IF($B169&lt;M$23,M168+PPMT(M$25/12,$B169,M$23,M$53,-M$27,0),IF($B169=M$23,M168+PPMT(M$25/12,$B169,M$23,M$53,-M$27,0)-M$27,0)))</f>
        <v/>
      </c>
      <c r="N169" s="280" t="n"/>
      <c r="O169" s="281" t="n"/>
    </row>
    <row r="170" hidden="1" outlineLevel="1">
      <c r="B170" s="2">
        <f>B169+1</f>
        <v/>
      </c>
      <c r="D170" s="279">
        <f>IF(B170&lt;$D$24,(+'CALCULETTE (2)'!T749/'CALCULETTE (2)'!$B$612),0)</f>
        <v/>
      </c>
      <c r="E170" s="279">
        <f>IF(E$1=0,"",IF($B170&lt;E$23,E169+PPMT(E$25/12,$B170,E$23,E$53,-E$27,0),IF($B170=E$23,E169+PPMT(E$25/12,$B170,E$23,E$53,-E$27,0)-E$27,0)))</f>
        <v/>
      </c>
      <c r="F170" s="279">
        <f>IF(F$1=0,"",IF($B170&lt;F$23,F169+PPMT(F$25/12,$B170,F$23,F$53,-F$27,0),IF($B170=F$23,F169+PPMT(F$25/12,$B170,F$23,F$53,-F$27,0)-F$27,0)))</f>
        <v/>
      </c>
      <c r="G170" s="279">
        <f>IF(G$1=0,"",IF($B170&lt;G$23,G169+PPMT(G$25/12,$B170,G$23,G$53,-G$27,0),IF($B170=G$23,G169+PPMT(G$25/12,$B170,G$23,G$53,-G$27,0)-G$27,0)))</f>
        <v/>
      </c>
      <c r="H170" s="279">
        <f>IF(H$1=0,"",IF($B170&lt;H$23,H169+PPMT(H$25/12,$B170,H$23,H$53,-H$27,0),IF($B170=H$23,H169+PPMT(H$25/12,$B170,H$23,H$53,-H$27,0)-H$27,0)))</f>
        <v/>
      </c>
      <c r="I170" s="279">
        <f>IF(I$1=0,"",IF($B170&lt;I$23,I169+PPMT(I$25/12,$B170,I$23,I$53,-I$27,0),IF($B170=I$23,I169+PPMT(I$25/12,$B170,I$23,I$53,-I$27,0)-I$27,0)))</f>
        <v/>
      </c>
      <c r="J170" s="279">
        <f>IF(J$1=0,"",IF($B170&lt;J$23,J169+PPMT(J$25/12,$B170,J$23,J$53,-J$27,0),IF($B170=J$23,J169+PPMT(J$25/12,$B170,J$23,J$53,-J$27,0)-J$27,0)))</f>
        <v/>
      </c>
      <c r="K170" s="279">
        <f>IF(K$1=0,"",IF($B170&lt;K$23,K169+PPMT(K$25/12,$B170,K$23,K$53,-K$27,0),IF($B170=K$23,K169+PPMT(K$25/12,$B170,K$23,K$53,-K$27,0)-K$27,0)))</f>
        <v/>
      </c>
      <c r="L170" s="279">
        <f>IF(L$1=0,"",IF($B170&lt;L$23,L169+PPMT(L$25/12,$B170,L$23,L$53,-L$27,0),IF($B170=L$23,L169+PPMT(L$25/12,$B170,L$23,L$53,-L$27,0)-L$27,0)))</f>
        <v/>
      </c>
      <c r="M170" s="279">
        <f>IF(M$1=0,"",IF($B170&lt;M$23,M169+PPMT(M$25/12,$B170,M$23,M$53,-M$27,0),IF($B170=M$23,M169+PPMT(M$25/12,$B170,M$23,M$53,-M$27,0)-M$27,0)))</f>
        <v/>
      </c>
      <c r="N170" s="280" t="n"/>
      <c r="O170" s="281" t="n"/>
    </row>
    <row r="171" hidden="1" outlineLevel="1">
      <c r="B171" s="2">
        <f>B170+1</f>
        <v/>
      </c>
      <c r="D171" s="279">
        <f>IF(B171&lt;$D$24,(+'CALCULETTE (2)'!T750/'CALCULETTE (2)'!$B$612),0)</f>
        <v/>
      </c>
      <c r="E171" s="279">
        <f>IF(E$1=0,"",IF($B171&lt;E$23,E170+PPMT(E$25/12,$B171,E$23,E$53,-E$27,0),IF($B171=E$23,E170+PPMT(E$25/12,$B171,E$23,E$53,-E$27,0)-E$27,0)))</f>
        <v/>
      </c>
      <c r="F171" s="279">
        <f>IF(F$1=0,"",IF($B171&lt;F$23,F170+PPMT(F$25/12,$B171,F$23,F$53,-F$27,0),IF($B171=F$23,F170+PPMT(F$25/12,$B171,F$23,F$53,-F$27,0)-F$27,0)))</f>
        <v/>
      </c>
      <c r="G171" s="279">
        <f>IF(G$1=0,"",IF($B171&lt;G$23,G170+PPMT(G$25/12,$B171,G$23,G$53,-G$27,0),IF($B171=G$23,G170+PPMT(G$25/12,$B171,G$23,G$53,-G$27,0)-G$27,0)))</f>
        <v/>
      </c>
      <c r="H171" s="279">
        <f>IF(H$1=0,"",IF($B171&lt;H$23,H170+PPMT(H$25/12,$B171,H$23,H$53,-H$27,0),IF($B171=H$23,H170+PPMT(H$25/12,$B171,H$23,H$53,-H$27,0)-H$27,0)))</f>
        <v/>
      </c>
      <c r="I171" s="279">
        <f>IF(I$1=0,"",IF($B171&lt;I$23,I170+PPMT(I$25/12,$B171,I$23,I$53,-I$27,0),IF($B171=I$23,I170+PPMT(I$25/12,$B171,I$23,I$53,-I$27,0)-I$27,0)))</f>
        <v/>
      </c>
      <c r="J171" s="279">
        <f>IF(J$1=0,"",IF($B171&lt;J$23,J170+PPMT(J$25/12,$B171,J$23,J$53,-J$27,0),IF($B171=J$23,J170+PPMT(J$25/12,$B171,J$23,J$53,-J$27,0)-J$27,0)))</f>
        <v/>
      </c>
      <c r="K171" s="279">
        <f>IF(K$1=0,"",IF($B171&lt;K$23,K170+PPMT(K$25/12,$B171,K$23,K$53,-K$27,0),IF($B171=K$23,K170+PPMT(K$25/12,$B171,K$23,K$53,-K$27,0)-K$27,0)))</f>
        <v/>
      </c>
      <c r="L171" s="279">
        <f>IF(L$1=0,"",IF($B171&lt;L$23,L170+PPMT(L$25/12,$B171,L$23,L$53,-L$27,0),IF($B171=L$23,L170+PPMT(L$25/12,$B171,L$23,L$53,-L$27,0)-L$27,0)))</f>
        <v/>
      </c>
      <c r="M171" s="279">
        <f>IF(M$1=0,"",IF($B171&lt;M$23,M170+PPMT(M$25/12,$B171,M$23,M$53,-M$27,0),IF($B171=M$23,M170+PPMT(M$25/12,$B171,M$23,M$53,-M$27,0)-M$27,0)))</f>
        <v/>
      </c>
      <c r="N171" s="280" t="n"/>
      <c r="O171" s="281" t="n"/>
    </row>
    <row r="172" hidden="1" outlineLevel="1">
      <c r="B172" s="2">
        <f>B171+1</f>
        <v/>
      </c>
      <c r="D172" s="279">
        <f>IF(B172&lt;$D$24,(+'CALCULETTE (2)'!T751/'CALCULETTE (2)'!$B$612),0)</f>
        <v/>
      </c>
      <c r="E172" s="279">
        <f>IF(E$1=0,"",IF($B172&lt;E$23,E171+PPMT(E$25/12,$B172,E$23,E$53,-E$27,0),IF($B172=E$23,E171+PPMT(E$25/12,$B172,E$23,E$53,-E$27,0)-E$27,0)))</f>
        <v/>
      </c>
      <c r="F172" s="279">
        <f>IF(F$1=0,"",IF($B172&lt;F$23,F171+PPMT(F$25/12,$B172,F$23,F$53,-F$27,0),IF($B172=F$23,F171+PPMT(F$25/12,$B172,F$23,F$53,-F$27,0)-F$27,0)))</f>
        <v/>
      </c>
      <c r="G172" s="279">
        <f>IF(G$1=0,"",IF($B172&lt;G$23,G171+PPMT(G$25/12,$B172,G$23,G$53,-G$27,0),IF($B172=G$23,G171+PPMT(G$25/12,$B172,G$23,G$53,-G$27,0)-G$27,0)))</f>
        <v/>
      </c>
      <c r="H172" s="279">
        <f>IF(H$1=0,"",IF($B172&lt;H$23,H171+PPMT(H$25/12,$B172,H$23,H$53,-H$27,0),IF($B172=H$23,H171+PPMT(H$25/12,$B172,H$23,H$53,-H$27,0)-H$27,0)))</f>
        <v/>
      </c>
      <c r="I172" s="279">
        <f>IF(I$1=0,"",IF($B172&lt;I$23,I171+PPMT(I$25/12,$B172,I$23,I$53,-I$27,0),IF($B172=I$23,I171+PPMT(I$25/12,$B172,I$23,I$53,-I$27,0)-I$27,0)))</f>
        <v/>
      </c>
      <c r="J172" s="279">
        <f>IF(J$1=0,"",IF($B172&lt;J$23,J171+PPMT(J$25/12,$B172,J$23,J$53,-J$27,0),IF($B172=J$23,J171+PPMT(J$25/12,$B172,J$23,J$53,-J$27,0)-J$27,0)))</f>
        <v/>
      </c>
      <c r="K172" s="279">
        <f>IF(K$1=0,"",IF($B172&lt;K$23,K171+PPMT(K$25/12,$B172,K$23,K$53,-K$27,0),IF($B172=K$23,K171+PPMT(K$25/12,$B172,K$23,K$53,-K$27,0)-K$27,0)))</f>
        <v/>
      </c>
      <c r="L172" s="279">
        <f>IF(L$1=0,"",IF($B172&lt;L$23,L171+PPMT(L$25/12,$B172,L$23,L$53,-L$27,0),IF($B172=L$23,L171+PPMT(L$25/12,$B172,L$23,L$53,-L$27,0)-L$27,0)))</f>
        <v/>
      </c>
      <c r="M172" s="279">
        <f>IF(M$1=0,"",IF($B172&lt;M$23,M171+PPMT(M$25/12,$B172,M$23,M$53,-M$27,0),IF($B172=M$23,M171+PPMT(M$25/12,$B172,M$23,M$53,-M$27,0)-M$27,0)))</f>
        <v/>
      </c>
      <c r="N172" s="280" t="n"/>
      <c r="O172" s="281" t="n"/>
    </row>
    <row r="173" hidden="1" outlineLevel="1">
      <c r="B173" s="2">
        <f>B172+1</f>
        <v/>
      </c>
      <c r="D173" s="279">
        <f>IF(B173&lt;$D$24,(+'CALCULETTE (2)'!T752/'CALCULETTE (2)'!$B$612),0)</f>
        <v/>
      </c>
      <c r="E173" s="279">
        <f>IF(E$1=0,"",IF($B173&lt;E$23,E172+PPMT(E$25/12,$B173,E$23,E$53,-E$27,0),IF($B173=E$23,E172+PPMT(E$25/12,$B173,E$23,E$53,-E$27,0)-E$27,0)))</f>
        <v/>
      </c>
      <c r="F173" s="279">
        <f>IF(F$1=0,"",IF($B173&lt;F$23,F172+PPMT(F$25/12,$B173,F$23,F$53,-F$27,0),IF($B173=F$23,F172+PPMT(F$25/12,$B173,F$23,F$53,-F$27,0)-F$27,0)))</f>
        <v/>
      </c>
      <c r="G173" s="279">
        <f>IF(G$1=0,"",IF($B173&lt;G$23,G172+PPMT(G$25/12,$B173,G$23,G$53,-G$27,0),IF($B173=G$23,G172+PPMT(G$25/12,$B173,G$23,G$53,-G$27,0)-G$27,0)))</f>
        <v/>
      </c>
      <c r="H173" s="279">
        <f>IF(H$1=0,"",IF($B173&lt;H$23,H172+PPMT(H$25/12,$B173,H$23,H$53,-H$27,0),IF($B173=H$23,H172+PPMT(H$25/12,$B173,H$23,H$53,-H$27,0)-H$27,0)))</f>
        <v/>
      </c>
      <c r="I173" s="279">
        <f>IF(I$1=0,"",IF($B173&lt;I$23,I172+PPMT(I$25/12,$B173,I$23,I$53,-I$27,0),IF($B173=I$23,I172+PPMT(I$25/12,$B173,I$23,I$53,-I$27,0)-I$27,0)))</f>
        <v/>
      </c>
      <c r="J173" s="279">
        <f>IF(J$1=0,"",IF($B173&lt;J$23,J172+PPMT(J$25/12,$B173,J$23,J$53,-J$27,0),IF($B173=J$23,J172+PPMT(J$25/12,$B173,J$23,J$53,-J$27,0)-J$27,0)))</f>
        <v/>
      </c>
      <c r="K173" s="279">
        <f>IF(K$1=0,"",IF($B173&lt;K$23,K172+PPMT(K$25/12,$B173,K$23,K$53,-K$27,0),IF($B173=K$23,K172+PPMT(K$25/12,$B173,K$23,K$53,-K$27,0)-K$27,0)))</f>
        <v/>
      </c>
      <c r="L173" s="279">
        <f>IF(L$1=0,"",IF($B173&lt;L$23,L172+PPMT(L$25/12,$B173,L$23,L$53,-L$27,0),IF($B173=L$23,L172+PPMT(L$25/12,$B173,L$23,L$53,-L$27,0)-L$27,0)))</f>
        <v/>
      </c>
      <c r="M173" s="279">
        <f>IF(M$1=0,"",IF($B173&lt;M$23,M172+PPMT(M$25/12,$B173,M$23,M$53,-M$27,0),IF($B173=M$23,M172+PPMT(M$25/12,$B173,M$23,M$53,-M$27,0)-M$27,0)))</f>
        <v/>
      </c>
      <c r="N173" s="280" t="n"/>
      <c r="O173" s="281" t="n"/>
    </row>
    <row r="174" hidden="1" outlineLevel="1">
      <c r="B174" s="2">
        <f>B173+1</f>
        <v/>
      </c>
      <c r="D174" s="279">
        <f>IF(B174&lt;$D$24,(+'CALCULETTE (2)'!T753/'CALCULETTE (2)'!$B$612),0)</f>
        <v/>
      </c>
      <c r="E174" s="279">
        <f>IF(E$1=0,"",IF($B174&lt;E$23,E173+PPMT(E$25/12,$B174,E$23,E$53,-E$27,0),IF($B174=E$23,E173+PPMT(E$25/12,$B174,E$23,E$53,-E$27,0)-E$27,0)))</f>
        <v/>
      </c>
      <c r="F174" s="279">
        <f>IF(F$1=0,"",IF($B174&lt;F$23,F173+PPMT(F$25/12,$B174,F$23,F$53,-F$27,0),IF($B174=F$23,F173+PPMT(F$25/12,$B174,F$23,F$53,-F$27,0)-F$27,0)))</f>
        <v/>
      </c>
      <c r="G174" s="279">
        <f>IF(G$1=0,"",IF($B174&lt;G$23,G173+PPMT(G$25/12,$B174,G$23,G$53,-G$27,0),IF($B174=G$23,G173+PPMT(G$25/12,$B174,G$23,G$53,-G$27,0)-G$27,0)))</f>
        <v/>
      </c>
      <c r="H174" s="279">
        <f>IF(H$1=0,"",IF($B174&lt;H$23,H173+PPMT(H$25/12,$B174,H$23,H$53,-H$27,0),IF($B174=H$23,H173+PPMT(H$25/12,$B174,H$23,H$53,-H$27,0)-H$27,0)))</f>
        <v/>
      </c>
      <c r="I174" s="279">
        <f>IF(I$1=0,"",IF($B174&lt;I$23,I173+PPMT(I$25/12,$B174,I$23,I$53,-I$27,0),IF($B174=I$23,I173+PPMT(I$25/12,$B174,I$23,I$53,-I$27,0)-I$27,0)))</f>
        <v/>
      </c>
      <c r="J174" s="279">
        <f>IF(J$1=0,"",IF($B174&lt;J$23,J173+PPMT(J$25/12,$B174,J$23,J$53,-J$27,0),IF($B174=J$23,J173+PPMT(J$25/12,$B174,J$23,J$53,-J$27,0)-J$27,0)))</f>
        <v/>
      </c>
      <c r="K174" s="279">
        <f>IF(K$1=0,"",IF($B174&lt;K$23,K173+PPMT(K$25/12,$B174,K$23,K$53,-K$27,0),IF($B174=K$23,K173+PPMT(K$25/12,$B174,K$23,K$53,-K$27,0)-K$27,0)))</f>
        <v/>
      </c>
      <c r="L174" s="279">
        <f>IF(L$1=0,"",IF($B174&lt;L$23,L173+PPMT(L$25/12,$B174,L$23,L$53,-L$27,0),IF($B174=L$23,L173+PPMT(L$25/12,$B174,L$23,L$53,-L$27,0)-L$27,0)))</f>
        <v/>
      </c>
      <c r="M174" s="279">
        <f>IF(M$1=0,"",IF($B174&lt;M$23,M173+PPMT(M$25/12,$B174,M$23,M$53,-M$27,0),IF($B174=M$23,M173+PPMT(M$25/12,$B174,M$23,M$53,-M$27,0)-M$27,0)))</f>
        <v/>
      </c>
      <c r="N174" s="280" t="n"/>
      <c r="O174" s="281" t="n"/>
    </row>
    <row r="175" hidden="1" outlineLevel="1">
      <c r="B175" s="2">
        <f>B174+1</f>
        <v/>
      </c>
      <c r="D175" s="279">
        <f>IF(B175&lt;$D$24,(+'CALCULETTE (2)'!T754/'CALCULETTE (2)'!$B$612),0)</f>
        <v/>
      </c>
      <c r="E175" s="279">
        <f>IF(E$1=0,"",IF($B175&lt;E$23,E174+PPMT(E$25/12,$B175,E$23,E$53,-E$27,0),IF($B175=E$23,E174+PPMT(E$25/12,$B175,E$23,E$53,-E$27,0)-E$27,0)))</f>
        <v/>
      </c>
      <c r="F175" s="279">
        <f>IF(F$1=0,"",IF($B175&lt;F$23,F174+PPMT(F$25/12,$B175,F$23,F$53,-F$27,0),IF($B175=F$23,F174+PPMT(F$25/12,$B175,F$23,F$53,-F$27,0)-F$27,0)))</f>
        <v/>
      </c>
      <c r="G175" s="279">
        <f>IF(G$1=0,"",IF($B175&lt;G$23,G174+PPMT(G$25/12,$B175,G$23,G$53,-G$27,0),IF($B175=G$23,G174+PPMT(G$25/12,$B175,G$23,G$53,-G$27,0)-G$27,0)))</f>
        <v/>
      </c>
      <c r="H175" s="279">
        <f>IF(H$1=0,"",IF($B175&lt;H$23,H174+PPMT(H$25/12,$B175,H$23,H$53,-H$27,0),IF($B175=H$23,H174+PPMT(H$25/12,$B175,H$23,H$53,-H$27,0)-H$27,0)))</f>
        <v/>
      </c>
      <c r="I175" s="279">
        <f>IF(I$1=0,"",IF($B175&lt;I$23,I174+PPMT(I$25/12,$B175,I$23,I$53,-I$27,0),IF($B175=I$23,I174+PPMT(I$25/12,$B175,I$23,I$53,-I$27,0)-I$27,0)))</f>
        <v/>
      </c>
      <c r="J175" s="279">
        <f>IF(J$1=0,"",IF($B175&lt;J$23,J174+PPMT(J$25/12,$B175,J$23,J$53,-J$27,0),IF($B175=J$23,J174+PPMT(J$25/12,$B175,J$23,J$53,-J$27,0)-J$27,0)))</f>
        <v/>
      </c>
      <c r="K175" s="279">
        <f>IF(K$1=0,"",IF($B175&lt;K$23,K174+PPMT(K$25/12,$B175,K$23,K$53,-K$27,0),IF($B175=K$23,K174+PPMT(K$25/12,$B175,K$23,K$53,-K$27,0)-K$27,0)))</f>
        <v/>
      </c>
      <c r="L175" s="279">
        <f>IF(L$1=0,"",IF($B175&lt;L$23,L174+PPMT(L$25/12,$B175,L$23,L$53,-L$27,0),IF($B175=L$23,L174+PPMT(L$25/12,$B175,L$23,L$53,-L$27,0)-L$27,0)))</f>
        <v/>
      </c>
      <c r="M175" s="279">
        <f>IF(M$1=0,"",IF($B175&lt;M$23,M174+PPMT(M$25/12,$B175,M$23,M$53,-M$27,0),IF($B175=M$23,M174+PPMT(M$25/12,$B175,M$23,M$53,-M$27,0)-M$27,0)))</f>
        <v/>
      </c>
      <c r="N175" s="280" t="n"/>
      <c r="O175" s="281" t="n"/>
    </row>
    <row r="176" hidden="1" outlineLevel="1">
      <c r="B176" s="2">
        <f>B175+1</f>
        <v/>
      </c>
      <c r="D176" s="279">
        <f>IF(B176&lt;$D$24,(+'CALCULETTE (2)'!T755/'CALCULETTE (2)'!$B$612),0)</f>
        <v/>
      </c>
      <c r="E176" s="279">
        <f>IF(E$1=0,"",IF($B176&lt;E$23,E175+PPMT(E$25/12,$B176,E$23,E$53,-E$27,0),IF($B176=E$23,E175+PPMT(E$25/12,$B176,E$23,E$53,-E$27,0)-E$27,0)))</f>
        <v/>
      </c>
      <c r="F176" s="279">
        <f>IF(F$1=0,"",IF($B176&lt;F$23,F175+PPMT(F$25/12,$B176,F$23,F$53,-F$27,0),IF($B176=F$23,F175+PPMT(F$25/12,$B176,F$23,F$53,-F$27,0)-F$27,0)))</f>
        <v/>
      </c>
      <c r="G176" s="279">
        <f>IF(G$1=0,"",IF($B176&lt;G$23,G175+PPMT(G$25/12,$B176,G$23,G$53,-G$27,0),IF($B176=G$23,G175+PPMT(G$25/12,$B176,G$23,G$53,-G$27,0)-G$27,0)))</f>
        <v/>
      </c>
      <c r="H176" s="279">
        <f>IF(H$1=0,"",IF($B176&lt;H$23,H175+PPMT(H$25/12,$B176,H$23,H$53,-H$27,0),IF($B176=H$23,H175+PPMT(H$25/12,$B176,H$23,H$53,-H$27,0)-H$27,0)))</f>
        <v/>
      </c>
      <c r="I176" s="279">
        <f>IF(I$1=0,"",IF($B176&lt;I$23,I175+PPMT(I$25/12,$B176,I$23,I$53,-I$27,0),IF($B176=I$23,I175+PPMT(I$25/12,$B176,I$23,I$53,-I$27,0)-I$27,0)))</f>
        <v/>
      </c>
      <c r="J176" s="279">
        <f>IF(J$1=0,"",IF($B176&lt;J$23,J175+PPMT(J$25/12,$B176,J$23,J$53,-J$27,0),IF($B176=J$23,J175+PPMT(J$25/12,$B176,J$23,J$53,-J$27,0)-J$27,0)))</f>
        <v/>
      </c>
      <c r="K176" s="279">
        <f>IF(K$1=0,"",IF($B176&lt;K$23,K175+PPMT(K$25/12,$B176,K$23,K$53,-K$27,0),IF($B176=K$23,K175+PPMT(K$25/12,$B176,K$23,K$53,-K$27,0)-K$27,0)))</f>
        <v/>
      </c>
      <c r="L176" s="279">
        <f>IF(L$1=0,"",IF($B176&lt;L$23,L175+PPMT(L$25/12,$B176,L$23,L$53,-L$27,0),IF($B176=L$23,L175+PPMT(L$25/12,$B176,L$23,L$53,-L$27,0)-L$27,0)))</f>
        <v/>
      </c>
      <c r="M176" s="279">
        <f>IF(M$1=0,"",IF($B176&lt;M$23,M175+PPMT(M$25/12,$B176,M$23,M$53,-M$27,0),IF($B176=M$23,M175+PPMT(M$25/12,$B176,M$23,M$53,-M$27,0)-M$27,0)))</f>
        <v/>
      </c>
      <c r="N176" s="280" t="n"/>
      <c r="O176" s="281" t="n"/>
    </row>
    <row r="177" hidden="1" outlineLevel="1">
      <c r="B177" s="2">
        <f>B176+1</f>
        <v/>
      </c>
      <c r="D177" s="279">
        <f>IF(B177&lt;$D$24,(+'CALCULETTE (2)'!T756/'CALCULETTE (2)'!$B$612),0)</f>
        <v/>
      </c>
      <c r="E177" s="279">
        <f>IF(E$1=0,"",IF($B177&lt;E$23,E176+PPMT(E$25/12,$B177,E$23,E$53,-E$27,0),IF($B177=E$23,E176+PPMT(E$25/12,$B177,E$23,E$53,-E$27,0)-E$27,0)))</f>
        <v/>
      </c>
      <c r="F177" s="279">
        <f>IF(F$1=0,"",IF($B177&lt;F$23,F176+PPMT(F$25/12,$B177,F$23,F$53,-F$27,0),IF($B177=F$23,F176+PPMT(F$25/12,$B177,F$23,F$53,-F$27,0)-F$27,0)))</f>
        <v/>
      </c>
      <c r="G177" s="279">
        <f>IF(G$1=0,"",IF($B177&lt;G$23,G176+PPMT(G$25/12,$B177,G$23,G$53,-G$27,0),IF($B177=G$23,G176+PPMT(G$25/12,$B177,G$23,G$53,-G$27,0)-G$27,0)))</f>
        <v/>
      </c>
      <c r="H177" s="279">
        <f>IF(H$1=0,"",IF($B177&lt;H$23,H176+PPMT(H$25/12,$B177,H$23,H$53,-H$27,0),IF($B177=H$23,H176+PPMT(H$25/12,$B177,H$23,H$53,-H$27,0)-H$27,0)))</f>
        <v/>
      </c>
      <c r="I177" s="279">
        <f>IF(I$1=0,"",IF($B177&lt;I$23,I176+PPMT(I$25/12,$B177,I$23,I$53,-I$27,0),IF($B177=I$23,I176+PPMT(I$25/12,$B177,I$23,I$53,-I$27,0)-I$27,0)))</f>
        <v/>
      </c>
      <c r="J177" s="279">
        <f>IF(J$1=0,"",IF($B177&lt;J$23,J176+PPMT(J$25/12,$B177,J$23,J$53,-J$27,0),IF($B177=J$23,J176+PPMT(J$25/12,$B177,J$23,J$53,-J$27,0)-J$27,0)))</f>
        <v/>
      </c>
      <c r="K177" s="279">
        <f>IF(K$1=0,"",IF($B177&lt;K$23,K176+PPMT(K$25/12,$B177,K$23,K$53,-K$27,0),IF($B177=K$23,K176+PPMT(K$25/12,$B177,K$23,K$53,-K$27,0)-K$27,0)))</f>
        <v/>
      </c>
      <c r="L177" s="279">
        <f>IF(L$1=0,"",IF($B177&lt;L$23,L176+PPMT(L$25/12,$B177,L$23,L$53,-L$27,0),IF($B177=L$23,L176+PPMT(L$25/12,$B177,L$23,L$53,-L$27,0)-L$27,0)))</f>
        <v/>
      </c>
      <c r="M177" s="279">
        <f>IF(M$1=0,"",IF($B177&lt;M$23,M176+PPMT(M$25/12,$B177,M$23,M$53,-M$27,0),IF($B177=M$23,M176+PPMT(M$25/12,$B177,M$23,M$53,-M$27,0)-M$27,0)))</f>
        <v/>
      </c>
      <c r="N177" s="280" t="n"/>
      <c r="O177" s="281" t="n"/>
    </row>
    <row r="178" hidden="1" outlineLevel="1">
      <c r="B178" s="2">
        <f>B177+1</f>
        <v/>
      </c>
      <c r="D178" s="279">
        <f>IF(B178&lt;$D$24,(+'CALCULETTE (2)'!T757/'CALCULETTE (2)'!$B$612),0)</f>
        <v/>
      </c>
      <c r="E178" s="279">
        <f>IF(E$1=0,"",IF($B178&lt;E$23,E177+PPMT(E$25/12,$B178,E$23,E$53,-E$27,0),IF($B178=E$23,E177+PPMT(E$25/12,$B178,E$23,E$53,-E$27,0)-E$27,0)))</f>
        <v/>
      </c>
      <c r="F178" s="279">
        <f>IF(F$1=0,"",IF($B178&lt;F$23,F177+PPMT(F$25/12,$B178,F$23,F$53,-F$27,0),IF($B178=F$23,F177+PPMT(F$25/12,$B178,F$23,F$53,-F$27,0)-F$27,0)))</f>
        <v/>
      </c>
      <c r="G178" s="279">
        <f>IF(G$1=0,"",IF($B178&lt;G$23,G177+PPMT(G$25/12,$B178,G$23,G$53,-G$27,0),IF($B178=G$23,G177+PPMT(G$25/12,$B178,G$23,G$53,-G$27,0)-G$27,0)))</f>
        <v/>
      </c>
      <c r="H178" s="279">
        <f>IF(H$1=0,"",IF($B178&lt;H$23,H177+PPMT(H$25/12,$B178,H$23,H$53,-H$27,0),IF($B178=H$23,H177+PPMT(H$25/12,$B178,H$23,H$53,-H$27,0)-H$27,0)))</f>
        <v/>
      </c>
      <c r="I178" s="279">
        <f>IF(I$1=0,"",IF($B178&lt;I$23,I177+PPMT(I$25/12,$B178,I$23,I$53,-I$27,0),IF($B178=I$23,I177+PPMT(I$25/12,$B178,I$23,I$53,-I$27,0)-I$27,0)))</f>
        <v/>
      </c>
      <c r="J178" s="279">
        <f>IF(J$1=0,"",IF($B178&lt;J$23,J177+PPMT(J$25/12,$B178,J$23,J$53,-J$27,0),IF($B178=J$23,J177+PPMT(J$25/12,$B178,J$23,J$53,-J$27,0)-J$27,0)))</f>
        <v/>
      </c>
      <c r="K178" s="279">
        <f>IF(K$1=0,"",IF($B178&lt;K$23,K177+PPMT(K$25/12,$B178,K$23,K$53,-K$27,0),IF($B178=K$23,K177+PPMT(K$25/12,$B178,K$23,K$53,-K$27,0)-K$27,0)))</f>
        <v/>
      </c>
      <c r="L178" s="279">
        <f>IF(L$1=0,"",IF($B178&lt;L$23,L177+PPMT(L$25/12,$B178,L$23,L$53,-L$27,0),IF($B178=L$23,L177+PPMT(L$25/12,$B178,L$23,L$53,-L$27,0)-L$27,0)))</f>
        <v/>
      </c>
      <c r="M178" s="279">
        <f>IF(M$1=0,"",IF($B178&lt;M$23,M177+PPMT(M$25/12,$B178,M$23,M$53,-M$27,0),IF($B178=M$23,M177+PPMT(M$25/12,$B178,M$23,M$53,-M$27,0)-M$27,0)))</f>
        <v/>
      </c>
      <c r="N178" s="280" t="n"/>
      <c r="O178" s="281" t="n"/>
    </row>
    <row r="179" hidden="1" outlineLevel="1">
      <c r="B179" s="2">
        <f>B178+1</f>
        <v/>
      </c>
      <c r="D179" s="279">
        <f>IF(B179&lt;$D$24,(+'CALCULETTE (2)'!T758/'CALCULETTE (2)'!$B$612),0)</f>
        <v/>
      </c>
      <c r="E179" s="279">
        <f>IF(E$1=0,"",IF($B179&lt;E$23,E178+PPMT(E$25/12,$B179,E$23,E$53,-E$27,0),IF($B179=E$23,E178+PPMT(E$25/12,$B179,E$23,E$53,-E$27,0)-E$27,0)))</f>
        <v/>
      </c>
      <c r="F179" s="279">
        <f>IF(F$1=0,"",IF($B179&lt;F$23,F178+PPMT(F$25/12,$B179,F$23,F$53,-F$27,0),IF($B179=F$23,F178+PPMT(F$25/12,$B179,F$23,F$53,-F$27,0)-F$27,0)))</f>
        <v/>
      </c>
      <c r="G179" s="279">
        <f>IF(G$1=0,"",IF($B179&lt;G$23,G178+PPMT(G$25/12,$B179,G$23,G$53,-G$27,0),IF($B179=G$23,G178+PPMT(G$25/12,$B179,G$23,G$53,-G$27,0)-G$27,0)))</f>
        <v/>
      </c>
      <c r="H179" s="279">
        <f>IF(H$1=0,"",IF($B179&lt;H$23,H178+PPMT(H$25/12,$B179,H$23,H$53,-H$27,0),IF($B179=H$23,H178+PPMT(H$25/12,$B179,H$23,H$53,-H$27,0)-H$27,0)))</f>
        <v/>
      </c>
      <c r="I179" s="279">
        <f>IF(I$1=0,"",IF($B179&lt;I$23,I178+PPMT(I$25/12,$B179,I$23,I$53,-I$27,0),IF($B179=I$23,I178+PPMT(I$25/12,$B179,I$23,I$53,-I$27,0)-I$27,0)))</f>
        <v/>
      </c>
      <c r="J179" s="279">
        <f>IF(J$1=0,"",IF($B179&lt;J$23,J178+PPMT(J$25/12,$B179,J$23,J$53,-J$27,0),IF($B179=J$23,J178+PPMT(J$25/12,$B179,J$23,J$53,-J$27,0)-J$27,0)))</f>
        <v/>
      </c>
      <c r="K179" s="279">
        <f>IF(K$1=0,"",IF($B179&lt;K$23,K178+PPMT(K$25/12,$B179,K$23,K$53,-K$27,0),IF($B179=K$23,K178+PPMT(K$25/12,$B179,K$23,K$53,-K$27,0)-K$27,0)))</f>
        <v/>
      </c>
      <c r="L179" s="279">
        <f>IF(L$1=0,"",IF($B179&lt;L$23,L178+PPMT(L$25/12,$B179,L$23,L$53,-L$27,0),IF($B179=L$23,L178+PPMT(L$25/12,$B179,L$23,L$53,-L$27,0)-L$27,0)))</f>
        <v/>
      </c>
      <c r="M179" s="279">
        <f>IF(M$1=0,"",IF($B179&lt;M$23,M178+PPMT(M$25/12,$B179,M$23,M$53,-M$27,0),IF($B179=M$23,M178+PPMT(M$25/12,$B179,M$23,M$53,-M$27,0)-M$27,0)))</f>
        <v/>
      </c>
      <c r="N179" s="280" t="n"/>
      <c r="O179" s="281" t="n"/>
    </row>
    <row r="180" hidden="1" outlineLevel="1">
      <c r="B180" s="2">
        <f>B179+1</f>
        <v/>
      </c>
      <c r="D180" s="279">
        <f>IF(B180&lt;$D$24,(+'CALCULETTE (2)'!T759/'CALCULETTE (2)'!$B$612),0)</f>
        <v/>
      </c>
      <c r="E180" s="279">
        <f>IF(E$1=0,"",IF($B180&lt;E$23,E179+PPMT(E$25/12,$B180,E$23,E$53,-E$27,0),IF($B180=E$23,E179+PPMT(E$25/12,$B180,E$23,E$53,-E$27,0)-E$27,0)))</f>
        <v/>
      </c>
      <c r="F180" s="279">
        <f>IF(F$1=0,"",IF($B180&lt;F$23,F179+PPMT(F$25/12,$B180,F$23,F$53,-F$27,0),IF($B180=F$23,F179+PPMT(F$25/12,$B180,F$23,F$53,-F$27,0)-F$27,0)))</f>
        <v/>
      </c>
      <c r="G180" s="279">
        <f>IF(G$1=0,"",IF($B180&lt;G$23,G179+PPMT(G$25/12,$B180,G$23,G$53,-G$27,0),IF($B180=G$23,G179+PPMT(G$25/12,$B180,G$23,G$53,-G$27,0)-G$27,0)))</f>
        <v/>
      </c>
      <c r="H180" s="279">
        <f>IF(H$1=0,"",IF($B180&lt;H$23,H179+PPMT(H$25/12,$B180,H$23,H$53,-H$27,0),IF($B180=H$23,H179+PPMT(H$25/12,$B180,H$23,H$53,-H$27,0)-H$27,0)))</f>
        <v/>
      </c>
      <c r="I180" s="279">
        <f>IF(I$1=0,"",IF($B180&lt;I$23,I179+PPMT(I$25/12,$B180,I$23,I$53,-I$27,0),IF($B180=I$23,I179+PPMT(I$25/12,$B180,I$23,I$53,-I$27,0)-I$27,0)))</f>
        <v/>
      </c>
      <c r="J180" s="279">
        <f>IF(J$1=0,"",IF($B180&lt;J$23,J179+PPMT(J$25/12,$B180,J$23,J$53,-J$27,0),IF($B180=J$23,J179+PPMT(J$25/12,$B180,J$23,J$53,-J$27,0)-J$27,0)))</f>
        <v/>
      </c>
      <c r="K180" s="279">
        <f>IF(K$1=0,"",IF($B180&lt;K$23,K179+PPMT(K$25/12,$B180,K$23,K$53,-K$27,0),IF($B180=K$23,K179+PPMT(K$25/12,$B180,K$23,K$53,-K$27,0)-K$27,0)))</f>
        <v/>
      </c>
      <c r="L180" s="279">
        <f>IF(L$1=0,"",IF($B180&lt;L$23,L179+PPMT(L$25/12,$B180,L$23,L$53,-L$27,0),IF($B180=L$23,L179+PPMT(L$25/12,$B180,L$23,L$53,-L$27,0)-L$27,0)))</f>
        <v/>
      </c>
      <c r="M180" s="279">
        <f>IF(M$1=0,"",IF($B180&lt;M$23,M179+PPMT(M$25/12,$B180,M$23,M$53,-M$27,0),IF($B180=M$23,M179+PPMT(M$25/12,$B180,M$23,M$53,-M$27,0)-M$27,0)))</f>
        <v/>
      </c>
      <c r="N180" s="280" t="n"/>
      <c r="O180" s="281" t="n"/>
    </row>
    <row r="181" hidden="1" outlineLevel="1">
      <c r="B181" s="2">
        <f>B180+1</f>
        <v/>
      </c>
      <c r="D181" s="279">
        <f>IF(B181&lt;$D$24,(+'CALCULETTE (2)'!T760/'CALCULETTE (2)'!$B$612),0)</f>
        <v/>
      </c>
      <c r="E181" s="279">
        <f>IF(E$1=0,"",IF($B181&lt;E$23,E180+PPMT(E$25/12,$B181,E$23,E$53,-E$27,0),IF($B181=E$23,E180+PPMT(E$25/12,$B181,E$23,E$53,-E$27,0)-E$27,0)))</f>
        <v/>
      </c>
      <c r="F181" s="279">
        <f>IF(F$1=0,"",IF($B181&lt;F$23,F180+PPMT(F$25/12,$B181,F$23,F$53,-F$27,0),IF($B181=F$23,F180+PPMT(F$25/12,$B181,F$23,F$53,-F$27,0)-F$27,0)))</f>
        <v/>
      </c>
      <c r="G181" s="279">
        <f>IF(G$1=0,"",IF($B181&lt;G$23,G180+PPMT(G$25/12,$B181,G$23,G$53,-G$27,0),IF($B181=G$23,G180+PPMT(G$25/12,$B181,G$23,G$53,-G$27,0)-G$27,0)))</f>
        <v/>
      </c>
      <c r="H181" s="279">
        <f>IF(H$1=0,"",IF($B181&lt;H$23,H180+PPMT(H$25/12,$B181,H$23,H$53,-H$27,0),IF($B181=H$23,H180+PPMT(H$25/12,$B181,H$23,H$53,-H$27,0)-H$27,0)))</f>
        <v/>
      </c>
      <c r="I181" s="279">
        <f>IF(I$1=0,"",IF($B181&lt;I$23,I180+PPMT(I$25/12,$B181,I$23,I$53,-I$27,0),IF($B181=I$23,I180+PPMT(I$25/12,$B181,I$23,I$53,-I$27,0)-I$27,0)))</f>
        <v/>
      </c>
      <c r="J181" s="279">
        <f>IF(J$1=0,"",IF($B181&lt;J$23,J180+PPMT(J$25/12,$B181,J$23,J$53,-J$27,0),IF($B181=J$23,J180+PPMT(J$25/12,$B181,J$23,J$53,-J$27,0)-J$27,0)))</f>
        <v/>
      </c>
      <c r="K181" s="279">
        <f>IF(K$1=0,"",IF($B181&lt;K$23,K180+PPMT(K$25/12,$B181,K$23,K$53,-K$27,0),IF($B181=K$23,K180+PPMT(K$25/12,$B181,K$23,K$53,-K$27,0)-K$27,0)))</f>
        <v/>
      </c>
      <c r="L181" s="279">
        <f>IF(L$1=0,"",IF($B181&lt;L$23,L180+PPMT(L$25/12,$B181,L$23,L$53,-L$27,0),IF($B181=L$23,L180+PPMT(L$25/12,$B181,L$23,L$53,-L$27,0)-L$27,0)))</f>
        <v/>
      </c>
      <c r="M181" s="279">
        <f>IF(M$1=0,"",IF($B181&lt;M$23,M180+PPMT(M$25/12,$B181,M$23,M$53,-M$27,0),IF($B181=M$23,M180+PPMT(M$25/12,$B181,M$23,M$53,-M$27,0)-M$27,0)))</f>
        <v/>
      </c>
      <c r="N181" s="280" t="n"/>
      <c r="O181" s="281" t="n"/>
    </row>
    <row r="182" hidden="1" outlineLevel="1">
      <c r="B182" s="2">
        <f>B181+1</f>
        <v/>
      </c>
      <c r="D182" s="279">
        <f>IF(B182&lt;$D$24,(+'CALCULETTE (2)'!T761/'CALCULETTE (2)'!$B$612),0)</f>
        <v/>
      </c>
      <c r="E182" s="279">
        <f>IF(E$1=0,"",IF($B182&lt;E$23,E181+PPMT(E$25/12,$B182,E$23,E$53,-E$27,0),IF($B182=E$23,E181+PPMT(E$25/12,$B182,E$23,E$53,-E$27,0)-E$27,0)))</f>
        <v/>
      </c>
      <c r="F182" s="279">
        <f>IF(F$1=0,"",IF($B182&lt;F$23,F181+PPMT(F$25/12,$B182,F$23,F$53,-F$27,0),IF($B182=F$23,F181+PPMT(F$25/12,$B182,F$23,F$53,-F$27,0)-F$27,0)))</f>
        <v/>
      </c>
      <c r="G182" s="279">
        <f>IF(G$1=0,"",IF($B182&lt;G$23,G181+PPMT(G$25/12,$B182,G$23,G$53,-G$27,0),IF($B182=G$23,G181+PPMT(G$25/12,$B182,G$23,G$53,-G$27,0)-G$27,0)))</f>
        <v/>
      </c>
      <c r="H182" s="279">
        <f>IF(H$1=0,"",IF($B182&lt;H$23,H181+PPMT(H$25/12,$B182,H$23,H$53,-H$27,0),IF($B182=H$23,H181+PPMT(H$25/12,$B182,H$23,H$53,-H$27,0)-H$27,0)))</f>
        <v/>
      </c>
      <c r="I182" s="279">
        <f>IF(I$1=0,"",IF($B182&lt;I$23,I181+PPMT(I$25/12,$B182,I$23,I$53,-I$27,0),IF($B182=I$23,I181+PPMT(I$25/12,$B182,I$23,I$53,-I$27,0)-I$27,0)))</f>
        <v/>
      </c>
      <c r="J182" s="279">
        <f>IF(J$1=0,"",IF($B182&lt;J$23,J181+PPMT(J$25/12,$B182,J$23,J$53,-J$27,0),IF($B182=J$23,J181+PPMT(J$25/12,$B182,J$23,J$53,-J$27,0)-J$27,0)))</f>
        <v/>
      </c>
      <c r="K182" s="279">
        <f>IF(K$1=0,"",IF($B182&lt;K$23,K181+PPMT(K$25/12,$B182,K$23,K$53,-K$27,0),IF($B182=K$23,K181+PPMT(K$25/12,$B182,K$23,K$53,-K$27,0)-K$27,0)))</f>
        <v/>
      </c>
      <c r="L182" s="279">
        <f>IF(L$1=0,"",IF($B182&lt;L$23,L181+PPMT(L$25/12,$B182,L$23,L$53,-L$27,0),IF($B182=L$23,L181+PPMT(L$25/12,$B182,L$23,L$53,-L$27,0)-L$27,0)))</f>
        <v/>
      </c>
      <c r="M182" s="279">
        <f>IF(M$1=0,"",IF($B182&lt;M$23,M181+PPMT(M$25/12,$B182,M$23,M$53,-M$27,0),IF($B182=M$23,M181+PPMT(M$25/12,$B182,M$23,M$53,-M$27,0)-M$27,0)))</f>
        <v/>
      </c>
      <c r="N182" s="280" t="n"/>
      <c r="O182" s="281" t="n"/>
    </row>
    <row r="183" hidden="1" outlineLevel="1">
      <c r="B183" s="2">
        <f>B182+1</f>
        <v/>
      </c>
      <c r="D183" s="279">
        <f>IF(B183&lt;$D$24,(+'CALCULETTE (2)'!T762/'CALCULETTE (2)'!$B$612),0)</f>
        <v/>
      </c>
      <c r="E183" s="279">
        <f>IF(E$1=0,"",IF($B183&lt;E$23,E182+PPMT(E$25/12,$B183,E$23,E$53,-E$27,0),IF($B183=E$23,E182+PPMT(E$25/12,$B183,E$23,E$53,-E$27,0)-E$27,0)))</f>
        <v/>
      </c>
      <c r="F183" s="279">
        <f>IF(F$1=0,"",IF($B183&lt;F$23,F182+PPMT(F$25/12,$B183,F$23,F$53,-F$27,0),IF($B183=F$23,F182+PPMT(F$25/12,$B183,F$23,F$53,-F$27,0)-F$27,0)))</f>
        <v/>
      </c>
      <c r="G183" s="279">
        <f>IF(G$1=0,"",IF($B183&lt;G$23,G182+PPMT(G$25/12,$B183,G$23,G$53,-G$27,0),IF($B183=G$23,G182+PPMT(G$25/12,$B183,G$23,G$53,-G$27,0)-G$27,0)))</f>
        <v/>
      </c>
      <c r="H183" s="279">
        <f>IF(H$1=0,"",IF($B183&lt;H$23,H182+PPMT(H$25/12,$B183,H$23,H$53,-H$27,0),IF($B183=H$23,H182+PPMT(H$25/12,$B183,H$23,H$53,-H$27,0)-H$27,0)))</f>
        <v/>
      </c>
      <c r="I183" s="279">
        <f>IF(I$1=0,"",IF($B183&lt;I$23,I182+PPMT(I$25/12,$B183,I$23,I$53,-I$27,0),IF($B183=I$23,I182+PPMT(I$25/12,$B183,I$23,I$53,-I$27,0)-I$27,0)))</f>
        <v/>
      </c>
      <c r="J183" s="279">
        <f>IF(J$1=0,"",IF($B183&lt;J$23,J182+PPMT(J$25/12,$B183,J$23,J$53,-J$27,0),IF($B183=J$23,J182+PPMT(J$25/12,$B183,J$23,J$53,-J$27,0)-J$27,0)))</f>
        <v/>
      </c>
      <c r="K183" s="279">
        <f>IF(K$1=0,"",IF($B183&lt;K$23,K182+PPMT(K$25/12,$B183,K$23,K$53,-K$27,0),IF($B183=K$23,K182+PPMT(K$25/12,$B183,K$23,K$53,-K$27,0)-K$27,0)))</f>
        <v/>
      </c>
      <c r="L183" s="279">
        <f>IF(L$1=0,"",IF($B183&lt;L$23,L182+PPMT(L$25/12,$B183,L$23,L$53,-L$27,0),IF($B183=L$23,L182+PPMT(L$25/12,$B183,L$23,L$53,-L$27,0)-L$27,0)))</f>
        <v/>
      </c>
      <c r="M183" s="279">
        <f>IF(M$1=0,"",IF($B183&lt;M$23,M182+PPMT(M$25/12,$B183,M$23,M$53,-M$27,0),IF($B183=M$23,M182+PPMT(M$25/12,$B183,M$23,M$53,-M$27,0)-M$27,0)))</f>
        <v/>
      </c>
      <c r="N183" s="280" t="n"/>
      <c r="O183" s="281" t="n"/>
    </row>
    <row r="184" hidden="1" outlineLevel="1">
      <c r="B184" s="2">
        <f>B183+1</f>
        <v/>
      </c>
      <c r="D184" s="279">
        <f>IF(B184&lt;$D$24,(+'CALCULETTE (2)'!T763/'CALCULETTE (2)'!$B$612),0)</f>
        <v/>
      </c>
      <c r="E184" s="279">
        <f>IF(E$1=0,"",IF($B184&lt;E$23,E183+PPMT(E$25/12,$B184,E$23,E$53,-E$27,0),IF($B184=E$23,E183+PPMT(E$25/12,$B184,E$23,E$53,-E$27,0)-E$27,0)))</f>
        <v/>
      </c>
      <c r="F184" s="279">
        <f>IF(F$1=0,"",IF($B184&lt;F$23,F183+PPMT(F$25/12,$B184,F$23,F$53,-F$27,0),IF($B184=F$23,F183+PPMT(F$25/12,$B184,F$23,F$53,-F$27,0)-F$27,0)))</f>
        <v/>
      </c>
      <c r="G184" s="279">
        <f>IF(G$1=0,"",IF($B184&lt;G$23,G183+PPMT(G$25/12,$B184,G$23,G$53,-G$27,0),IF($B184=G$23,G183+PPMT(G$25/12,$B184,G$23,G$53,-G$27,0)-G$27,0)))</f>
        <v/>
      </c>
      <c r="H184" s="279">
        <f>IF(H$1=0,"",IF($B184&lt;H$23,H183+PPMT(H$25/12,$B184,H$23,H$53,-H$27,0),IF($B184=H$23,H183+PPMT(H$25/12,$B184,H$23,H$53,-H$27,0)-H$27,0)))</f>
        <v/>
      </c>
      <c r="I184" s="279">
        <f>IF(I$1=0,"",IF($B184&lt;I$23,I183+PPMT(I$25/12,$B184,I$23,I$53,-I$27,0),IF($B184=I$23,I183+PPMT(I$25/12,$B184,I$23,I$53,-I$27,0)-I$27,0)))</f>
        <v/>
      </c>
      <c r="J184" s="279">
        <f>IF(J$1=0,"",IF($B184&lt;J$23,J183+PPMT(J$25/12,$B184,J$23,J$53,-J$27,0),IF($B184=J$23,J183+PPMT(J$25/12,$B184,J$23,J$53,-J$27,0)-J$27,0)))</f>
        <v/>
      </c>
      <c r="K184" s="279">
        <f>IF(K$1=0,"",IF($B184&lt;K$23,K183+PPMT(K$25/12,$B184,K$23,K$53,-K$27,0),IF($B184=K$23,K183+PPMT(K$25/12,$B184,K$23,K$53,-K$27,0)-K$27,0)))</f>
        <v/>
      </c>
      <c r="L184" s="279">
        <f>IF(L$1=0,"",IF($B184&lt;L$23,L183+PPMT(L$25/12,$B184,L$23,L$53,-L$27,0),IF($B184=L$23,L183+PPMT(L$25/12,$B184,L$23,L$53,-L$27,0)-L$27,0)))</f>
        <v/>
      </c>
      <c r="M184" s="279">
        <f>IF(M$1=0,"",IF($B184&lt;M$23,M183+PPMT(M$25/12,$B184,M$23,M$53,-M$27,0),IF($B184=M$23,M183+PPMT(M$25/12,$B184,M$23,M$53,-M$27,0)-M$27,0)))</f>
        <v/>
      </c>
      <c r="N184" s="280" t="n"/>
      <c r="O184" s="281" t="n"/>
    </row>
    <row r="185" hidden="1" outlineLevel="1">
      <c r="B185" s="2">
        <f>B184+1</f>
        <v/>
      </c>
      <c r="D185" s="279">
        <f>IF(B185&lt;$D$24,(+'CALCULETTE (2)'!T764/'CALCULETTE (2)'!$B$612),0)</f>
        <v/>
      </c>
      <c r="E185" s="279">
        <f>IF(E$1=0,"",IF($B185&lt;E$23,E184+PPMT(E$25/12,$B185,E$23,E$53,-E$27,0),IF($B185=E$23,E184+PPMT(E$25/12,$B185,E$23,E$53,-E$27,0)-E$27,0)))</f>
        <v/>
      </c>
      <c r="F185" s="279">
        <f>IF(F$1=0,"",IF($B185&lt;F$23,F184+PPMT(F$25/12,$B185,F$23,F$53,-F$27,0),IF($B185=F$23,F184+PPMT(F$25/12,$B185,F$23,F$53,-F$27,0)-F$27,0)))</f>
        <v/>
      </c>
      <c r="G185" s="279">
        <f>IF(G$1=0,"",IF($B185&lt;G$23,G184+PPMT(G$25/12,$B185,G$23,G$53,-G$27,0),IF($B185=G$23,G184+PPMT(G$25/12,$B185,G$23,G$53,-G$27,0)-G$27,0)))</f>
        <v/>
      </c>
      <c r="H185" s="279">
        <f>IF(H$1=0,"",IF($B185&lt;H$23,H184+PPMT(H$25/12,$B185,H$23,H$53,-H$27,0),IF($B185=H$23,H184+PPMT(H$25/12,$B185,H$23,H$53,-H$27,0)-H$27,0)))</f>
        <v/>
      </c>
      <c r="I185" s="279">
        <f>IF(I$1=0,"",IF($B185&lt;I$23,I184+PPMT(I$25/12,$B185,I$23,I$53,-I$27,0),IF($B185=I$23,I184+PPMT(I$25/12,$B185,I$23,I$53,-I$27,0)-I$27,0)))</f>
        <v/>
      </c>
      <c r="J185" s="279">
        <f>IF(J$1=0,"",IF($B185&lt;J$23,J184+PPMT(J$25/12,$B185,J$23,J$53,-J$27,0),IF($B185=J$23,J184+PPMT(J$25/12,$B185,J$23,J$53,-J$27,0)-J$27,0)))</f>
        <v/>
      </c>
      <c r="K185" s="279">
        <f>IF(K$1=0,"",IF($B185&lt;K$23,K184+PPMT(K$25/12,$B185,K$23,K$53,-K$27,0),IF($B185=K$23,K184+PPMT(K$25/12,$B185,K$23,K$53,-K$27,0)-K$27,0)))</f>
        <v/>
      </c>
      <c r="L185" s="279">
        <f>IF(L$1=0,"",IF($B185&lt;L$23,L184+PPMT(L$25/12,$B185,L$23,L$53,-L$27,0),IF($B185=L$23,L184+PPMT(L$25/12,$B185,L$23,L$53,-L$27,0)-L$27,0)))</f>
        <v/>
      </c>
      <c r="M185" s="279">
        <f>IF(M$1=0,"",IF($B185&lt;M$23,M184+PPMT(M$25/12,$B185,M$23,M$53,-M$27,0),IF($B185=M$23,M184+PPMT(M$25/12,$B185,M$23,M$53,-M$27,0)-M$27,0)))</f>
        <v/>
      </c>
      <c r="N185" s="280" t="n"/>
      <c r="O185" s="281" t="n"/>
    </row>
    <row r="186" hidden="1" outlineLevel="1">
      <c r="B186" s="2">
        <f>B185+1</f>
        <v/>
      </c>
      <c r="D186" s="279">
        <f>IF(B186&lt;$D$24,(+'CALCULETTE (2)'!T765/'CALCULETTE (2)'!$B$612),0)</f>
        <v/>
      </c>
      <c r="E186" s="279">
        <f>IF(E$1=0,"",IF($B186&lt;E$23,E185+PPMT(E$25/12,$B186,E$23,E$53,-E$27,0),IF($B186=E$23,E185+PPMT(E$25/12,$B186,E$23,E$53,-E$27,0)-E$27,0)))</f>
        <v/>
      </c>
      <c r="F186" s="279">
        <f>IF(F$1=0,"",IF($B186&lt;F$23,F185+PPMT(F$25/12,$B186,F$23,F$53,-F$27,0),IF($B186=F$23,F185+PPMT(F$25/12,$B186,F$23,F$53,-F$27,0)-F$27,0)))</f>
        <v/>
      </c>
      <c r="G186" s="279">
        <f>IF(G$1=0,"",IF($B186&lt;G$23,G185+PPMT(G$25/12,$B186,G$23,G$53,-G$27,0),IF($B186=G$23,G185+PPMT(G$25/12,$B186,G$23,G$53,-G$27,0)-G$27,0)))</f>
        <v/>
      </c>
      <c r="H186" s="279">
        <f>IF(H$1=0,"",IF($B186&lt;H$23,H185+PPMT(H$25/12,$B186,H$23,H$53,-H$27,0),IF($B186=H$23,H185+PPMT(H$25/12,$B186,H$23,H$53,-H$27,0)-H$27,0)))</f>
        <v/>
      </c>
      <c r="I186" s="279">
        <f>IF(I$1=0,"",IF($B186&lt;I$23,I185+PPMT(I$25/12,$B186,I$23,I$53,-I$27,0),IF($B186=I$23,I185+PPMT(I$25/12,$B186,I$23,I$53,-I$27,0)-I$27,0)))</f>
        <v/>
      </c>
      <c r="J186" s="279">
        <f>IF(J$1=0,"",IF($B186&lt;J$23,J185+PPMT(J$25/12,$B186,J$23,J$53,-J$27,0),IF($B186=J$23,J185+PPMT(J$25/12,$B186,J$23,J$53,-J$27,0)-J$27,0)))</f>
        <v/>
      </c>
      <c r="K186" s="279">
        <f>IF(K$1=0,"",IF($B186&lt;K$23,K185+PPMT(K$25/12,$B186,K$23,K$53,-K$27,0),IF($B186=K$23,K185+PPMT(K$25/12,$B186,K$23,K$53,-K$27,0)-K$27,0)))</f>
        <v/>
      </c>
      <c r="L186" s="279">
        <f>IF(L$1=0,"",IF($B186&lt;L$23,L185+PPMT(L$25/12,$B186,L$23,L$53,-L$27,0),IF($B186=L$23,L185+PPMT(L$25/12,$B186,L$23,L$53,-L$27,0)-L$27,0)))</f>
        <v/>
      </c>
      <c r="M186" s="279">
        <f>IF(M$1=0,"",IF($B186&lt;M$23,M185+PPMT(M$25/12,$B186,M$23,M$53,-M$27,0),IF($B186=M$23,M185+PPMT(M$25/12,$B186,M$23,M$53,-M$27,0)-M$27,0)))</f>
        <v/>
      </c>
      <c r="N186" s="280" t="n"/>
      <c r="O186" s="281" t="n"/>
    </row>
    <row r="187" hidden="1" outlineLevel="1">
      <c r="B187" s="2">
        <f>B186+1</f>
        <v/>
      </c>
      <c r="D187" s="279">
        <f>IF(B187&lt;$D$24,(+'CALCULETTE (2)'!T766/'CALCULETTE (2)'!$B$612),0)</f>
        <v/>
      </c>
      <c r="E187" s="279">
        <f>IF(E$1=0,"",IF($B187&lt;E$23,E186+PPMT(E$25/12,$B187,E$23,E$53,-E$27,0),IF($B187=E$23,E186+PPMT(E$25/12,$B187,E$23,E$53,-E$27,0)-E$27,0)))</f>
        <v/>
      </c>
      <c r="F187" s="279">
        <f>IF(F$1=0,"",IF($B187&lt;F$23,F186+PPMT(F$25/12,$B187,F$23,F$53,-F$27,0),IF($B187=F$23,F186+PPMT(F$25/12,$B187,F$23,F$53,-F$27,0)-F$27,0)))</f>
        <v/>
      </c>
      <c r="G187" s="279">
        <f>IF(G$1=0,"",IF($B187&lt;G$23,G186+PPMT(G$25/12,$B187,G$23,G$53,-G$27,0),IF($B187=G$23,G186+PPMT(G$25/12,$B187,G$23,G$53,-G$27,0)-G$27,0)))</f>
        <v/>
      </c>
      <c r="H187" s="279">
        <f>IF(H$1=0,"",IF($B187&lt;H$23,H186+PPMT(H$25/12,$B187,H$23,H$53,-H$27,0),IF($B187=H$23,H186+PPMT(H$25/12,$B187,H$23,H$53,-H$27,0)-H$27,0)))</f>
        <v/>
      </c>
      <c r="I187" s="279">
        <f>IF(I$1=0,"",IF($B187&lt;I$23,I186+PPMT(I$25/12,$B187,I$23,I$53,-I$27,0),IF($B187=I$23,I186+PPMT(I$25/12,$B187,I$23,I$53,-I$27,0)-I$27,0)))</f>
        <v/>
      </c>
      <c r="J187" s="279">
        <f>IF(J$1=0,"",IF($B187&lt;J$23,J186+PPMT(J$25/12,$B187,J$23,J$53,-J$27,0),IF($B187=J$23,J186+PPMT(J$25/12,$B187,J$23,J$53,-J$27,0)-J$27,0)))</f>
        <v/>
      </c>
      <c r="K187" s="279">
        <f>IF(K$1=0,"",IF($B187&lt;K$23,K186+PPMT(K$25/12,$B187,K$23,K$53,-K$27,0),IF($B187=K$23,K186+PPMT(K$25/12,$B187,K$23,K$53,-K$27,0)-K$27,0)))</f>
        <v/>
      </c>
      <c r="L187" s="279">
        <f>IF(L$1=0,"",IF($B187&lt;L$23,L186+PPMT(L$25/12,$B187,L$23,L$53,-L$27,0),IF($B187=L$23,L186+PPMT(L$25/12,$B187,L$23,L$53,-L$27,0)-L$27,0)))</f>
        <v/>
      </c>
      <c r="M187" s="279">
        <f>IF(M$1=0,"",IF($B187&lt;M$23,M186+PPMT(M$25/12,$B187,M$23,M$53,-M$27,0),IF($B187=M$23,M186+PPMT(M$25/12,$B187,M$23,M$53,-M$27,0)-M$27,0)))</f>
        <v/>
      </c>
      <c r="N187" s="280" t="n"/>
      <c r="O187" s="281" t="n"/>
    </row>
    <row r="188" hidden="1" outlineLevel="1">
      <c r="B188" s="2">
        <f>B187+1</f>
        <v/>
      </c>
      <c r="D188" s="279">
        <f>IF(B188&lt;$D$24,(+#REF!/'CALCULETTE (2)'!$B$612),0)</f>
        <v/>
      </c>
      <c r="E188" s="279">
        <f>IF(E$1=0,"",IF($B188&lt;E$23,E187+PPMT(E$25/12,$B188,E$23,E$53,-E$27,0),IF($B188=E$23,E187+PPMT(E$25/12,$B188,E$23,E$53,-E$27,0)-E$27,0)))</f>
        <v/>
      </c>
      <c r="F188" s="279">
        <f>IF(F$1=0,"",IF($B188&lt;F$23,F187+PPMT(F$25/12,$B188,F$23,F$53,-F$27,0),IF($B188=F$23,F187+PPMT(F$25/12,$B188,F$23,F$53,-F$27,0)-F$27,0)))</f>
        <v/>
      </c>
      <c r="G188" s="279">
        <f>IF(G$1=0,"",IF($B188&lt;G$23,G187+PPMT(G$25/12,$B188,G$23,G$53,-G$27,0),IF($B188=G$23,G187+PPMT(G$25/12,$B188,G$23,G$53,-G$27,0)-G$27,0)))</f>
        <v/>
      </c>
      <c r="H188" s="279">
        <f>IF(H$1=0,"",IF($B188&lt;H$23,H187+PPMT(H$25/12,$B188,H$23,H$53,-H$27,0),IF($B188=H$23,H187+PPMT(H$25/12,$B188,H$23,H$53,-H$27,0)-H$27,0)))</f>
        <v/>
      </c>
      <c r="I188" s="279">
        <f>IF(I$1=0,"",IF($B188&lt;I$23,I187+PPMT(I$25/12,$B188,I$23,I$53,-I$27,0),IF($B188=I$23,I187+PPMT(I$25/12,$B188,I$23,I$53,-I$27,0)-I$27,0)))</f>
        <v/>
      </c>
      <c r="J188" s="279">
        <f>IF(J$1=0,"",IF($B188&lt;J$23,J187+PPMT(J$25/12,$B188,J$23,J$53,-J$27,0),IF($B188=J$23,J187+PPMT(J$25/12,$B188,J$23,J$53,-J$27,0)-J$27,0)))</f>
        <v/>
      </c>
      <c r="K188" s="279">
        <f>IF(K$1=0,"",IF($B188&lt;K$23,K187+PPMT(K$25/12,$B188,K$23,K$53,-K$27,0),IF($B188=K$23,K187+PPMT(K$25/12,$B188,K$23,K$53,-K$27,0)-K$27,0)))</f>
        <v/>
      </c>
      <c r="L188" s="279">
        <f>IF(L$1=0,"",IF($B188&lt;L$23,L187+PPMT(L$25/12,$B188,L$23,L$53,-L$27,0),IF($B188=L$23,L187+PPMT(L$25/12,$B188,L$23,L$53,-L$27,0)-L$27,0)))</f>
        <v/>
      </c>
      <c r="M188" s="279">
        <f>IF(M$1=0,"",IF($B188&lt;M$23,M187+PPMT(M$25/12,$B188,M$23,M$53,-M$27,0),IF($B188=M$23,M187+PPMT(M$25/12,$B188,M$23,M$53,-M$27,0)-M$27,0)))</f>
        <v/>
      </c>
      <c r="N188" s="280" t="n"/>
      <c r="O188" s="281" t="n"/>
    </row>
    <row r="189" hidden="1" outlineLevel="1">
      <c r="B189" s="2">
        <f>B188+1</f>
        <v/>
      </c>
      <c r="D189" s="279">
        <f>IF(B189&lt;$D$24,(+#REF!/'CALCULETTE (2)'!$B$612),0)</f>
        <v/>
      </c>
      <c r="E189" s="279">
        <f>IF(E$1=0,"",IF($B189&lt;E$23,E188+PPMT(E$25/12,$B189,E$23,E$53,-E$27,0),IF($B189=E$23,E188+PPMT(E$25/12,$B189,E$23,E$53,-E$27,0)-E$27,0)))</f>
        <v/>
      </c>
      <c r="F189" s="279">
        <f>IF(F$1=0,"",IF($B189&lt;F$23,F188+PPMT(F$25/12,$B189,F$23,F$53,-F$27,0),IF($B189=F$23,F188+PPMT(F$25/12,$B189,F$23,F$53,-F$27,0)-F$27,0)))</f>
        <v/>
      </c>
      <c r="G189" s="279">
        <f>IF(G$1=0,"",IF($B189&lt;G$23,G188+PPMT(G$25/12,$B189,G$23,G$53,-G$27,0),IF($B189=G$23,G188+PPMT(G$25/12,$B189,G$23,G$53,-G$27,0)-G$27,0)))</f>
        <v/>
      </c>
      <c r="H189" s="279">
        <f>IF(H$1=0,"",IF($B189&lt;H$23,H188+PPMT(H$25/12,$B189,H$23,H$53,-H$27,0),IF($B189=H$23,H188+PPMT(H$25/12,$B189,H$23,H$53,-H$27,0)-H$27,0)))</f>
        <v/>
      </c>
      <c r="I189" s="279">
        <f>IF(I$1=0,"",IF($B189&lt;I$23,I188+PPMT(I$25/12,$B189,I$23,I$53,-I$27,0),IF($B189=I$23,I188+PPMT(I$25/12,$B189,I$23,I$53,-I$27,0)-I$27,0)))</f>
        <v/>
      </c>
      <c r="J189" s="279">
        <f>IF(J$1=0,"",IF($B189&lt;J$23,J188+PPMT(J$25/12,$B189,J$23,J$53,-J$27,0),IF($B189=J$23,J188+PPMT(J$25/12,$B189,J$23,J$53,-J$27,0)-J$27,0)))</f>
        <v/>
      </c>
      <c r="K189" s="279">
        <f>IF(K$1=0,"",IF($B189&lt;K$23,K188+PPMT(K$25/12,$B189,K$23,K$53,-K$27,0),IF($B189=K$23,K188+PPMT(K$25/12,$B189,K$23,K$53,-K$27,0)-K$27,0)))</f>
        <v/>
      </c>
      <c r="L189" s="279">
        <f>IF(L$1=0,"",IF($B189&lt;L$23,L188+PPMT(L$25/12,$B189,L$23,L$53,-L$27,0),IF($B189=L$23,L188+PPMT(L$25/12,$B189,L$23,L$53,-L$27,0)-L$27,0)))</f>
        <v/>
      </c>
      <c r="M189" s="279">
        <f>IF(M$1=0,"",IF($B189&lt;M$23,M188+PPMT(M$25/12,$B189,M$23,M$53,-M$27,0),IF($B189=M$23,M188+PPMT(M$25/12,$B189,M$23,M$53,-M$27,0)-M$27,0)))</f>
        <v/>
      </c>
      <c r="N189" s="280" t="n"/>
      <c r="O189" s="281" t="n"/>
    </row>
    <row r="190" hidden="1" outlineLevel="1">
      <c r="B190" s="2">
        <f>B189+1</f>
        <v/>
      </c>
      <c r="D190" s="279">
        <f>IF(B190&lt;$D$24,(+#REF!/'CALCULETTE (2)'!$B$612),0)</f>
        <v/>
      </c>
      <c r="E190" s="279">
        <f>IF(E$1=0,"",IF($B190&lt;E$23,E189+PPMT(E$25/12,$B190,E$23,E$53,-E$27,0),IF($B190=E$23,E189+PPMT(E$25/12,$B190,E$23,E$53,-E$27,0)-E$27,0)))</f>
        <v/>
      </c>
      <c r="F190" s="279">
        <f>IF(F$1=0,"",IF($B190&lt;F$23,F189+PPMT(F$25/12,$B190,F$23,F$53,-F$27,0),IF($B190=F$23,F189+PPMT(F$25/12,$B190,F$23,F$53,-F$27,0)-F$27,0)))</f>
        <v/>
      </c>
      <c r="G190" s="279">
        <f>IF(G$1=0,"",IF($B190&lt;G$23,G189+PPMT(G$25/12,$B190,G$23,G$53,-G$27,0),IF($B190=G$23,G189+PPMT(G$25/12,$B190,G$23,G$53,-G$27,0)-G$27,0)))</f>
        <v/>
      </c>
      <c r="H190" s="279">
        <f>IF(H$1=0,"",IF($B190&lt;H$23,H189+PPMT(H$25/12,$B190,H$23,H$53,-H$27,0),IF($B190=H$23,H189+PPMT(H$25/12,$B190,H$23,H$53,-H$27,0)-H$27,0)))</f>
        <v/>
      </c>
      <c r="I190" s="279">
        <f>IF(I$1=0,"",IF($B190&lt;I$23,I189+PPMT(I$25/12,$B190,I$23,I$53,-I$27,0),IF($B190=I$23,I189+PPMT(I$25/12,$B190,I$23,I$53,-I$27,0)-I$27,0)))</f>
        <v/>
      </c>
      <c r="J190" s="279">
        <f>IF(J$1=0,"",IF($B190&lt;J$23,J189+PPMT(J$25/12,$B190,J$23,J$53,-J$27,0),IF($B190=J$23,J189+PPMT(J$25/12,$B190,J$23,J$53,-J$27,0)-J$27,0)))</f>
        <v/>
      </c>
      <c r="K190" s="279">
        <f>IF(K$1=0,"",IF($B190&lt;K$23,K189+PPMT(K$25/12,$B190,K$23,K$53,-K$27,0),IF($B190=K$23,K189+PPMT(K$25/12,$B190,K$23,K$53,-K$27,0)-K$27,0)))</f>
        <v/>
      </c>
      <c r="L190" s="279">
        <f>IF(L$1=0,"",IF($B190&lt;L$23,L189+PPMT(L$25/12,$B190,L$23,L$53,-L$27,0),IF($B190=L$23,L189+PPMT(L$25/12,$B190,L$23,L$53,-L$27,0)-L$27,0)))</f>
        <v/>
      </c>
      <c r="M190" s="279">
        <f>IF(M$1=0,"",IF($B190&lt;M$23,M189+PPMT(M$25/12,$B190,M$23,M$53,-M$27,0),IF($B190=M$23,M189+PPMT(M$25/12,$B190,M$23,M$53,-M$27,0)-M$27,0)))</f>
        <v/>
      </c>
      <c r="N190" s="280" t="n"/>
      <c r="O190" s="281" t="n"/>
    </row>
    <row r="191" hidden="1" outlineLevel="1">
      <c r="B191" s="2">
        <f>B190+1</f>
        <v/>
      </c>
      <c r="D191" s="279">
        <f>IF(B191&lt;$D$24,(+#REF!/'CALCULETTE (2)'!$B$612),0)</f>
        <v/>
      </c>
      <c r="E191" s="279">
        <f>IF(E$1=0,"",IF($B191&lt;E$23,E190+PPMT(E$25/12,$B191,E$23,E$53,-E$27,0),IF($B191=E$23,E190+PPMT(E$25/12,$B191,E$23,E$53,-E$27,0)-E$27,0)))</f>
        <v/>
      </c>
      <c r="F191" s="279">
        <f>IF(F$1=0,"",IF($B191&lt;F$23,F190+PPMT(F$25/12,$B191,F$23,F$53,-F$27,0),IF($B191=F$23,F190+PPMT(F$25/12,$B191,F$23,F$53,-F$27,0)-F$27,0)))</f>
        <v/>
      </c>
      <c r="G191" s="279">
        <f>IF(G$1=0,"",IF($B191&lt;G$23,G190+PPMT(G$25/12,$B191,G$23,G$53,-G$27,0),IF($B191=G$23,G190+PPMT(G$25/12,$B191,G$23,G$53,-G$27,0)-G$27,0)))</f>
        <v/>
      </c>
      <c r="H191" s="279">
        <f>IF(H$1=0,"",IF($B191&lt;H$23,H190+PPMT(H$25/12,$B191,H$23,H$53,-H$27,0),IF($B191=H$23,H190+PPMT(H$25/12,$B191,H$23,H$53,-H$27,0)-H$27,0)))</f>
        <v/>
      </c>
      <c r="I191" s="279">
        <f>IF(I$1=0,"",IF($B191&lt;I$23,I190+PPMT(I$25/12,$B191,I$23,I$53,-I$27,0),IF($B191=I$23,I190+PPMT(I$25/12,$B191,I$23,I$53,-I$27,0)-I$27,0)))</f>
        <v/>
      </c>
      <c r="J191" s="279">
        <f>IF(J$1=0,"",IF($B191&lt;J$23,J190+PPMT(J$25/12,$B191,J$23,J$53,-J$27,0),IF($B191=J$23,J190+PPMT(J$25/12,$B191,J$23,J$53,-J$27,0)-J$27,0)))</f>
        <v/>
      </c>
      <c r="K191" s="279">
        <f>IF(K$1=0,"",IF($B191&lt;K$23,K190+PPMT(K$25/12,$B191,K$23,K$53,-K$27,0),IF($B191=K$23,K190+PPMT(K$25/12,$B191,K$23,K$53,-K$27,0)-K$27,0)))</f>
        <v/>
      </c>
      <c r="L191" s="279">
        <f>IF(L$1=0,"",IF($B191&lt;L$23,L190+PPMT(L$25/12,$B191,L$23,L$53,-L$27,0),IF($B191=L$23,L190+PPMT(L$25/12,$B191,L$23,L$53,-L$27,0)-L$27,0)))</f>
        <v/>
      </c>
      <c r="M191" s="279">
        <f>IF(M$1=0,"",IF($B191&lt;M$23,M190+PPMT(M$25/12,$B191,M$23,M$53,-M$27,0),IF($B191=M$23,M190+PPMT(M$25/12,$B191,M$23,M$53,-M$27,0)-M$27,0)))</f>
        <v/>
      </c>
      <c r="N191" s="280" t="n"/>
      <c r="O191" s="281" t="n"/>
    </row>
    <row r="192" hidden="1" outlineLevel="1">
      <c r="B192" s="2">
        <f>B191+1</f>
        <v/>
      </c>
      <c r="D192" s="279">
        <f>IF(B192&lt;$D$24,(+#REF!/'CALCULETTE (2)'!$B$612),0)</f>
        <v/>
      </c>
      <c r="E192" s="279">
        <f>IF(E$1=0,"",IF($B192&lt;E$23,E191+PPMT(E$25/12,$B192,E$23,E$53,-E$27,0),IF($B192=E$23,E191+PPMT(E$25/12,$B192,E$23,E$53,-E$27,0)-E$27,0)))</f>
        <v/>
      </c>
      <c r="F192" s="279">
        <f>IF(F$1=0,"",IF($B192&lt;F$23,F191+PPMT(F$25/12,$B192,F$23,F$53,-F$27,0),IF($B192=F$23,F191+PPMT(F$25/12,$B192,F$23,F$53,-F$27,0)-F$27,0)))</f>
        <v/>
      </c>
      <c r="G192" s="279">
        <f>IF(G$1=0,"",IF($B192&lt;G$23,G191+PPMT(G$25/12,$B192,G$23,G$53,-G$27,0),IF($B192=G$23,G191+PPMT(G$25/12,$B192,G$23,G$53,-G$27,0)-G$27,0)))</f>
        <v/>
      </c>
      <c r="H192" s="279">
        <f>IF(H$1=0,"",IF($B192&lt;H$23,H191+PPMT(H$25/12,$B192,H$23,H$53,-H$27,0),IF($B192=H$23,H191+PPMT(H$25/12,$B192,H$23,H$53,-H$27,0)-H$27,0)))</f>
        <v/>
      </c>
      <c r="I192" s="279">
        <f>IF(I$1=0,"",IF($B192&lt;I$23,I191+PPMT(I$25/12,$B192,I$23,I$53,-I$27,0),IF($B192=I$23,I191+PPMT(I$25/12,$B192,I$23,I$53,-I$27,0)-I$27,0)))</f>
        <v/>
      </c>
      <c r="J192" s="279">
        <f>IF(J$1=0,"",IF($B192&lt;J$23,J191+PPMT(J$25/12,$B192,J$23,J$53,-J$27,0),IF($B192=J$23,J191+PPMT(J$25/12,$B192,J$23,J$53,-J$27,0)-J$27,0)))</f>
        <v/>
      </c>
      <c r="K192" s="279">
        <f>IF(K$1=0,"",IF($B192&lt;K$23,K191+PPMT(K$25/12,$B192,K$23,K$53,-K$27,0),IF($B192=K$23,K191+PPMT(K$25/12,$B192,K$23,K$53,-K$27,0)-K$27,0)))</f>
        <v/>
      </c>
      <c r="L192" s="279">
        <f>IF(L$1=0,"",IF($B192&lt;L$23,L191+PPMT(L$25/12,$B192,L$23,L$53,-L$27,0),IF($B192=L$23,L191+PPMT(L$25/12,$B192,L$23,L$53,-L$27,0)-L$27,0)))</f>
        <v/>
      </c>
      <c r="M192" s="279">
        <f>IF(M$1=0,"",IF($B192&lt;M$23,M191+PPMT(M$25/12,$B192,M$23,M$53,-M$27,0),IF($B192=M$23,M191+PPMT(M$25/12,$B192,M$23,M$53,-M$27,0)-M$27,0)))</f>
        <v/>
      </c>
      <c r="N192" s="280" t="n"/>
      <c r="O192" s="281" t="n"/>
    </row>
    <row r="193" hidden="1" outlineLevel="1">
      <c r="B193" s="2">
        <f>B192+1</f>
        <v/>
      </c>
      <c r="D193" s="279">
        <f>IF(B193&lt;$D$24,(+#REF!/'CALCULETTE (2)'!$B$612),0)</f>
        <v/>
      </c>
      <c r="E193" s="279">
        <f>IF(E$1=0,"",IF($B193&lt;E$23,E192+PPMT(E$25/12,$B193,E$23,E$53,-E$27,0),IF($B193=E$23,E192+PPMT(E$25/12,$B193,E$23,E$53,-E$27,0)-E$27,0)))</f>
        <v/>
      </c>
      <c r="F193" s="279">
        <f>IF(F$1=0,"",IF($B193&lt;F$23,F192+PPMT(F$25/12,$B193,F$23,F$53,-F$27,0),IF($B193=F$23,F192+PPMT(F$25/12,$B193,F$23,F$53,-F$27,0)-F$27,0)))</f>
        <v/>
      </c>
      <c r="G193" s="279">
        <f>IF(G$1=0,"",IF($B193&lt;G$23,G192+PPMT(G$25/12,$B193,G$23,G$53,-G$27,0),IF($B193=G$23,G192+PPMT(G$25/12,$B193,G$23,G$53,-G$27,0)-G$27,0)))</f>
        <v/>
      </c>
      <c r="H193" s="279">
        <f>IF(H$1=0,"",IF($B193&lt;H$23,H192+PPMT(H$25/12,$B193,H$23,H$53,-H$27,0),IF($B193=H$23,H192+PPMT(H$25/12,$B193,H$23,H$53,-H$27,0)-H$27,0)))</f>
        <v/>
      </c>
      <c r="I193" s="279">
        <f>IF(I$1=0,"",IF($B193&lt;I$23,I192+PPMT(I$25/12,$B193,I$23,I$53,-I$27,0),IF($B193=I$23,I192+PPMT(I$25/12,$B193,I$23,I$53,-I$27,0)-I$27,0)))</f>
        <v/>
      </c>
      <c r="J193" s="279">
        <f>IF(J$1=0,"",IF($B193&lt;J$23,J192+PPMT(J$25/12,$B193,J$23,J$53,-J$27,0),IF($B193=J$23,J192+PPMT(J$25/12,$B193,J$23,J$53,-J$27,0)-J$27,0)))</f>
        <v/>
      </c>
      <c r="K193" s="279">
        <f>IF(K$1=0,"",IF($B193&lt;K$23,K192+PPMT(K$25/12,$B193,K$23,K$53,-K$27,0),IF($B193=K$23,K192+PPMT(K$25/12,$B193,K$23,K$53,-K$27,0)-K$27,0)))</f>
        <v/>
      </c>
      <c r="L193" s="279">
        <f>IF(L$1=0,"",IF($B193&lt;L$23,L192+PPMT(L$25/12,$B193,L$23,L$53,-L$27,0),IF($B193=L$23,L192+PPMT(L$25/12,$B193,L$23,L$53,-L$27,0)-L$27,0)))</f>
        <v/>
      </c>
      <c r="M193" s="279">
        <f>IF(M$1=0,"",IF($B193&lt;M$23,M192+PPMT(M$25/12,$B193,M$23,M$53,-M$27,0),IF($B193=M$23,M192+PPMT(M$25/12,$B193,M$23,M$53,-M$27,0)-M$27,0)))</f>
        <v/>
      </c>
      <c r="N193" s="280" t="n"/>
      <c r="O193" s="281" t="n"/>
    </row>
    <row r="194" hidden="1" outlineLevel="1">
      <c r="B194" s="2">
        <f>B193+1</f>
        <v/>
      </c>
      <c r="D194" s="279">
        <f>IF(B194&lt;$D$24,(+#REF!/'CALCULETTE (2)'!$B$612),0)</f>
        <v/>
      </c>
      <c r="E194" s="279">
        <f>IF(E$1=0,"",IF($B194&lt;E$23,E193+PPMT(E$25/12,$B194,E$23,E$53,-E$27,0),IF($B194=E$23,E193+PPMT(E$25/12,$B194,E$23,E$53,-E$27,0)-E$27,0)))</f>
        <v/>
      </c>
      <c r="F194" s="279">
        <f>IF(F$1=0,"",IF($B194&lt;F$23,F193+PPMT(F$25/12,$B194,F$23,F$53,-F$27,0),IF($B194=F$23,F193+PPMT(F$25/12,$B194,F$23,F$53,-F$27,0)-F$27,0)))</f>
        <v/>
      </c>
      <c r="G194" s="279">
        <f>IF(G$1=0,"",IF($B194&lt;G$23,G193+PPMT(G$25/12,$B194,G$23,G$53,-G$27,0),IF($B194=G$23,G193+PPMT(G$25/12,$B194,G$23,G$53,-G$27,0)-G$27,0)))</f>
        <v/>
      </c>
      <c r="H194" s="279">
        <f>IF(H$1=0,"",IF($B194&lt;H$23,H193+PPMT(H$25/12,$B194,H$23,H$53,-H$27,0),IF($B194=H$23,H193+PPMT(H$25/12,$B194,H$23,H$53,-H$27,0)-H$27,0)))</f>
        <v/>
      </c>
      <c r="I194" s="279">
        <f>IF(I$1=0,"",IF($B194&lt;I$23,I193+PPMT(I$25/12,$B194,I$23,I$53,-I$27,0),IF($B194=I$23,I193+PPMT(I$25/12,$B194,I$23,I$53,-I$27,0)-I$27,0)))</f>
        <v/>
      </c>
      <c r="J194" s="279">
        <f>IF(J$1=0,"",IF($B194&lt;J$23,J193+PPMT(J$25/12,$B194,J$23,J$53,-J$27,0),IF($B194=J$23,J193+PPMT(J$25/12,$B194,J$23,J$53,-J$27,0)-J$27,0)))</f>
        <v/>
      </c>
      <c r="K194" s="279">
        <f>IF(K$1=0,"",IF($B194&lt;K$23,K193+PPMT(K$25/12,$B194,K$23,K$53,-K$27,0),IF($B194=K$23,K193+PPMT(K$25/12,$B194,K$23,K$53,-K$27,0)-K$27,0)))</f>
        <v/>
      </c>
      <c r="L194" s="279">
        <f>IF(L$1=0,"",IF($B194&lt;L$23,L193+PPMT(L$25/12,$B194,L$23,L$53,-L$27,0),IF($B194=L$23,L193+PPMT(L$25/12,$B194,L$23,L$53,-L$27,0)-L$27,0)))</f>
        <v/>
      </c>
      <c r="M194" s="279">
        <f>IF(M$1=0,"",IF($B194&lt;M$23,M193+PPMT(M$25/12,$B194,M$23,M$53,-M$27,0),IF($B194=M$23,M193+PPMT(M$25/12,$B194,M$23,M$53,-M$27,0)-M$27,0)))</f>
        <v/>
      </c>
      <c r="N194" s="280" t="n"/>
      <c r="O194" s="281" t="n"/>
    </row>
    <row r="195" hidden="1" outlineLevel="1">
      <c r="B195" s="2">
        <f>B194+1</f>
        <v/>
      </c>
      <c r="D195" s="279">
        <f>IF(B195&lt;$D$24,(+#REF!/'CALCULETTE (2)'!$B$612),0)</f>
        <v/>
      </c>
      <c r="E195" s="279">
        <f>IF(E$1=0,"",IF($B195&lt;E$23,E194+PPMT(E$25/12,$B195,E$23,E$53,-E$27,0),IF($B195=E$23,E194+PPMT(E$25/12,$B195,E$23,E$53,-E$27,0)-E$27,0)))</f>
        <v/>
      </c>
      <c r="F195" s="279">
        <f>IF(F$1=0,"",IF($B195&lt;F$23,F194+PPMT(F$25/12,$B195,F$23,F$53,-F$27,0),IF($B195=F$23,F194+PPMT(F$25/12,$B195,F$23,F$53,-F$27,0)-F$27,0)))</f>
        <v/>
      </c>
      <c r="G195" s="279">
        <f>IF(G$1=0,"",IF($B195&lt;G$23,G194+PPMT(G$25/12,$B195,G$23,G$53,-G$27,0),IF($B195=G$23,G194+PPMT(G$25/12,$B195,G$23,G$53,-G$27,0)-G$27,0)))</f>
        <v/>
      </c>
      <c r="H195" s="279">
        <f>IF(H$1=0,"",IF($B195&lt;H$23,H194+PPMT(H$25/12,$B195,H$23,H$53,-H$27,0),IF($B195=H$23,H194+PPMT(H$25/12,$B195,H$23,H$53,-H$27,0)-H$27,0)))</f>
        <v/>
      </c>
      <c r="I195" s="279">
        <f>IF(I$1=0,"",IF($B195&lt;I$23,I194+PPMT(I$25/12,$B195,I$23,I$53,-I$27,0),IF($B195=I$23,I194+PPMT(I$25/12,$B195,I$23,I$53,-I$27,0)-I$27,0)))</f>
        <v/>
      </c>
      <c r="J195" s="279">
        <f>IF(J$1=0,"",IF($B195&lt;J$23,J194+PPMT(J$25/12,$B195,J$23,J$53,-J$27,0),IF($B195=J$23,J194+PPMT(J$25/12,$B195,J$23,J$53,-J$27,0)-J$27,0)))</f>
        <v/>
      </c>
      <c r="K195" s="279">
        <f>IF(K$1=0,"",IF($B195&lt;K$23,K194+PPMT(K$25/12,$B195,K$23,K$53,-K$27,0),IF($B195=K$23,K194+PPMT(K$25/12,$B195,K$23,K$53,-K$27,0)-K$27,0)))</f>
        <v/>
      </c>
      <c r="L195" s="279">
        <f>IF(L$1=0,"",IF($B195&lt;L$23,L194+PPMT(L$25/12,$B195,L$23,L$53,-L$27,0),IF($B195=L$23,L194+PPMT(L$25/12,$B195,L$23,L$53,-L$27,0)-L$27,0)))</f>
        <v/>
      </c>
      <c r="M195" s="279">
        <f>IF(M$1=0,"",IF($B195&lt;M$23,M194+PPMT(M$25/12,$B195,M$23,M$53,-M$27,0),IF($B195=M$23,M194+PPMT(M$25/12,$B195,M$23,M$53,-M$27,0)-M$27,0)))</f>
        <v/>
      </c>
      <c r="N195" s="280" t="n"/>
      <c r="O195" s="281" t="n"/>
    </row>
    <row r="196" hidden="1" outlineLevel="1">
      <c r="B196" s="2">
        <f>B195+1</f>
        <v/>
      </c>
      <c r="D196" s="279">
        <f>IF(B196&lt;$D$24,(+#REF!/'CALCULETTE (2)'!$B$612),0)</f>
        <v/>
      </c>
      <c r="E196" s="279">
        <f>IF(E$1=0,"",IF($B196&lt;E$23,E195+PPMT(E$25/12,$B196,E$23,E$53,-E$27,0),IF($B196=E$23,E195+PPMT(E$25/12,$B196,E$23,E$53,-E$27,0)-E$27,0)))</f>
        <v/>
      </c>
      <c r="F196" s="279">
        <f>IF(F$1=0,"",IF($B196&lt;F$23,F195+PPMT(F$25/12,$B196,F$23,F$53,-F$27,0),IF($B196=F$23,F195+PPMT(F$25/12,$B196,F$23,F$53,-F$27,0)-F$27,0)))</f>
        <v/>
      </c>
      <c r="G196" s="279">
        <f>IF(G$1=0,"",IF($B196&lt;G$23,G195+PPMT(G$25/12,$B196,G$23,G$53,-G$27,0),IF($B196=G$23,G195+PPMT(G$25/12,$B196,G$23,G$53,-G$27,0)-G$27,0)))</f>
        <v/>
      </c>
      <c r="H196" s="279">
        <f>IF(H$1=0,"",IF($B196&lt;H$23,H195+PPMT(H$25/12,$B196,H$23,H$53,-H$27,0),IF($B196=H$23,H195+PPMT(H$25/12,$B196,H$23,H$53,-H$27,0)-H$27,0)))</f>
        <v/>
      </c>
      <c r="I196" s="279">
        <f>IF(I$1=0,"",IF($B196&lt;I$23,I195+PPMT(I$25/12,$B196,I$23,I$53,-I$27,0),IF($B196=I$23,I195+PPMT(I$25/12,$B196,I$23,I$53,-I$27,0)-I$27,0)))</f>
        <v/>
      </c>
      <c r="J196" s="279">
        <f>IF(J$1=0,"",IF($B196&lt;J$23,J195+PPMT(J$25/12,$B196,J$23,J$53,-J$27,0),IF($B196=J$23,J195+PPMT(J$25/12,$B196,J$23,J$53,-J$27,0)-J$27,0)))</f>
        <v/>
      </c>
      <c r="K196" s="279">
        <f>IF(K$1=0,"",IF($B196&lt;K$23,K195+PPMT(K$25/12,$B196,K$23,K$53,-K$27,0),IF($B196=K$23,K195+PPMT(K$25/12,$B196,K$23,K$53,-K$27,0)-K$27,0)))</f>
        <v/>
      </c>
      <c r="L196" s="279">
        <f>IF(L$1=0,"",IF($B196&lt;L$23,L195+PPMT(L$25/12,$B196,L$23,L$53,-L$27,0),IF($B196=L$23,L195+PPMT(L$25/12,$B196,L$23,L$53,-L$27,0)-L$27,0)))</f>
        <v/>
      </c>
      <c r="M196" s="279">
        <f>IF(M$1=0,"",IF($B196&lt;M$23,M195+PPMT(M$25/12,$B196,M$23,M$53,-M$27,0),IF($B196=M$23,M195+PPMT(M$25/12,$B196,M$23,M$53,-M$27,0)-M$27,0)))</f>
        <v/>
      </c>
      <c r="N196" s="280" t="n"/>
      <c r="O196" s="281" t="n"/>
    </row>
    <row r="197" hidden="1" outlineLevel="1">
      <c r="B197" s="2">
        <f>B196+1</f>
        <v/>
      </c>
      <c r="D197" s="279">
        <f>IF(B197&lt;$D$24,(+#REF!/'CALCULETTE (2)'!$B$612),0)</f>
        <v/>
      </c>
      <c r="E197" s="279">
        <f>IF(E$1=0,"",IF($B197&lt;E$23,E196+PPMT(E$25/12,$B197,E$23,E$53,-E$27,0),IF($B197=E$23,E196+PPMT(E$25/12,$B197,E$23,E$53,-E$27,0)-E$27,0)))</f>
        <v/>
      </c>
      <c r="F197" s="279">
        <f>IF(F$1=0,"",IF($B197&lt;F$23,F196+PPMT(F$25/12,$B197,F$23,F$53,-F$27,0),IF($B197=F$23,F196+PPMT(F$25/12,$B197,F$23,F$53,-F$27,0)-F$27,0)))</f>
        <v/>
      </c>
      <c r="G197" s="279">
        <f>IF(G$1=0,"",IF($B197&lt;G$23,G196+PPMT(G$25/12,$B197,G$23,G$53,-G$27,0),IF($B197=G$23,G196+PPMT(G$25/12,$B197,G$23,G$53,-G$27,0)-G$27,0)))</f>
        <v/>
      </c>
      <c r="H197" s="279">
        <f>IF(H$1=0,"",IF($B197&lt;H$23,H196+PPMT(H$25/12,$B197,H$23,H$53,-H$27,0),IF($B197=H$23,H196+PPMT(H$25/12,$B197,H$23,H$53,-H$27,0)-H$27,0)))</f>
        <v/>
      </c>
      <c r="I197" s="279">
        <f>IF(I$1=0,"",IF($B197&lt;I$23,I196+PPMT(I$25/12,$B197,I$23,I$53,-I$27,0),IF($B197=I$23,I196+PPMT(I$25/12,$B197,I$23,I$53,-I$27,0)-I$27,0)))</f>
        <v/>
      </c>
      <c r="J197" s="279">
        <f>IF(J$1=0,"",IF($B197&lt;J$23,J196+PPMT(J$25/12,$B197,J$23,J$53,-J$27,0),IF($B197=J$23,J196+PPMT(J$25/12,$B197,J$23,J$53,-J$27,0)-J$27,0)))</f>
        <v/>
      </c>
      <c r="K197" s="279">
        <f>IF(K$1=0,"",IF($B197&lt;K$23,K196+PPMT(K$25/12,$B197,K$23,K$53,-K$27,0),IF($B197=K$23,K196+PPMT(K$25/12,$B197,K$23,K$53,-K$27,0)-K$27,0)))</f>
        <v/>
      </c>
      <c r="L197" s="279">
        <f>IF(L$1=0,"",IF($B197&lt;L$23,L196+PPMT(L$25/12,$B197,L$23,L$53,-L$27,0),IF($B197=L$23,L196+PPMT(L$25/12,$B197,L$23,L$53,-L$27,0)-L$27,0)))</f>
        <v/>
      </c>
      <c r="M197" s="279">
        <f>IF(M$1=0,"",IF($B197&lt;M$23,M196+PPMT(M$25/12,$B197,M$23,M$53,-M$27,0),IF($B197=M$23,M196+PPMT(M$25/12,$B197,M$23,M$53,-M$27,0)-M$27,0)))</f>
        <v/>
      </c>
      <c r="N197" s="280" t="n"/>
      <c r="O197" s="281" t="n"/>
    </row>
    <row r="198" hidden="1" outlineLevel="1">
      <c r="B198" s="2">
        <f>B197+1</f>
        <v/>
      </c>
      <c r="D198" s="279">
        <f>IF(B198&lt;$D$24,(+#REF!/'CALCULETTE (2)'!$B$612),0)</f>
        <v/>
      </c>
      <c r="E198" s="279">
        <f>IF(E$1=0,"",IF($B198&lt;E$23,E197+PPMT(E$25/12,$B198,E$23,E$53,-E$27,0),IF($B198=E$23,E197+PPMT(E$25/12,$B198,E$23,E$53,-E$27,0)-E$27,0)))</f>
        <v/>
      </c>
      <c r="F198" s="279">
        <f>IF(F$1=0,"",IF($B198&lt;F$23,F197+PPMT(F$25/12,$B198,F$23,F$53,-F$27,0),IF($B198=F$23,F197+PPMT(F$25/12,$B198,F$23,F$53,-F$27,0)-F$27,0)))</f>
        <v/>
      </c>
      <c r="G198" s="279">
        <f>IF(G$1=0,"",IF($B198&lt;G$23,G197+PPMT(G$25/12,$B198,G$23,G$53,-G$27,0),IF($B198=G$23,G197+PPMT(G$25/12,$B198,G$23,G$53,-G$27,0)-G$27,0)))</f>
        <v/>
      </c>
      <c r="H198" s="279">
        <f>IF(H$1=0,"",IF($B198&lt;H$23,H197+PPMT(H$25/12,$B198,H$23,H$53,-H$27,0),IF($B198=H$23,H197+PPMT(H$25/12,$B198,H$23,H$53,-H$27,0)-H$27,0)))</f>
        <v/>
      </c>
      <c r="I198" s="279">
        <f>IF(I$1=0,"",IF($B198&lt;I$23,I197+PPMT(I$25/12,$B198,I$23,I$53,-I$27,0),IF($B198=I$23,I197+PPMT(I$25/12,$B198,I$23,I$53,-I$27,0)-I$27,0)))</f>
        <v/>
      </c>
      <c r="J198" s="279">
        <f>IF(J$1=0,"",IF($B198&lt;J$23,J197+PPMT(J$25/12,$B198,J$23,J$53,-J$27,0),IF($B198=J$23,J197+PPMT(J$25/12,$B198,J$23,J$53,-J$27,0)-J$27,0)))</f>
        <v/>
      </c>
      <c r="K198" s="279">
        <f>IF(K$1=0,"",IF($B198&lt;K$23,K197+PPMT(K$25/12,$B198,K$23,K$53,-K$27,0),IF($B198=K$23,K197+PPMT(K$25/12,$B198,K$23,K$53,-K$27,0)-K$27,0)))</f>
        <v/>
      </c>
      <c r="L198" s="279">
        <f>IF(L$1=0,"",IF($B198&lt;L$23,L197+PPMT(L$25/12,$B198,L$23,L$53,-L$27,0),IF($B198=L$23,L197+PPMT(L$25/12,$B198,L$23,L$53,-L$27,0)-L$27,0)))</f>
        <v/>
      </c>
      <c r="M198" s="279">
        <f>IF(M$1=0,"",IF($B198&lt;M$23,M197+PPMT(M$25/12,$B198,M$23,M$53,-M$27,0),IF($B198=M$23,M197+PPMT(M$25/12,$B198,M$23,M$53,-M$27,0)-M$27,0)))</f>
        <v/>
      </c>
      <c r="N198" s="280" t="n"/>
      <c r="O198" s="281" t="n"/>
    </row>
    <row r="199" hidden="1" outlineLevel="1">
      <c r="B199" s="2">
        <f>B198+1</f>
        <v/>
      </c>
      <c r="D199" s="279">
        <f>IF(B199&lt;$D$24,(+#REF!/'CALCULETTE (2)'!$B$612),0)</f>
        <v/>
      </c>
      <c r="E199" s="279">
        <f>IF(E$1=0,"",IF($B199&lt;E$23,E198+PPMT(E$25/12,$B199,E$23,E$53,-E$27,0),IF($B199=E$23,E198+PPMT(E$25/12,$B199,E$23,E$53,-E$27,0)-E$27,0)))</f>
        <v/>
      </c>
      <c r="F199" s="279">
        <f>IF(F$1=0,"",IF($B199&lt;F$23,F198+PPMT(F$25/12,$B199,F$23,F$53,-F$27,0),IF($B199=F$23,F198+PPMT(F$25/12,$B199,F$23,F$53,-F$27,0)-F$27,0)))</f>
        <v/>
      </c>
      <c r="G199" s="279">
        <f>IF(G$1=0,"",IF($B199&lt;G$23,G198+PPMT(G$25/12,$B199,G$23,G$53,-G$27,0),IF($B199=G$23,G198+PPMT(G$25/12,$B199,G$23,G$53,-G$27,0)-G$27,0)))</f>
        <v/>
      </c>
      <c r="H199" s="279">
        <f>IF(H$1=0,"",IF($B199&lt;H$23,H198+PPMT(H$25/12,$B199,H$23,H$53,-H$27,0),IF($B199=H$23,H198+PPMT(H$25/12,$B199,H$23,H$53,-H$27,0)-H$27,0)))</f>
        <v/>
      </c>
      <c r="I199" s="279">
        <f>IF(I$1=0,"",IF($B199&lt;I$23,I198+PPMT(I$25/12,$B199,I$23,I$53,-I$27,0),IF($B199=I$23,I198+PPMT(I$25/12,$B199,I$23,I$53,-I$27,0)-I$27,0)))</f>
        <v/>
      </c>
      <c r="J199" s="279">
        <f>IF(J$1=0,"",IF($B199&lt;J$23,J198+PPMT(J$25/12,$B199,J$23,J$53,-J$27,0),IF($B199=J$23,J198+PPMT(J$25/12,$B199,J$23,J$53,-J$27,0)-J$27,0)))</f>
        <v/>
      </c>
      <c r="K199" s="279">
        <f>IF(K$1=0,"",IF($B199&lt;K$23,K198+PPMT(K$25/12,$B199,K$23,K$53,-K$27,0),IF($B199=K$23,K198+PPMT(K$25/12,$B199,K$23,K$53,-K$27,0)-K$27,0)))</f>
        <v/>
      </c>
      <c r="L199" s="279">
        <f>IF(L$1=0,"",IF($B199&lt;L$23,L198+PPMT(L$25/12,$B199,L$23,L$53,-L$27,0),IF($B199=L$23,L198+PPMT(L$25/12,$B199,L$23,L$53,-L$27,0)-L$27,0)))</f>
        <v/>
      </c>
      <c r="M199" s="279">
        <f>IF(M$1=0,"",IF($B199&lt;M$23,M198+PPMT(M$25/12,$B199,M$23,M$53,-M$27,0),IF($B199=M$23,M198+PPMT(M$25/12,$B199,M$23,M$53,-M$27,0)-M$27,0)))</f>
        <v/>
      </c>
      <c r="N199" s="280" t="n"/>
      <c r="O199" s="281" t="n"/>
    </row>
    <row r="200" hidden="1" outlineLevel="1">
      <c r="B200" s="2">
        <f>B199+1</f>
        <v/>
      </c>
      <c r="D200" s="279">
        <f>IF(B200&lt;$D$24,(+#REF!/'CALCULETTE (2)'!$B$612),0)</f>
        <v/>
      </c>
      <c r="E200" s="279">
        <f>IF(E$1=0,"",IF($B200&lt;E$23,E199+PPMT(E$25/12,$B200,E$23,E$53,-E$27,0),IF($B200=E$23,E199+PPMT(E$25/12,$B200,E$23,E$53,-E$27,0)-E$27,0)))</f>
        <v/>
      </c>
      <c r="F200" s="279">
        <f>IF(F$1=0,"",IF($B200&lt;F$23,F199+PPMT(F$25/12,$B200,F$23,F$53,-F$27,0),IF($B200=F$23,F199+PPMT(F$25/12,$B200,F$23,F$53,-F$27,0)-F$27,0)))</f>
        <v/>
      </c>
      <c r="G200" s="279">
        <f>IF(G$1=0,"",IF($B200&lt;G$23,G199+PPMT(G$25/12,$B200,G$23,G$53,-G$27,0),IF($B200=G$23,G199+PPMT(G$25/12,$B200,G$23,G$53,-G$27,0)-G$27,0)))</f>
        <v/>
      </c>
      <c r="H200" s="279">
        <f>IF(H$1=0,"",IF($B200&lt;H$23,H199+PPMT(H$25/12,$B200,H$23,H$53,-H$27,0),IF($B200=H$23,H199+PPMT(H$25/12,$B200,H$23,H$53,-H$27,0)-H$27,0)))</f>
        <v/>
      </c>
      <c r="I200" s="279">
        <f>IF(I$1=0,"",IF($B200&lt;I$23,I199+PPMT(I$25/12,$B200,I$23,I$53,-I$27,0),IF($B200=I$23,I199+PPMT(I$25/12,$B200,I$23,I$53,-I$27,0)-I$27,0)))</f>
        <v/>
      </c>
      <c r="J200" s="279">
        <f>IF(J$1=0,"",IF($B200&lt;J$23,J199+PPMT(J$25/12,$B200,J$23,J$53,-J$27,0),IF($B200=J$23,J199+PPMT(J$25/12,$B200,J$23,J$53,-J$27,0)-J$27,0)))</f>
        <v/>
      </c>
      <c r="K200" s="279">
        <f>IF(K$1=0,"",IF($B200&lt;K$23,K199+PPMT(K$25/12,$B200,K$23,K$53,-K$27,0),IF($B200=K$23,K199+PPMT(K$25/12,$B200,K$23,K$53,-K$27,0)-K$27,0)))</f>
        <v/>
      </c>
      <c r="L200" s="279">
        <f>IF(L$1=0,"",IF($B200&lt;L$23,L199+PPMT(L$25/12,$B200,L$23,L$53,-L$27,0),IF($B200=L$23,L199+PPMT(L$25/12,$B200,L$23,L$53,-L$27,0)-L$27,0)))</f>
        <v/>
      </c>
      <c r="M200" s="279">
        <f>IF(M$1=0,"",IF($B200&lt;M$23,M199+PPMT(M$25/12,$B200,M$23,M$53,-M$27,0),IF($B200=M$23,M199+PPMT(M$25/12,$B200,M$23,M$53,-M$27,0)-M$27,0)))</f>
        <v/>
      </c>
      <c r="N200" s="280" t="n"/>
      <c r="O200" s="281" t="n"/>
    </row>
    <row r="201" hidden="1" outlineLevel="1">
      <c r="B201" s="2">
        <f>B200+1</f>
        <v/>
      </c>
      <c r="D201" s="279">
        <f>IF(B201&lt;$D$24,(+#REF!/'CALCULETTE (2)'!$B$612),0)</f>
        <v/>
      </c>
      <c r="E201" s="279">
        <f>IF(E$1=0,"",IF($B201&lt;E$23,E200+PPMT(E$25/12,$B201,E$23,E$53,-E$27,0),IF($B201=E$23,E200+PPMT(E$25/12,$B201,E$23,E$53,-E$27,0)-E$27,0)))</f>
        <v/>
      </c>
      <c r="F201" s="279">
        <f>IF(F$1=0,"",IF($B201&lt;F$23,F200+PPMT(F$25/12,$B201,F$23,F$53,-F$27,0),IF($B201=F$23,F200+PPMT(F$25/12,$B201,F$23,F$53,-F$27,0)-F$27,0)))</f>
        <v/>
      </c>
      <c r="G201" s="279">
        <f>IF(G$1=0,"",IF($B201&lt;G$23,G200+PPMT(G$25/12,$B201,G$23,G$53,-G$27,0),IF($B201=G$23,G200+PPMT(G$25/12,$B201,G$23,G$53,-G$27,0)-G$27,0)))</f>
        <v/>
      </c>
      <c r="H201" s="279">
        <f>IF(H$1=0,"",IF($B201&lt;H$23,H200+PPMT(H$25/12,$B201,H$23,H$53,-H$27,0),IF($B201=H$23,H200+PPMT(H$25/12,$B201,H$23,H$53,-H$27,0)-H$27,0)))</f>
        <v/>
      </c>
      <c r="I201" s="279">
        <f>IF(I$1=0,"",IF($B201&lt;I$23,I200+PPMT(I$25/12,$B201,I$23,I$53,-I$27,0),IF($B201=I$23,I200+PPMT(I$25/12,$B201,I$23,I$53,-I$27,0)-I$27,0)))</f>
        <v/>
      </c>
      <c r="J201" s="279">
        <f>IF(J$1=0,"",IF($B201&lt;J$23,J200+PPMT(J$25/12,$B201,J$23,J$53,-J$27,0),IF($B201=J$23,J200+PPMT(J$25/12,$B201,J$23,J$53,-J$27,0)-J$27,0)))</f>
        <v/>
      </c>
      <c r="K201" s="279">
        <f>IF(K$1=0,"",IF($B201&lt;K$23,K200+PPMT(K$25/12,$B201,K$23,K$53,-K$27,0),IF($B201=K$23,K200+PPMT(K$25/12,$B201,K$23,K$53,-K$27,0)-K$27,0)))</f>
        <v/>
      </c>
      <c r="L201" s="279">
        <f>IF(L$1=0,"",IF($B201&lt;L$23,L200+PPMT(L$25/12,$B201,L$23,L$53,-L$27,0),IF($B201=L$23,L200+PPMT(L$25/12,$B201,L$23,L$53,-L$27,0)-L$27,0)))</f>
        <v/>
      </c>
      <c r="M201" s="279">
        <f>IF(M$1=0,"",IF($B201&lt;M$23,M200+PPMT(M$25/12,$B201,M$23,M$53,-M$27,0),IF($B201=M$23,M200+PPMT(M$25/12,$B201,M$23,M$53,-M$27,0)-M$27,0)))</f>
        <v/>
      </c>
      <c r="N201" s="280" t="n"/>
      <c r="O201" s="281" t="n"/>
    </row>
    <row r="202" hidden="1" outlineLevel="1">
      <c r="B202" s="2">
        <f>B201+1</f>
        <v/>
      </c>
      <c r="D202" s="279">
        <f>IF(B202&lt;$D$24,(+#REF!/'CALCULETTE (2)'!$B$612),0)</f>
        <v/>
      </c>
      <c r="E202" s="279">
        <f>IF(E$1=0,"",IF($B202&lt;E$23,E201+PPMT(E$25/12,$B202,E$23,E$53,-E$27,0),IF($B202=E$23,E201+PPMT(E$25/12,$B202,E$23,E$53,-E$27,0)-E$27,0)))</f>
        <v/>
      </c>
      <c r="F202" s="279">
        <f>IF(F$1=0,"",IF($B202&lt;F$23,F201+PPMT(F$25/12,$B202,F$23,F$53,-F$27,0),IF($B202=F$23,F201+PPMT(F$25/12,$B202,F$23,F$53,-F$27,0)-F$27,0)))</f>
        <v/>
      </c>
      <c r="G202" s="279">
        <f>IF(G$1=0,"",IF($B202&lt;G$23,G201+PPMT(G$25/12,$B202,G$23,G$53,-G$27,0),IF($B202=G$23,G201+PPMT(G$25/12,$B202,G$23,G$53,-G$27,0)-G$27,0)))</f>
        <v/>
      </c>
      <c r="H202" s="279">
        <f>IF(H$1=0,"",IF($B202&lt;H$23,H201+PPMT(H$25/12,$B202,H$23,H$53,-H$27,0),IF($B202=H$23,H201+PPMT(H$25/12,$B202,H$23,H$53,-H$27,0)-H$27,0)))</f>
        <v/>
      </c>
      <c r="I202" s="279">
        <f>IF(I$1=0,"",IF($B202&lt;I$23,I201+PPMT(I$25/12,$B202,I$23,I$53,-I$27,0),IF($B202=I$23,I201+PPMT(I$25/12,$B202,I$23,I$53,-I$27,0)-I$27,0)))</f>
        <v/>
      </c>
      <c r="J202" s="279">
        <f>IF(J$1=0,"",IF($B202&lt;J$23,J201+PPMT(J$25/12,$B202,J$23,J$53,-J$27,0),IF($B202=J$23,J201+PPMT(J$25/12,$B202,J$23,J$53,-J$27,0)-J$27,0)))</f>
        <v/>
      </c>
      <c r="K202" s="279">
        <f>IF(K$1=0,"",IF($B202&lt;K$23,K201+PPMT(K$25/12,$B202,K$23,K$53,-K$27,0),IF($B202=K$23,K201+PPMT(K$25/12,$B202,K$23,K$53,-K$27,0)-K$27,0)))</f>
        <v/>
      </c>
      <c r="L202" s="279">
        <f>IF(L$1=0,"",IF($B202&lt;L$23,L201+PPMT(L$25/12,$B202,L$23,L$53,-L$27,0),IF($B202=L$23,L201+PPMT(L$25/12,$B202,L$23,L$53,-L$27,0)-L$27,0)))</f>
        <v/>
      </c>
      <c r="M202" s="279">
        <f>IF(M$1=0,"",IF($B202&lt;M$23,M201+PPMT(M$25/12,$B202,M$23,M$53,-M$27,0),IF($B202=M$23,M201+PPMT(M$25/12,$B202,M$23,M$53,-M$27,0)-M$27,0)))</f>
        <v/>
      </c>
      <c r="N202" s="280" t="n"/>
      <c r="O202" s="281" t="n"/>
    </row>
    <row r="203" hidden="1" outlineLevel="1">
      <c r="B203" s="2">
        <f>B202+1</f>
        <v/>
      </c>
      <c r="D203" s="279">
        <f>IF(B203&lt;$D$24,(+#REF!/'CALCULETTE (2)'!$B$612),0)</f>
        <v/>
      </c>
      <c r="E203" s="279">
        <f>IF(E$1=0,"",IF($B203&lt;E$23,E202+PPMT(E$25/12,$B203,E$23,E$53,-E$27,0),IF($B203=E$23,E202+PPMT(E$25/12,$B203,E$23,E$53,-E$27,0)-E$27,0)))</f>
        <v/>
      </c>
      <c r="F203" s="279">
        <f>IF(F$1=0,"",IF($B203&lt;F$23,F202+PPMT(F$25/12,$B203,F$23,F$53,-F$27,0),IF($B203=F$23,F202+PPMT(F$25/12,$B203,F$23,F$53,-F$27,0)-F$27,0)))</f>
        <v/>
      </c>
      <c r="G203" s="279">
        <f>IF(G$1=0,"",IF($B203&lt;G$23,G202+PPMT(G$25/12,$B203,G$23,G$53,-G$27,0),IF($B203=G$23,G202+PPMT(G$25/12,$B203,G$23,G$53,-G$27,0)-G$27,0)))</f>
        <v/>
      </c>
      <c r="H203" s="279">
        <f>IF(H$1=0,"",IF($B203&lt;H$23,H202+PPMT(H$25/12,$B203,H$23,H$53,-H$27,0),IF($B203=H$23,H202+PPMT(H$25/12,$B203,H$23,H$53,-H$27,0)-H$27,0)))</f>
        <v/>
      </c>
      <c r="I203" s="279">
        <f>IF(I$1=0,"",IF($B203&lt;I$23,I202+PPMT(I$25/12,$B203,I$23,I$53,-I$27,0),IF($B203=I$23,I202+PPMT(I$25/12,$B203,I$23,I$53,-I$27,0)-I$27,0)))</f>
        <v/>
      </c>
      <c r="J203" s="279">
        <f>IF(J$1=0,"",IF($B203&lt;J$23,J202+PPMT(J$25/12,$B203,J$23,J$53,-J$27,0),IF($B203=J$23,J202+PPMT(J$25/12,$B203,J$23,J$53,-J$27,0)-J$27,0)))</f>
        <v/>
      </c>
      <c r="K203" s="279">
        <f>IF(K$1=0,"",IF($B203&lt;K$23,K202+PPMT(K$25/12,$B203,K$23,K$53,-K$27,0),IF($B203=K$23,K202+PPMT(K$25/12,$B203,K$23,K$53,-K$27,0)-K$27,0)))</f>
        <v/>
      </c>
      <c r="L203" s="279">
        <f>IF(L$1=0,"",IF($B203&lt;L$23,L202+PPMT(L$25/12,$B203,L$23,L$53,-L$27,0),IF($B203=L$23,L202+PPMT(L$25/12,$B203,L$23,L$53,-L$27,0)-L$27,0)))</f>
        <v/>
      </c>
      <c r="M203" s="279">
        <f>IF(M$1=0,"",IF($B203&lt;M$23,M202+PPMT(M$25/12,$B203,M$23,M$53,-M$27,0),IF($B203=M$23,M202+PPMT(M$25/12,$B203,M$23,M$53,-M$27,0)-M$27,0)))</f>
        <v/>
      </c>
      <c r="N203" s="280" t="n"/>
      <c r="O203" s="281" t="n"/>
    </row>
    <row r="204" hidden="1" outlineLevel="1">
      <c r="B204" s="2">
        <f>B203+1</f>
        <v/>
      </c>
      <c r="D204" s="279">
        <f>IF(B204&lt;$D$24,(+#REF!/'CALCULETTE (2)'!$B$612),0)</f>
        <v/>
      </c>
      <c r="E204" s="279">
        <f>IF(E$1=0,"",IF($B204&lt;E$23,E203+PPMT(E$25/12,$B204,E$23,E$53,-E$27,0),IF($B204=E$23,E203+PPMT(E$25/12,$B204,E$23,E$53,-E$27,0)-E$27,0)))</f>
        <v/>
      </c>
      <c r="F204" s="279">
        <f>IF(F$1=0,"",IF($B204&lt;F$23,F203+PPMT(F$25/12,$B204,F$23,F$53,-F$27,0),IF($B204=F$23,F203+PPMT(F$25/12,$B204,F$23,F$53,-F$27,0)-F$27,0)))</f>
        <v/>
      </c>
      <c r="G204" s="279">
        <f>IF(G$1=0,"",IF($B204&lt;G$23,G203+PPMT(G$25/12,$B204,G$23,G$53,-G$27,0),IF($B204=G$23,G203+PPMT(G$25/12,$B204,G$23,G$53,-G$27,0)-G$27,0)))</f>
        <v/>
      </c>
      <c r="H204" s="279">
        <f>IF(H$1=0,"",IF($B204&lt;H$23,H203+PPMT(H$25/12,$B204,H$23,H$53,-H$27,0),IF($B204=H$23,H203+PPMT(H$25/12,$B204,H$23,H$53,-H$27,0)-H$27,0)))</f>
        <v/>
      </c>
      <c r="I204" s="279">
        <f>IF(I$1=0,"",IF($B204&lt;I$23,I203+PPMT(I$25/12,$B204,I$23,I$53,-I$27,0),IF($B204=I$23,I203+PPMT(I$25/12,$B204,I$23,I$53,-I$27,0)-I$27,0)))</f>
        <v/>
      </c>
      <c r="J204" s="279">
        <f>IF(J$1=0,"",IF($B204&lt;J$23,J203+PPMT(J$25/12,$B204,J$23,J$53,-J$27,0),IF($B204=J$23,J203+PPMT(J$25/12,$B204,J$23,J$53,-J$27,0)-J$27,0)))</f>
        <v/>
      </c>
      <c r="K204" s="279">
        <f>IF(K$1=0,"",IF($B204&lt;K$23,K203+PPMT(K$25/12,$B204,K$23,K$53,-K$27,0),IF($B204=K$23,K203+PPMT(K$25/12,$B204,K$23,K$53,-K$27,0)-K$27,0)))</f>
        <v/>
      </c>
      <c r="L204" s="279">
        <f>IF(L$1=0,"",IF($B204&lt;L$23,L203+PPMT(L$25/12,$B204,L$23,L$53,-L$27,0),IF($B204=L$23,L203+PPMT(L$25/12,$B204,L$23,L$53,-L$27,0)-L$27,0)))</f>
        <v/>
      </c>
      <c r="M204" s="279">
        <f>IF(M$1=0,"",IF($B204&lt;M$23,M203+PPMT(M$25/12,$B204,M$23,M$53,-M$27,0),IF($B204=M$23,M203+PPMT(M$25/12,$B204,M$23,M$53,-M$27,0)-M$27,0)))</f>
        <v/>
      </c>
      <c r="N204" s="280" t="n"/>
      <c r="O204" s="281" t="n"/>
    </row>
    <row r="205" hidden="1" outlineLevel="1">
      <c r="B205" s="2">
        <f>B204+1</f>
        <v/>
      </c>
      <c r="D205" s="279">
        <f>IF(B205&lt;$D$24,(+#REF!/'CALCULETTE (2)'!$B$612),0)</f>
        <v/>
      </c>
      <c r="E205" s="279">
        <f>IF(E$1=0,"",IF($B205&lt;E$23,E204+PPMT(E$25/12,$B205,E$23,E$53,-E$27,0),IF($B205=E$23,E204+PPMT(E$25/12,$B205,E$23,E$53,-E$27,0)-E$27,0)))</f>
        <v/>
      </c>
      <c r="F205" s="279">
        <f>IF(F$1=0,"",IF($B205&lt;F$23,F204+PPMT(F$25/12,$B205,F$23,F$53,-F$27,0),IF($B205=F$23,F204+PPMT(F$25/12,$B205,F$23,F$53,-F$27,0)-F$27,0)))</f>
        <v/>
      </c>
      <c r="G205" s="279">
        <f>IF(G$1=0,"",IF($B205&lt;G$23,G204+PPMT(G$25/12,$B205,G$23,G$53,-G$27,0),IF($B205=G$23,G204+PPMT(G$25/12,$B205,G$23,G$53,-G$27,0)-G$27,0)))</f>
        <v/>
      </c>
      <c r="H205" s="279">
        <f>IF(H$1=0,"",IF($B205&lt;H$23,H204+PPMT(H$25/12,$B205,H$23,H$53,-H$27,0),IF($B205=H$23,H204+PPMT(H$25/12,$B205,H$23,H$53,-H$27,0)-H$27,0)))</f>
        <v/>
      </c>
      <c r="I205" s="279">
        <f>IF(I$1=0,"",IF($B205&lt;I$23,I204+PPMT(I$25/12,$B205,I$23,I$53,-I$27,0),IF($B205=I$23,I204+PPMT(I$25/12,$B205,I$23,I$53,-I$27,0)-I$27,0)))</f>
        <v/>
      </c>
      <c r="J205" s="279">
        <f>IF(J$1=0,"",IF($B205&lt;J$23,J204+PPMT(J$25/12,$B205,J$23,J$53,-J$27,0),IF($B205=J$23,J204+PPMT(J$25/12,$B205,J$23,J$53,-J$27,0)-J$27,0)))</f>
        <v/>
      </c>
      <c r="K205" s="279">
        <f>IF(K$1=0,"",IF($B205&lt;K$23,K204+PPMT(K$25/12,$B205,K$23,K$53,-K$27,0),IF($B205=K$23,K204+PPMT(K$25/12,$B205,K$23,K$53,-K$27,0)-K$27,0)))</f>
        <v/>
      </c>
      <c r="L205" s="279">
        <f>IF(L$1=0,"",IF($B205&lt;L$23,L204+PPMT(L$25/12,$B205,L$23,L$53,-L$27,0),IF($B205=L$23,L204+PPMT(L$25/12,$B205,L$23,L$53,-L$27,0)-L$27,0)))</f>
        <v/>
      </c>
      <c r="M205" s="279">
        <f>IF(M$1=0,"",IF($B205&lt;M$23,M204+PPMT(M$25/12,$B205,M$23,M$53,-M$27,0),IF($B205=M$23,M204+PPMT(M$25/12,$B205,M$23,M$53,-M$27,0)-M$27,0)))</f>
        <v/>
      </c>
      <c r="N205" s="280" t="n"/>
      <c r="O205" s="281" t="n"/>
    </row>
    <row r="206" hidden="1" outlineLevel="1">
      <c r="B206" s="2">
        <f>B205+1</f>
        <v/>
      </c>
      <c r="D206" s="279">
        <f>IF(B206&lt;$D$24,(+#REF!/'CALCULETTE (2)'!$B$612),0)</f>
        <v/>
      </c>
      <c r="E206" s="279">
        <f>IF(E$1=0,"",IF($B206&lt;E$23,E205+PPMT(E$25/12,$B206,E$23,E$53,-E$27,0),IF($B206=E$23,E205+PPMT(E$25/12,$B206,E$23,E$53,-E$27,0)-E$27,0)))</f>
        <v/>
      </c>
      <c r="F206" s="279">
        <f>IF(F$1=0,"",IF($B206&lt;F$23,F205+PPMT(F$25/12,$B206,F$23,F$53,-F$27,0),IF($B206=F$23,F205+PPMT(F$25/12,$B206,F$23,F$53,-F$27,0)-F$27,0)))</f>
        <v/>
      </c>
      <c r="G206" s="279">
        <f>IF(G$1=0,"",IF($B206&lt;G$23,G205+PPMT(G$25/12,$B206,G$23,G$53,-G$27,0),IF($B206=G$23,G205+PPMT(G$25/12,$B206,G$23,G$53,-G$27,0)-G$27,0)))</f>
        <v/>
      </c>
      <c r="H206" s="279">
        <f>IF(H$1=0,"",IF($B206&lt;H$23,H205+PPMT(H$25/12,$B206,H$23,H$53,-H$27,0),IF($B206=H$23,H205+PPMT(H$25/12,$B206,H$23,H$53,-H$27,0)-H$27,0)))</f>
        <v/>
      </c>
      <c r="I206" s="279">
        <f>IF(I$1=0,"",IF($B206&lt;I$23,I205+PPMT(I$25/12,$B206,I$23,I$53,-I$27,0),IF($B206=I$23,I205+PPMT(I$25/12,$B206,I$23,I$53,-I$27,0)-I$27,0)))</f>
        <v/>
      </c>
      <c r="J206" s="279">
        <f>IF(J$1=0,"",IF($B206&lt;J$23,J205+PPMT(J$25/12,$B206,J$23,J$53,-J$27,0),IF($B206=J$23,J205+PPMT(J$25/12,$B206,J$23,J$53,-J$27,0)-J$27,0)))</f>
        <v/>
      </c>
      <c r="K206" s="279">
        <f>IF(K$1=0,"",IF($B206&lt;K$23,K205+PPMT(K$25/12,$B206,K$23,K$53,-K$27,0),IF($B206=K$23,K205+PPMT(K$25/12,$B206,K$23,K$53,-K$27,0)-K$27,0)))</f>
        <v/>
      </c>
      <c r="L206" s="279">
        <f>IF(L$1=0,"",IF($B206&lt;L$23,L205+PPMT(L$25/12,$B206,L$23,L$53,-L$27,0),IF($B206=L$23,L205+PPMT(L$25/12,$B206,L$23,L$53,-L$27,0)-L$27,0)))</f>
        <v/>
      </c>
      <c r="M206" s="279">
        <f>IF(M$1=0,"",IF($B206&lt;M$23,M205+PPMT(M$25/12,$B206,M$23,M$53,-M$27,0),IF($B206=M$23,M205+PPMT(M$25/12,$B206,M$23,M$53,-M$27,0)-M$27,0)))</f>
        <v/>
      </c>
      <c r="N206" s="280" t="n"/>
      <c r="O206" s="281" t="n"/>
    </row>
    <row r="207" hidden="1" outlineLevel="1">
      <c r="B207" s="2">
        <f>B206+1</f>
        <v/>
      </c>
      <c r="D207" s="279">
        <f>IF(B207&lt;$D$24,(+#REF!/'CALCULETTE (2)'!$B$612),0)</f>
        <v/>
      </c>
      <c r="E207" s="279">
        <f>IF(E$1=0,"",IF($B207&lt;E$23,E206+PPMT(E$25/12,$B207,E$23,E$53,-E$27,0),IF($B207=E$23,E206+PPMT(E$25/12,$B207,E$23,E$53,-E$27,0)-E$27,0)))</f>
        <v/>
      </c>
      <c r="F207" s="279">
        <f>IF(F$1=0,"",IF($B207&lt;F$23,F206+PPMT(F$25/12,$B207,F$23,F$53,-F$27,0),IF($B207=F$23,F206+PPMT(F$25/12,$B207,F$23,F$53,-F$27,0)-F$27,0)))</f>
        <v/>
      </c>
      <c r="G207" s="279">
        <f>IF(G$1=0,"",IF($B207&lt;G$23,G206+PPMT(G$25/12,$B207,G$23,G$53,-G$27,0),IF($B207=G$23,G206+PPMT(G$25/12,$B207,G$23,G$53,-G$27,0)-G$27,0)))</f>
        <v/>
      </c>
      <c r="H207" s="279">
        <f>IF(H$1=0,"",IF($B207&lt;H$23,H206+PPMT(H$25/12,$B207,H$23,H$53,-H$27,0),IF($B207=H$23,H206+PPMT(H$25/12,$B207,H$23,H$53,-H$27,0)-H$27,0)))</f>
        <v/>
      </c>
      <c r="I207" s="279">
        <f>IF(I$1=0,"",IF($B207&lt;I$23,I206+PPMT(I$25/12,$B207,I$23,I$53,-I$27,0),IF($B207=I$23,I206+PPMT(I$25/12,$B207,I$23,I$53,-I$27,0)-I$27,0)))</f>
        <v/>
      </c>
      <c r="J207" s="279">
        <f>IF(J$1=0,"",IF($B207&lt;J$23,J206+PPMT(J$25/12,$B207,J$23,J$53,-J$27,0),IF($B207=J$23,J206+PPMT(J$25/12,$B207,J$23,J$53,-J$27,0)-J$27,0)))</f>
        <v/>
      </c>
      <c r="K207" s="279">
        <f>IF(K$1=0,"",IF($B207&lt;K$23,K206+PPMT(K$25/12,$B207,K$23,K$53,-K$27,0),IF($B207=K$23,K206+PPMT(K$25/12,$B207,K$23,K$53,-K$27,0)-K$27,0)))</f>
        <v/>
      </c>
      <c r="L207" s="279">
        <f>IF(L$1=0,"",IF($B207&lt;L$23,L206+PPMT(L$25/12,$B207,L$23,L$53,-L$27,0),IF($B207=L$23,L206+PPMT(L$25/12,$B207,L$23,L$53,-L$27,0)-L$27,0)))</f>
        <v/>
      </c>
      <c r="M207" s="279">
        <f>IF(M$1=0,"",IF($B207&lt;M$23,M206+PPMT(M$25/12,$B207,M$23,M$53,-M$27,0),IF($B207=M$23,M206+PPMT(M$25/12,$B207,M$23,M$53,-M$27,0)-M$27,0)))</f>
        <v/>
      </c>
      <c r="N207" s="280" t="n"/>
      <c r="O207" s="281" t="n"/>
    </row>
    <row r="208" hidden="1" outlineLevel="1">
      <c r="B208" s="2">
        <f>B207+1</f>
        <v/>
      </c>
      <c r="D208" s="279">
        <f>IF(B208&lt;$D$24,(+#REF!/'CALCULETTE (2)'!$B$612),0)</f>
        <v/>
      </c>
      <c r="E208" s="279">
        <f>IF(E$1=0,"",IF($B208&lt;E$23,E207+PPMT(E$25/12,$B208,E$23,E$53,-E$27,0),IF($B208=E$23,E207+PPMT(E$25/12,$B208,E$23,E$53,-E$27,0)-E$27,0)))</f>
        <v/>
      </c>
      <c r="F208" s="279">
        <f>IF(F$1=0,"",IF($B208&lt;F$23,F207+PPMT(F$25/12,$B208,F$23,F$53,-F$27,0),IF($B208=F$23,F207+PPMT(F$25/12,$B208,F$23,F$53,-F$27,0)-F$27,0)))</f>
        <v/>
      </c>
      <c r="G208" s="279">
        <f>IF(G$1=0,"",IF($B208&lt;G$23,G207+PPMT(G$25/12,$B208,G$23,G$53,-G$27,0),IF($B208=G$23,G207+PPMT(G$25/12,$B208,G$23,G$53,-G$27,0)-G$27,0)))</f>
        <v/>
      </c>
      <c r="H208" s="279">
        <f>IF(H$1=0,"",IF($B208&lt;H$23,H207+PPMT(H$25/12,$B208,H$23,H$53,-H$27,0),IF($B208=H$23,H207+PPMT(H$25/12,$B208,H$23,H$53,-H$27,0)-H$27,0)))</f>
        <v/>
      </c>
      <c r="I208" s="279">
        <f>IF(I$1=0,"",IF($B208&lt;I$23,I207+PPMT(I$25/12,$B208,I$23,I$53,-I$27,0),IF($B208=I$23,I207+PPMT(I$25/12,$B208,I$23,I$53,-I$27,0)-I$27,0)))</f>
        <v/>
      </c>
      <c r="J208" s="279">
        <f>IF(J$1=0,"",IF($B208&lt;J$23,J207+PPMT(J$25/12,$B208,J$23,J$53,-J$27,0),IF($B208=J$23,J207+PPMT(J$25/12,$B208,J$23,J$53,-J$27,0)-J$27,0)))</f>
        <v/>
      </c>
      <c r="K208" s="279">
        <f>IF(K$1=0,"",IF($B208&lt;K$23,K207+PPMT(K$25/12,$B208,K$23,K$53,-K$27,0),IF($B208=K$23,K207+PPMT(K$25/12,$B208,K$23,K$53,-K$27,0)-K$27,0)))</f>
        <v/>
      </c>
      <c r="L208" s="279">
        <f>IF(L$1=0,"",IF($B208&lt;L$23,L207+PPMT(L$25/12,$B208,L$23,L$53,-L$27,0),IF($B208=L$23,L207+PPMT(L$25/12,$B208,L$23,L$53,-L$27,0)-L$27,0)))</f>
        <v/>
      </c>
      <c r="M208" s="279">
        <f>IF(M$1=0,"",IF($B208&lt;M$23,M207+PPMT(M$25/12,$B208,M$23,M$53,-M$27,0),IF($B208=M$23,M207+PPMT(M$25/12,$B208,M$23,M$53,-M$27,0)-M$27,0)))</f>
        <v/>
      </c>
      <c r="N208" s="280" t="n"/>
      <c r="O208" s="281" t="n"/>
    </row>
    <row r="209" hidden="1" outlineLevel="1">
      <c r="B209" s="2">
        <f>B208+1</f>
        <v/>
      </c>
      <c r="D209" s="279">
        <f>IF(B209&lt;$D$24,(+#REF!/'CALCULETTE (2)'!$B$612),0)</f>
        <v/>
      </c>
      <c r="E209" s="279">
        <f>IF(E$1=0,"",IF($B209&lt;E$23,E208+PPMT(E$25/12,$B209,E$23,E$53,-E$27,0),IF($B209=E$23,E208+PPMT(E$25/12,$B209,E$23,E$53,-E$27,0)-E$27,0)))</f>
        <v/>
      </c>
      <c r="F209" s="279">
        <f>IF(F$1=0,"",IF($B209&lt;F$23,F208+PPMT(F$25/12,$B209,F$23,F$53,-F$27,0),IF($B209=F$23,F208+PPMT(F$25/12,$B209,F$23,F$53,-F$27,0)-F$27,0)))</f>
        <v/>
      </c>
      <c r="G209" s="279">
        <f>IF(G$1=0,"",IF($B209&lt;G$23,G208+PPMT(G$25/12,$B209,G$23,G$53,-G$27,0),IF($B209=G$23,G208+PPMT(G$25/12,$B209,G$23,G$53,-G$27,0)-G$27,0)))</f>
        <v/>
      </c>
      <c r="H209" s="279">
        <f>IF(H$1=0,"",IF($B209&lt;H$23,H208+PPMT(H$25/12,$B209,H$23,H$53,-H$27,0),IF($B209=H$23,H208+PPMT(H$25/12,$B209,H$23,H$53,-H$27,0)-H$27,0)))</f>
        <v/>
      </c>
      <c r="I209" s="279">
        <f>IF(I$1=0,"",IF($B209&lt;I$23,I208+PPMT(I$25/12,$B209,I$23,I$53,-I$27,0),IF($B209=I$23,I208+PPMT(I$25/12,$B209,I$23,I$53,-I$27,0)-I$27,0)))</f>
        <v/>
      </c>
      <c r="J209" s="279">
        <f>IF(J$1=0,"",IF($B209&lt;J$23,J208+PPMT(J$25/12,$B209,J$23,J$53,-J$27,0),IF($B209=J$23,J208+PPMT(J$25/12,$B209,J$23,J$53,-J$27,0)-J$27,0)))</f>
        <v/>
      </c>
      <c r="K209" s="279">
        <f>IF(K$1=0,"",IF($B209&lt;K$23,K208+PPMT(K$25/12,$B209,K$23,K$53,-K$27,0),IF($B209=K$23,K208+PPMT(K$25/12,$B209,K$23,K$53,-K$27,0)-K$27,0)))</f>
        <v/>
      </c>
      <c r="L209" s="279">
        <f>IF(L$1=0,"",IF($B209&lt;L$23,L208+PPMT(L$25/12,$B209,L$23,L$53,-L$27,0),IF($B209=L$23,L208+PPMT(L$25/12,$B209,L$23,L$53,-L$27,0)-L$27,0)))</f>
        <v/>
      </c>
      <c r="M209" s="279">
        <f>IF(M$1=0,"",IF($B209&lt;M$23,M208+PPMT(M$25/12,$B209,M$23,M$53,-M$27,0),IF($B209=M$23,M208+PPMT(M$25/12,$B209,M$23,M$53,-M$27,0)-M$27,0)))</f>
        <v/>
      </c>
      <c r="N209" s="280" t="n"/>
      <c r="O209" s="281" t="n"/>
    </row>
    <row r="210" hidden="1" outlineLevel="1">
      <c r="B210" s="2">
        <f>B209+1</f>
        <v/>
      </c>
      <c r="D210" s="279">
        <f>IF(B210&lt;$D$24,(+#REF!/'CALCULETTE (2)'!$B$612),0)</f>
        <v/>
      </c>
      <c r="E210" s="279">
        <f>IF(E$1=0,"",IF($B210&lt;E$23,E209+PPMT(E$25/12,$B210,E$23,E$53,-E$27,0),IF($B210=E$23,E209+PPMT(E$25/12,$B210,E$23,E$53,-E$27,0)-E$27,0)))</f>
        <v/>
      </c>
      <c r="F210" s="279">
        <f>IF(F$1=0,"",IF($B210&lt;F$23,F209+PPMT(F$25/12,$B210,F$23,F$53,-F$27,0),IF($B210=F$23,F209+PPMT(F$25/12,$B210,F$23,F$53,-F$27,0)-F$27,0)))</f>
        <v/>
      </c>
      <c r="G210" s="279">
        <f>IF(G$1=0,"",IF($B210&lt;G$23,G209+PPMT(G$25/12,$B210,G$23,G$53,-G$27,0),IF($B210=G$23,G209+PPMT(G$25/12,$B210,G$23,G$53,-G$27,0)-G$27,0)))</f>
        <v/>
      </c>
      <c r="H210" s="279">
        <f>IF(H$1=0,"",IF($B210&lt;H$23,H209+PPMT(H$25/12,$B210,H$23,H$53,-H$27,0),IF($B210=H$23,H209+PPMT(H$25/12,$B210,H$23,H$53,-H$27,0)-H$27,0)))</f>
        <v/>
      </c>
      <c r="I210" s="279">
        <f>IF(I$1=0,"",IF($B210&lt;I$23,I209+PPMT(I$25/12,$B210,I$23,I$53,-I$27,0),IF($B210=I$23,I209+PPMT(I$25/12,$B210,I$23,I$53,-I$27,0)-I$27,0)))</f>
        <v/>
      </c>
      <c r="J210" s="279">
        <f>IF(J$1=0,"",IF($B210&lt;J$23,J209+PPMT(J$25/12,$B210,J$23,J$53,-J$27,0),IF($B210=J$23,J209+PPMT(J$25/12,$B210,J$23,J$53,-J$27,0)-J$27,0)))</f>
        <v/>
      </c>
      <c r="K210" s="279">
        <f>IF(K$1=0,"",IF($B210&lt;K$23,K209+PPMT(K$25/12,$B210,K$23,K$53,-K$27,0),IF($B210=K$23,K209+PPMT(K$25/12,$B210,K$23,K$53,-K$27,0)-K$27,0)))</f>
        <v/>
      </c>
      <c r="L210" s="279">
        <f>IF(L$1=0,"",IF($B210&lt;L$23,L209+PPMT(L$25/12,$B210,L$23,L$53,-L$27,0),IF($B210=L$23,L209+PPMT(L$25/12,$B210,L$23,L$53,-L$27,0)-L$27,0)))</f>
        <v/>
      </c>
      <c r="M210" s="279">
        <f>IF(M$1=0,"",IF($B210&lt;M$23,M209+PPMT(M$25/12,$B210,M$23,M$53,-M$27,0),IF($B210=M$23,M209+PPMT(M$25/12,$B210,M$23,M$53,-M$27,0)-M$27,0)))</f>
        <v/>
      </c>
      <c r="N210" s="280" t="n"/>
      <c r="O210" s="281" t="n"/>
    </row>
    <row r="211" hidden="1" outlineLevel="1">
      <c r="B211" s="2">
        <f>B210+1</f>
        <v/>
      </c>
      <c r="D211" s="279">
        <f>IF(B211&lt;$D$24,(+#REF!/'CALCULETTE (2)'!$B$612),0)</f>
        <v/>
      </c>
      <c r="E211" s="279">
        <f>IF(E$1=0,"",IF($B211&lt;E$23,E210+PPMT(E$25/12,$B211,E$23,E$53,-E$27,0),IF($B211=E$23,E210+PPMT(E$25/12,$B211,E$23,E$53,-E$27,0)-E$27,0)))</f>
        <v/>
      </c>
      <c r="F211" s="279">
        <f>IF(F$1=0,"",IF($B211&lt;F$23,F210+PPMT(F$25/12,$B211,F$23,F$53,-F$27,0),IF($B211=F$23,F210+PPMT(F$25/12,$B211,F$23,F$53,-F$27,0)-F$27,0)))</f>
        <v/>
      </c>
      <c r="G211" s="279">
        <f>IF(G$1=0,"",IF($B211&lt;G$23,G210+PPMT(G$25/12,$B211,G$23,G$53,-G$27,0),IF($B211=G$23,G210+PPMT(G$25/12,$B211,G$23,G$53,-G$27,0)-G$27,0)))</f>
        <v/>
      </c>
      <c r="H211" s="279">
        <f>IF(H$1=0,"",IF($B211&lt;H$23,H210+PPMT(H$25/12,$B211,H$23,H$53,-H$27,0),IF($B211=H$23,H210+PPMT(H$25/12,$B211,H$23,H$53,-H$27,0)-H$27,0)))</f>
        <v/>
      </c>
      <c r="I211" s="279">
        <f>IF(I$1=0,"",IF($B211&lt;I$23,I210+PPMT(I$25/12,$B211,I$23,I$53,-I$27,0),IF($B211=I$23,I210+PPMT(I$25/12,$B211,I$23,I$53,-I$27,0)-I$27,0)))</f>
        <v/>
      </c>
      <c r="J211" s="279">
        <f>IF(J$1=0,"",IF($B211&lt;J$23,J210+PPMT(J$25/12,$B211,J$23,J$53,-J$27,0),IF($B211=J$23,J210+PPMT(J$25/12,$B211,J$23,J$53,-J$27,0)-J$27,0)))</f>
        <v/>
      </c>
      <c r="K211" s="279">
        <f>IF(K$1=0,"",IF($B211&lt;K$23,K210+PPMT(K$25/12,$B211,K$23,K$53,-K$27,0),IF($B211=K$23,K210+PPMT(K$25/12,$B211,K$23,K$53,-K$27,0)-K$27,0)))</f>
        <v/>
      </c>
      <c r="L211" s="279">
        <f>IF(L$1=0,"",IF($B211&lt;L$23,L210+PPMT(L$25/12,$B211,L$23,L$53,-L$27,0),IF($B211=L$23,L210+PPMT(L$25/12,$B211,L$23,L$53,-L$27,0)-L$27,0)))</f>
        <v/>
      </c>
      <c r="M211" s="279">
        <f>IF(M$1=0,"",IF($B211&lt;M$23,M210+PPMT(M$25/12,$B211,M$23,M$53,-M$27,0),IF($B211=M$23,M210+PPMT(M$25/12,$B211,M$23,M$53,-M$27,0)-M$27,0)))</f>
        <v/>
      </c>
      <c r="N211" s="280" t="n"/>
      <c r="O211" s="281" t="n"/>
    </row>
    <row r="212" hidden="1" outlineLevel="1">
      <c r="B212" s="2">
        <f>B211+1</f>
        <v/>
      </c>
      <c r="D212" s="279">
        <f>IF(B212&lt;$D$24,(+#REF!/'CALCULETTE (2)'!$B$612),0)</f>
        <v/>
      </c>
      <c r="E212" s="279">
        <f>IF(E$1=0,"",IF($B212&lt;E$23,E211+PPMT(E$25/12,$B212,E$23,E$53,-E$27,0),IF($B212=E$23,E211+PPMT(E$25/12,$B212,E$23,E$53,-E$27,0)-E$27,0)))</f>
        <v/>
      </c>
      <c r="F212" s="279">
        <f>IF(F$1=0,"",IF($B212&lt;F$23,F211+PPMT(F$25/12,$B212,F$23,F$53,-F$27,0),IF($B212=F$23,F211+PPMT(F$25/12,$B212,F$23,F$53,-F$27,0)-F$27,0)))</f>
        <v/>
      </c>
      <c r="G212" s="279">
        <f>IF(G$1=0,"",IF($B212&lt;G$23,G211+PPMT(G$25/12,$B212,G$23,G$53,-G$27,0),IF($B212=G$23,G211+PPMT(G$25/12,$B212,G$23,G$53,-G$27,0)-G$27,0)))</f>
        <v/>
      </c>
      <c r="H212" s="279">
        <f>IF(H$1=0,"",IF($B212&lt;H$23,H211+PPMT(H$25/12,$B212,H$23,H$53,-H$27,0),IF($B212=H$23,H211+PPMT(H$25/12,$B212,H$23,H$53,-H$27,0)-H$27,0)))</f>
        <v/>
      </c>
      <c r="I212" s="279">
        <f>IF(I$1=0,"",IF($B212&lt;I$23,I211+PPMT(I$25/12,$B212,I$23,I$53,-I$27,0),IF($B212=I$23,I211+PPMT(I$25/12,$B212,I$23,I$53,-I$27,0)-I$27,0)))</f>
        <v/>
      </c>
      <c r="J212" s="279">
        <f>IF(J$1=0,"",IF($B212&lt;J$23,J211+PPMT(J$25/12,$B212,J$23,J$53,-J$27,0),IF($B212=J$23,J211+PPMT(J$25/12,$B212,J$23,J$53,-J$27,0)-J$27,0)))</f>
        <v/>
      </c>
      <c r="K212" s="279">
        <f>IF(K$1=0,"",IF($B212&lt;K$23,K211+PPMT(K$25/12,$B212,K$23,K$53,-K$27,0),IF($B212=K$23,K211+PPMT(K$25/12,$B212,K$23,K$53,-K$27,0)-K$27,0)))</f>
        <v/>
      </c>
      <c r="L212" s="279">
        <f>IF(L$1=0,"",IF($B212&lt;L$23,L211+PPMT(L$25/12,$B212,L$23,L$53,-L$27,0),IF($B212=L$23,L211+PPMT(L$25/12,$B212,L$23,L$53,-L$27,0)-L$27,0)))</f>
        <v/>
      </c>
      <c r="M212" s="279">
        <f>IF(M$1=0,"",IF($B212&lt;M$23,M211+PPMT(M$25/12,$B212,M$23,M$53,-M$27,0),IF($B212=M$23,M211+PPMT(M$25/12,$B212,M$23,M$53,-M$27,0)-M$27,0)))</f>
        <v/>
      </c>
      <c r="N212" s="280" t="n"/>
      <c r="O212" s="281" t="n"/>
    </row>
    <row r="213" hidden="1" outlineLevel="1">
      <c r="B213" s="2">
        <f>B212+1</f>
        <v/>
      </c>
      <c r="D213" s="279">
        <f>IF(B213&lt;$D$24,(+#REF!/'CALCULETTE (2)'!$B$612),0)</f>
        <v/>
      </c>
      <c r="E213" s="279">
        <f>IF(E$1=0,"",IF($B213&lt;E$23,E212+PPMT(E$25/12,$B213,E$23,E$53,-E$27,0),IF($B213=E$23,E212+PPMT(E$25/12,$B213,E$23,E$53,-E$27,0)-E$27,0)))</f>
        <v/>
      </c>
      <c r="F213" s="279">
        <f>IF(F$1=0,"",IF($B213&lt;F$23,F212+PPMT(F$25/12,$B213,F$23,F$53,-F$27,0),IF($B213=F$23,F212+PPMT(F$25/12,$B213,F$23,F$53,-F$27,0)-F$27,0)))</f>
        <v/>
      </c>
      <c r="G213" s="279">
        <f>IF(G$1=0,"",IF($B213&lt;G$23,G212+PPMT(G$25/12,$B213,G$23,G$53,-G$27,0),IF($B213=G$23,G212+PPMT(G$25/12,$B213,G$23,G$53,-G$27,0)-G$27,0)))</f>
        <v/>
      </c>
      <c r="H213" s="279">
        <f>IF(H$1=0,"",IF($B213&lt;H$23,H212+PPMT(H$25/12,$B213,H$23,H$53,-H$27,0),IF($B213=H$23,H212+PPMT(H$25/12,$B213,H$23,H$53,-H$27,0)-H$27,0)))</f>
        <v/>
      </c>
      <c r="I213" s="279">
        <f>IF(I$1=0,"",IF($B213&lt;I$23,I212+PPMT(I$25/12,$B213,I$23,I$53,-I$27,0),IF($B213=I$23,I212+PPMT(I$25/12,$B213,I$23,I$53,-I$27,0)-I$27,0)))</f>
        <v/>
      </c>
      <c r="J213" s="279">
        <f>IF(J$1=0,"",IF($B213&lt;J$23,J212+PPMT(J$25/12,$B213,J$23,J$53,-J$27,0),IF($B213=J$23,J212+PPMT(J$25/12,$B213,J$23,J$53,-J$27,0)-J$27,0)))</f>
        <v/>
      </c>
      <c r="K213" s="279">
        <f>IF(K$1=0,"",IF($B213&lt;K$23,K212+PPMT(K$25/12,$B213,K$23,K$53,-K$27,0),IF($B213=K$23,K212+PPMT(K$25/12,$B213,K$23,K$53,-K$27,0)-K$27,0)))</f>
        <v/>
      </c>
      <c r="L213" s="279">
        <f>IF(L$1=0,"",IF($B213&lt;L$23,L212+PPMT(L$25/12,$B213,L$23,L$53,-L$27,0),IF($B213=L$23,L212+PPMT(L$25/12,$B213,L$23,L$53,-L$27,0)-L$27,0)))</f>
        <v/>
      </c>
      <c r="M213" s="279">
        <f>IF(M$1=0,"",IF($B213&lt;M$23,M212+PPMT(M$25/12,$B213,M$23,M$53,-M$27,0),IF($B213=M$23,M212+PPMT(M$25/12,$B213,M$23,M$53,-M$27,0)-M$27,0)))</f>
        <v/>
      </c>
      <c r="N213" s="280" t="n"/>
      <c r="O213" s="281" t="n"/>
    </row>
    <row r="214" hidden="1" outlineLevel="1">
      <c r="B214" s="2">
        <f>B213+1</f>
        <v/>
      </c>
      <c r="D214" s="279">
        <f>IF(B214&lt;$D$24,(+#REF!/'CALCULETTE (2)'!$B$612),0)</f>
        <v/>
      </c>
      <c r="E214" s="279">
        <f>IF(E$1=0,"",IF($B214&lt;E$23,E213+PPMT(E$25/12,$B214,E$23,E$53,-E$27,0),IF($B214=E$23,E213+PPMT(E$25/12,$B214,E$23,E$53,-E$27,0)-E$27,0)))</f>
        <v/>
      </c>
      <c r="F214" s="279">
        <f>IF(F$1=0,"",IF($B214&lt;F$23,F213+PPMT(F$25/12,$B214,F$23,F$53,-F$27,0),IF($B214=F$23,F213+PPMT(F$25/12,$B214,F$23,F$53,-F$27,0)-F$27,0)))</f>
        <v/>
      </c>
      <c r="G214" s="279">
        <f>IF(G$1=0,"",IF($B214&lt;G$23,G213+PPMT(G$25/12,$B214,G$23,G$53,-G$27,0),IF($B214=G$23,G213+PPMT(G$25/12,$B214,G$23,G$53,-G$27,0)-G$27,0)))</f>
        <v/>
      </c>
      <c r="H214" s="279">
        <f>IF(H$1=0,"",IF($B214&lt;H$23,H213+PPMT(H$25/12,$B214,H$23,H$53,-H$27,0),IF($B214=H$23,H213+PPMT(H$25/12,$B214,H$23,H$53,-H$27,0)-H$27,0)))</f>
        <v/>
      </c>
      <c r="I214" s="279">
        <f>IF(I$1=0,"",IF($B214&lt;I$23,I213+PPMT(I$25/12,$B214,I$23,I$53,-I$27,0),IF($B214=I$23,I213+PPMT(I$25/12,$B214,I$23,I$53,-I$27,0)-I$27,0)))</f>
        <v/>
      </c>
      <c r="J214" s="279">
        <f>IF(J$1=0,"",IF($B214&lt;J$23,J213+PPMT(J$25/12,$B214,J$23,J$53,-J$27,0),IF($B214=J$23,J213+PPMT(J$25/12,$B214,J$23,J$53,-J$27,0)-J$27,0)))</f>
        <v/>
      </c>
      <c r="K214" s="279">
        <f>IF(K$1=0,"",IF($B214&lt;K$23,K213+PPMT(K$25/12,$B214,K$23,K$53,-K$27,0),IF($B214=K$23,K213+PPMT(K$25/12,$B214,K$23,K$53,-K$27,0)-K$27,0)))</f>
        <v/>
      </c>
      <c r="L214" s="279">
        <f>IF(L$1=0,"",IF($B214&lt;L$23,L213+PPMT(L$25/12,$B214,L$23,L$53,-L$27,0),IF($B214=L$23,L213+PPMT(L$25/12,$B214,L$23,L$53,-L$27,0)-L$27,0)))</f>
        <v/>
      </c>
      <c r="M214" s="279">
        <f>IF(M$1=0,"",IF($B214&lt;M$23,M213+PPMT(M$25/12,$B214,M$23,M$53,-M$27,0),IF($B214=M$23,M213+PPMT(M$25/12,$B214,M$23,M$53,-M$27,0)-M$27,0)))</f>
        <v/>
      </c>
      <c r="N214" s="280" t="n"/>
      <c r="O214" s="281" t="n"/>
    </row>
    <row r="215" hidden="1" outlineLevel="1">
      <c r="B215" s="2">
        <f>B214+1</f>
        <v/>
      </c>
      <c r="D215" s="279">
        <f>IF(B215&lt;$D$24,(+#REF!/'CALCULETTE (2)'!$B$612),0)</f>
        <v/>
      </c>
      <c r="E215" s="279">
        <f>IF(E$1=0,"",IF($B215&lt;E$23,E214+PPMT(E$25/12,$B215,E$23,E$53,-E$27,0),IF($B215=E$23,E214+PPMT(E$25/12,$B215,E$23,E$53,-E$27,0)-E$27,0)))</f>
        <v/>
      </c>
      <c r="F215" s="279">
        <f>IF(F$1=0,"",IF($B215&lt;F$23,F214+PPMT(F$25/12,$B215,F$23,F$53,-F$27,0),IF($B215=F$23,F214+PPMT(F$25/12,$B215,F$23,F$53,-F$27,0)-F$27,0)))</f>
        <v/>
      </c>
      <c r="G215" s="279">
        <f>IF(G$1=0,"",IF($B215&lt;G$23,G214+PPMT(G$25/12,$B215,G$23,G$53,-G$27,0),IF($B215=G$23,G214+PPMT(G$25/12,$B215,G$23,G$53,-G$27,0)-G$27,0)))</f>
        <v/>
      </c>
      <c r="H215" s="279">
        <f>IF(H$1=0,"",IF($B215&lt;H$23,H214+PPMT(H$25/12,$B215,H$23,H$53,-H$27,0),IF($B215=H$23,H214+PPMT(H$25/12,$B215,H$23,H$53,-H$27,0)-H$27,0)))</f>
        <v/>
      </c>
      <c r="I215" s="279">
        <f>IF(I$1=0,"",IF($B215&lt;I$23,I214+PPMT(I$25/12,$B215,I$23,I$53,-I$27,0),IF($B215=I$23,I214+PPMT(I$25/12,$B215,I$23,I$53,-I$27,0)-I$27,0)))</f>
        <v/>
      </c>
      <c r="J215" s="279">
        <f>IF(J$1=0,"",IF($B215&lt;J$23,J214+PPMT(J$25/12,$B215,J$23,J$53,-J$27,0),IF($B215=J$23,J214+PPMT(J$25/12,$B215,J$23,J$53,-J$27,0)-J$27,0)))</f>
        <v/>
      </c>
      <c r="K215" s="279">
        <f>IF(K$1=0,"",IF($B215&lt;K$23,K214+PPMT(K$25/12,$B215,K$23,K$53,-K$27,0),IF($B215=K$23,K214+PPMT(K$25/12,$B215,K$23,K$53,-K$27,0)-K$27,0)))</f>
        <v/>
      </c>
      <c r="L215" s="279">
        <f>IF(L$1=0,"",IF($B215&lt;L$23,L214+PPMT(L$25/12,$B215,L$23,L$53,-L$27,0),IF($B215=L$23,L214+PPMT(L$25/12,$B215,L$23,L$53,-L$27,0)-L$27,0)))</f>
        <v/>
      </c>
      <c r="M215" s="279">
        <f>IF(M$1=0,"",IF($B215&lt;M$23,M214+PPMT(M$25/12,$B215,M$23,M$53,-M$27,0),IF($B215=M$23,M214+PPMT(M$25/12,$B215,M$23,M$53,-M$27,0)-M$27,0)))</f>
        <v/>
      </c>
      <c r="N215" s="280" t="n"/>
      <c r="O215" s="281" t="n"/>
    </row>
    <row r="216" hidden="1" outlineLevel="1">
      <c r="B216" s="2">
        <f>B215+1</f>
        <v/>
      </c>
      <c r="D216" s="279">
        <f>IF(B216&lt;$D$24,(+#REF!/'CALCULETTE (2)'!$B$612),0)</f>
        <v/>
      </c>
      <c r="E216" s="279">
        <f>IF(E$1=0,"",IF($B216&lt;E$23,E215+PPMT(E$25/12,$B216,E$23,E$53,-E$27,0),IF($B216=E$23,E215+PPMT(E$25/12,$B216,E$23,E$53,-E$27,0)-E$27,0)))</f>
        <v/>
      </c>
      <c r="F216" s="279">
        <f>IF(F$1=0,"",IF($B216&lt;F$23,F215+PPMT(F$25/12,$B216,F$23,F$53,-F$27,0),IF($B216=F$23,F215+PPMT(F$25/12,$B216,F$23,F$53,-F$27,0)-F$27,0)))</f>
        <v/>
      </c>
      <c r="G216" s="279">
        <f>IF(G$1=0,"",IF($B216&lt;G$23,G215+PPMT(G$25/12,$B216,G$23,G$53,-G$27,0),IF($B216=G$23,G215+PPMT(G$25/12,$B216,G$23,G$53,-G$27,0)-G$27,0)))</f>
        <v/>
      </c>
      <c r="H216" s="279">
        <f>IF(H$1=0,"",IF($B216&lt;H$23,H215+PPMT(H$25/12,$B216,H$23,H$53,-H$27,0),IF($B216=H$23,H215+PPMT(H$25/12,$B216,H$23,H$53,-H$27,0)-H$27,0)))</f>
        <v/>
      </c>
      <c r="I216" s="279">
        <f>IF(I$1=0,"",IF($B216&lt;I$23,I215+PPMT(I$25/12,$B216,I$23,I$53,-I$27,0),IF($B216=I$23,I215+PPMT(I$25/12,$B216,I$23,I$53,-I$27,0)-I$27,0)))</f>
        <v/>
      </c>
      <c r="J216" s="279">
        <f>IF(J$1=0,"",IF($B216&lt;J$23,J215+PPMT(J$25/12,$B216,J$23,J$53,-J$27,0),IF($B216=J$23,J215+PPMT(J$25/12,$B216,J$23,J$53,-J$27,0)-J$27,0)))</f>
        <v/>
      </c>
      <c r="K216" s="279">
        <f>IF(K$1=0,"",IF($B216&lt;K$23,K215+PPMT(K$25/12,$B216,K$23,K$53,-K$27,0),IF($B216=K$23,K215+PPMT(K$25/12,$B216,K$23,K$53,-K$27,0)-K$27,0)))</f>
        <v/>
      </c>
      <c r="L216" s="279">
        <f>IF(L$1=0,"",IF($B216&lt;L$23,L215+PPMT(L$25/12,$B216,L$23,L$53,-L$27,0),IF($B216=L$23,L215+PPMT(L$25/12,$B216,L$23,L$53,-L$27,0)-L$27,0)))</f>
        <v/>
      </c>
      <c r="M216" s="279">
        <f>IF(M$1=0,"",IF($B216&lt;M$23,M215+PPMT(M$25/12,$B216,M$23,M$53,-M$27,0),IF($B216=M$23,M215+PPMT(M$25/12,$B216,M$23,M$53,-M$27,0)-M$27,0)))</f>
        <v/>
      </c>
      <c r="N216" s="280" t="n"/>
      <c r="O216" s="281" t="n"/>
    </row>
    <row r="217" hidden="1" outlineLevel="1">
      <c r="B217" s="2">
        <f>B216+1</f>
        <v/>
      </c>
      <c r="D217" s="279">
        <f>IF(B217&lt;$D$24,(+#REF!/'CALCULETTE (2)'!$B$612),0)</f>
        <v/>
      </c>
      <c r="E217" s="279">
        <f>IF(E$1=0,"",IF($B217&lt;E$23,E216+PPMT(E$25/12,$B217,E$23,E$53,-E$27,0),IF($B217=E$23,E216+PPMT(E$25/12,$B217,E$23,E$53,-E$27,0)-E$27,0)))</f>
        <v/>
      </c>
      <c r="F217" s="279">
        <f>IF(F$1=0,"",IF($B217&lt;F$23,F216+PPMT(F$25/12,$B217,F$23,F$53,-F$27,0),IF($B217=F$23,F216+PPMT(F$25/12,$B217,F$23,F$53,-F$27,0)-F$27,0)))</f>
        <v/>
      </c>
      <c r="G217" s="279">
        <f>IF(G$1=0,"",IF($B217&lt;G$23,G216+PPMT(G$25/12,$B217,G$23,G$53,-G$27,0),IF($B217=G$23,G216+PPMT(G$25/12,$B217,G$23,G$53,-G$27,0)-G$27,0)))</f>
        <v/>
      </c>
      <c r="H217" s="279">
        <f>IF(H$1=0,"",IF($B217&lt;H$23,H216+PPMT(H$25/12,$B217,H$23,H$53,-H$27,0),IF($B217=H$23,H216+PPMT(H$25/12,$B217,H$23,H$53,-H$27,0)-H$27,0)))</f>
        <v/>
      </c>
      <c r="I217" s="279">
        <f>IF(I$1=0,"",IF($B217&lt;I$23,I216+PPMT(I$25/12,$B217,I$23,I$53,-I$27,0),IF($B217=I$23,I216+PPMT(I$25/12,$B217,I$23,I$53,-I$27,0)-I$27,0)))</f>
        <v/>
      </c>
      <c r="J217" s="279">
        <f>IF(J$1=0,"",IF($B217&lt;J$23,J216+PPMT(J$25/12,$B217,J$23,J$53,-J$27,0),IF($B217=J$23,J216+PPMT(J$25/12,$B217,J$23,J$53,-J$27,0)-J$27,0)))</f>
        <v/>
      </c>
      <c r="K217" s="279">
        <f>IF(K$1=0,"",IF($B217&lt;K$23,K216+PPMT(K$25/12,$B217,K$23,K$53,-K$27,0),IF($B217=K$23,K216+PPMT(K$25/12,$B217,K$23,K$53,-K$27,0)-K$27,0)))</f>
        <v/>
      </c>
      <c r="L217" s="279">
        <f>IF(L$1=0,"",IF($B217&lt;L$23,L216+PPMT(L$25/12,$B217,L$23,L$53,-L$27,0),IF($B217=L$23,L216+PPMT(L$25/12,$B217,L$23,L$53,-L$27,0)-L$27,0)))</f>
        <v/>
      </c>
      <c r="M217" s="279">
        <f>IF(M$1=0,"",IF($B217&lt;M$23,M216+PPMT(M$25/12,$B217,M$23,M$53,-M$27,0),IF($B217=M$23,M216+PPMT(M$25/12,$B217,M$23,M$53,-M$27,0)-M$27,0)))</f>
        <v/>
      </c>
      <c r="N217" s="280" t="n"/>
      <c r="O217" s="281" t="n"/>
    </row>
    <row r="218" hidden="1" outlineLevel="1">
      <c r="B218" s="2">
        <f>B217+1</f>
        <v/>
      </c>
      <c r="D218" s="279">
        <f>IF(B218&lt;$D$24,(+#REF!/'CALCULETTE (2)'!$B$612),0)</f>
        <v/>
      </c>
      <c r="E218" s="279">
        <f>IF(E$1=0,"",IF($B218&lt;E$23,E217+PPMT(E$25/12,$B218,E$23,E$53,-E$27,0),IF($B218=E$23,E217+PPMT(E$25/12,$B218,E$23,E$53,-E$27,0)-E$27,0)))</f>
        <v/>
      </c>
      <c r="F218" s="279">
        <f>IF(F$1=0,"",IF($B218&lt;F$23,F217+PPMT(F$25/12,$B218,F$23,F$53,-F$27,0),IF($B218=F$23,F217+PPMT(F$25/12,$B218,F$23,F$53,-F$27,0)-F$27,0)))</f>
        <v/>
      </c>
      <c r="G218" s="279">
        <f>IF(G$1=0,"",IF($B218&lt;G$23,G217+PPMT(G$25/12,$B218,G$23,G$53,-G$27,0),IF($B218=G$23,G217+PPMT(G$25/12,$B218,G$23,G$53,-G$27,0)-G$27,0)))</f>
        <v/>
      </c>
      <c r="H218" s="279">
        <f>IF(H$1=0,"",IF($B218&lt;H$23,H217+PPMT(H$25/12,$B218,H$23,H$53,-H$27,0),IF($B218=H$23,H217+PPMT(H$25/12,$B218,H$23,H$53,-H$27,0)-H$27,0)))</f>
        <v/>
      </c>
      <c r="I218" s="279">
        <f>IF(I$1=0,"",IF($B218&lt;I$23,I217+PPMT(I$25/12,$B218,I$23,I$53,-I$27,0),IF($B218=I$23,I217+PPMT(I$25/12,$B218,I$23,I$53,-I$27,0)-I$27,0)))</f>
        <v/>
      </c>
      <c r="J218" s="279">
        <f>IF(J$1=0,"",IF($B218&lt;J$23,J217+PPMT(J$25/12,$B218,J$23,J$53,-J$27,0),IF($B218=J$23,J217+PPMT(J$25/12,$B218,J$23,J$53,-J$27,0)-J$27,0)))</f>
        <v/>
      </c>
      <c r="K218" s="279">
        <f>IF(K$1=0,"",IF($B218&lt;K$23,K217+PPMT(K$25/12,$B218,K$23,K$53,-K$27,0),IF($B218=K$23,K217+PPMT(K$25/12,$B218,K$23,K$53,-K$27,0)-K$27,0)))</f>
        <v/>
      </c>
      <c r="L218" s="279">
        <f>IF(L$1=0,"",IF($B218&lt;L$23,L217+PPMT(L$25/12,$B218,L$23,L$53,-L$27,0),IF($B218=L$23,L217+PPMT(L$25/12,$B218,L$23,L$53,-L$27,0)-L$27,0)))</f>
        <v/>
      </c>
      <c r="M218" s="279">
        <f>IF(M$1=0,"",IF($B218&lt;M$23,M217+PPMT(M$25/12,$B218,M$23,M$53,-M$27,0),IF($B218=M$23,M217+PPMT(M$25/12,$B218,M$23,M$53,-M$27,0)-M$27,0)))</f>
        <v/>
      </c>
      <c r="N218" s="280" t="n"/>
      <c r="O218" s="281" t="n"/>
    </row>
    <row r="219" hidden="1" outlineLevel="1">
      <c r="B219" s="2">
        <f>B218+1</f>
        <v/>
      </c>
      <c r="D219" s="279">
        <f>IF(B219&lt;$D$24,(+#REF!/'CALCULETTE (2)'!$B$612),0)</f>
        <v/>
      </c>
      <c r="E219" s="279">
        <f>IF(E$1=0,"",IF($B219&lt;E$23,E218+PPMT(E$25/12,$B219,E$23,E$53,-E$27,0),IF($B219=E$23,E218+PPMT(E$25/12,$B219,E$23,E$53,-E$27,0)-E$27,0)))</f>
        <v/>
      </c>
      <c r="F219" s="279">
        <f>IF(F$1=0,"",IF($B219&lt;F$23,F218+PPMT(F$25/12,$B219,F$23,F$53,-F$27,0),IF($B219=F$23,F218+PPMT(F$25/12,$B219,F$23,F$53,-F$27,0)-F$27,0)))</f>
        <v/>
      </c>
      <c r="G219" s="279">
        <f>IF(G$1=0,"",IF($B219&lt;G$23,G218+PPMT(G$25/12,$B219,G$23,G$53,-G$27,0),IF($B219=G$23,G218+PPMT(G$25/12,$B219,G$23,G$53,-G$27,0)-G$27,0)))</f>
        <v/>
      </c>
      <c r="H219" s="279">
        <f>IF(H$1=0,"",IF($B219&lt;H$23,H218+PPMT(H$25/12,$B219,H$23,H$53,-H$27,0),IF($B219=H$23,H218+PPMT(H$25/12,$B219,H$23,H$53,-H$27,0)-H$27,0)))</f>
        <v/>
      </c>
      <c r="I219" s="279">
        <f>IF(I$1=0,"",IF($B219&lt;I$23,I218+PPMT(I$25/12,$B219,I$23,I$53,-I$27,0),IF($B219=I$23,I218+PPMT(I$25/12,$B219,I$23,I$53,-I$27,0)-I$27,0)))</f>
        <v/>
      </c>
      <c r="J219" s="279">
        <f>IF(J$1=0,"",IF($B219&lt;J$23,J218+PPMT(J$25/12,$B219,J$23,J$53,-J$27,0),IF($B219=J$23,J218+PPMT(J$25/12,$B219,J$23,J$53,-J$27,0)-J$27,0)))</f>
        <v/>
      </c>
      <c r="K219" s="279">
        <f>IF(K$1=0,"",IF($B219&lt;K$23,K218+PPMT(K$25/12,$B219,K$23,K$53,-K$27,0),IF($B219=K$23,K218+PPMT(K$25/12,$B219,K$23,K$53,-K$27,0)-K$27,0)))</f>
        <v/>
      </c>
      <c r="L219" s="279">
        <f>IF(L$1=0,"",IF($B219&lt;L$23,L218+PPMT(L$25/12,$B219,L$23,L$53,-L$27,0),IF($B219=L$23,L218+PPMT(L$25/12,$B219,L$23,L$53,-L$27,0)-L$27,0)))</f>
        <v/>
      </c>
      <c r="M219" s="279">
        <f>IF(M$1=0,"",IF($B219&lt;M$23,M218+PPMT(M$25/12,$B219,M$23,M$53,-M$27,0),IF($B219=M$23,M218+PPMT(M$25/12,$B219,M$23,M$53,-M$27,0)-M$27,0)))</f>
        <v/>
      </c>
      <c r="N219" s="280" t="n"/>
      <c r="O219" s="281" t="n"/>
    </row>
    <row r="220" hidden="1" outlineLevel="1">
      <c r="B220" s="2">
        <f>B219+1</f>
        <v/>
      </c>
      <c r="D220" s="279">
        <f>IF(B220&lt;$D$24,(+#REF!/'CALCULETTE (2)'!$B$612),0)</f>
        <v/>
      </c>
      <c r="E220" s="279">
        <f>IF(E$1=0,"",IF($B220&lt;E$23,E219+PPMT(E$25/12,$B220,E$23,E$53,-E$27,0),IF($B220=E$23,E219+PPMT(E$25/12,$B220,E$23,E$53,-E$27,0)-E$27,0)))</f>
        <v/>
      </c>
      <c r="F220" s="279">
        <f>IF(F$1=0,"",IF($B220&lt;F$23,F219+PPMT(F$25/12,$B220,F$23,F$53,-F$27,0),IF($B220=F$23,F219+PPMT(F$25/12,$B220,F$23,F$53,-F$27,0)-F$27,0)))</f>
        <v/>
      </c>
      <c r="G220" s="279">
        <f>IF(G$1=0,"",IF($B220&lt;G$23,G219+PPMT(G$25/12,$B220,G$23,G$53,-G$27,0),IF($B220=G$23,G219+PPMT(G$25/12,$B220,G$23,G$53,-G$27,0)-G$27,0)))</f>
        <v/>
      </c>
      <c r="H220" s="279">
        <f>IF(H$1=0,"",IF($B220&lt;H$23,H219+PPMT(H$25/12,$B220,H$23,H$53,-H$27,0),IF($B220=H$23,H219+PPMT(H$25/12,$B220,H$23,H$53,-H$27,0)-H$27,0)))</f>
        <v/>
      </c>
      <c r="I220" s="279">
        <f>IF(I$1=0,"",IF($B220&lt;I$23,I219+PPMT(I$25/12,$B220,I$23,I$53,-I$27,0),IF($B220=I$23,I219+PPMT(I$25/12,$B220,I$23,I$53,-I$27,0)-I$27,0)))</f>
        <v/>
      </c>
      <c r="J220" s="279">
        <f>IF(J$1=0,"",IF($B220&lt;J$23,J219+PPMT(J$25/12,$B220,J$23,J$53,-J$27,0),IF($B220=J$23,J219+PPMT(J$25/12,$B220,J$23,J$53,-J$27,0)-J$27,0)))</f>
        <v/>
      </c>
      <c r="K220" s="279">
        <f>IF(K$1=0,"",IF($B220&lt;K$23,K219+PPMT(K$25/12,$B220,K$23,K$53,-K$27,0),IF($B220=K$23,K219+PPMT(K$25/12,$B220,K$23,K$53,-K$27,0)-K$27,0)))</f>
        <v/>
      </c>
      <c r="L220" s="279">
        <f>IF(L$1=0,"",IF($B220&lt;L$23,L219+PPMT(L$25/12,$B220,L$23,L$53,-L$27,0),IF($B220=L$23,L219+PPMT(L$25/12,$B220,L$23,L$53,-L$27,0)-L$27,0)))</f>
        <v/>
      </c>
      <c r="M220" s="279">
        <f>IF(M$1=0,"",IF($B220&lt;M$23,M219+PPMT(M$25/12,$B220,M$23,M$53,-M$27,0),IF($B220=M$23,M219+PPMT(M$25/12,$B220,M$23,M$53,-M$27,0)-M$27,0)))</f>
        <v/>
      </c>
      <c r="N220" s="280" t="n"/>
      <c r="O220" s="281" t="n"/>
    </row>
    <row r="221" hidden="1" outlineLevel="1">
      <c r="B221" s="2">
        <f>B220+1</f>
        <v/>
      </c>
      <c r="D221" s="279">
        <f>IF(B221&lt;$D$24,(+#REF!/'CALCULETTE (2)'!$B$612),0)</f>
        <v/>
      </c>
      <c r="E221" s="279">
        <f>IF(E$1=0,"",IF($B221&lt;E$23,E220+PPMT(E$25/12,$B221,E$23,E$53,-E$27,0),IF($B221=E$23,E220+PPMT(E$25/12,$B221,E$23,E$53,-E$27,0)-E$27,0)))</f>
        <v/>
      </c>
      <c r="F221" s="279">
        <f>IF(F$1=0,"",IF($B221&lt;F$23,F220+PPMT(F$25/12,$B221,F$23,F$53,-F$27,0),IF($B221=F$23,F220+PPMT(F$25/12,$B221,F$23,F$53,-F$27,0)-F$27,0)))</f>
        <v/>
      </c>
      <c r="G221" s="279">
        <f>IF(G$1=0,"",IF($B221&lt;G$23,G220+PPMT(G$25/12,$B221,G$23,G$53,-G$27,0),IF($B221=G$23,G220+PPMT(G$25/12,$B221,G$23,G$53,-G$27,0)-G$27,0)))</f>
        <v/>
      </c>
      <c r="H221" s="279">
        <f>IF(H$1=0,"",IF($B221&lt;H$23,H220+PPMT(H$25/12,$B221,H$23,H$53,-H$27,0),IF($B221=H$23,H220+PPMT(H$25/12,$B221,H$23,H$53,-H$27,0)-H$27,0)))</f>
        <v/>
      </c>
      <c r="I221" s="279">
        <f>IF(I$1=0,"",IF($B221&lt;I$23,I220+PPMT(I$25/12,$B221,I$23,I$53,-I$27,0),IF($B221=I$23,I220+PPMT(I$25/12,$B221,I$23,I$53,-I$27,0)-I$27,0)))</f>
        <v/>
      </c>
      <c r="J221" s="279">
        <f>IF(J$1=0,"",IF($B221&lt;J$23,J220+PPMT(J$25/12,$B221,J$23,J$53,-J$27,0),IF($B221=J$23,J220+PPMT(J$25/12,$B221,J$23,J$53,-J$27,0)-J$27,0)))</f>
        <v/>
      </c>
      <c r="K221" s="279">
        <f>IF(K$1=0,"",IF($B221&lt;K$23,K220+PPMT(K$25/12,$B221,K$23,K$53,-K$27,0),IF($B221=K$23,K220+PPMT(K$25/12,$B221,K$23,K$53,-K$27,0)-K$27,0)))</f>
        <v/>
      </c>
      <c r="L221" s="279">
        <f>IF(L$1=0,"",IF($B221&lt;L$23,L220+PPMT(L$25/12,$B221,L$23,L$53,-L$27,0),IF($B221=L$23,L220+PPMT(L$25/12,$B221,L$23,L$53,-L$27,0)-L$27,0)))</f>
        <v/>
      </c>
      <c r="M221" s="279">
        <f>IF(M$1=0,"",IF($B221&lt;M$23,M220+PPMT(M$25/12,$B221,M$23,M$53,-M$27,0),IF($B221=M$23,M220+PPMT(M$25/12,$B221,M$23,M$53,-M$27,0)-M$27,0)))</f>
        <v/>
      </c>
      <c r="N221" s="280" t="n"/>
      <c r="O221" s="281" t="n"/>
    </row>
    <row r="222" hidden="1" outlineLevel="1">
      <c r="B222" s="2">
        <f>B221+1</f>
        <v/>
      </c>
      <c r="D222" s="279">
        <f>IF(B222&lt;$D$24,(+#REF!/'CALCULETTE (2)'!$B$612),0)</f>
        <v/>
      </c>
      <c r="E222" s="279">
        <f>IF(E$1=0,"",IF($B222&lt;E$23,E221+PPMT(E$25/12,$B222,E$23,E$53,-E$27,0),IF($B222=E$23,E221+PPMT(E$25/12,$B222,E$23,E$53,-E$27,0)-E$27,0)))</f>
        <v/>
      </c>
      <c r="F222" s="279">
        <f>IF(F$1=0,"",IF($B222&lt;F$23,F221+PPMT(F$25/12,$B222,F$23,F$53,-F$27,0),IF($B222=F$23,F221+PPMT(F$25/12,$B222,F$23,F$53,-F$27,0)-F$27,0)))</f>
        <v/>
      </c>
      <c r="G222" s="279">
        <f>IF(G$1=0,"",IF($B222&lt;G$23,G221+PPMT(G$25/12,$B222,G$23,G$53,-G$27,0),IF($B222=G$23,G221+PPMT(G$25/12,$B222,G$23,G$53,-G$27,0)-G$27,0)))</f>
        <v/>
      </c>
      <c r="H222" s="279">
        <f>IF(H$1=0,"",IF($B222&lt;H$23,H221+PPMT(H$25/12,$B222,H$23,H$53,-H$27,0),IF($B222=H$23,H221+PPMT(H$25/12,$B222,H$23,H$53,-H$27,0)-H$27,0)))</f>
        <v/>
      </c>
      <c r="I222" s="279">
        <f>IF(I$1=0,"",IF($B222&lt;I$23,I221+PPMT(I$25/12,$B222,I$23,I$53,-I$27,0),IF($B222=I$23,I221+PPMT(I$25/12,$B222,I$23,I$53,-I$27,0)-I$27,0)))</f>
        <v/>
      </c>
      <c r="J222" s="279">
        <f>IF(J$1=0,"",IF($B222&lt;J$23,J221+PPMT(J$25/12,$B222,J$23,J$53,-J$27,0),IF($B222=J$23,J221+PPMT(J$25/12,$B222,J$23,J$53,-J$27,0)-J$27,0)))</f>
        <v/>
      </c>
      <c r="K222" s="279">
        <f>IF(K$1=0,"",IF($B222&lt;K$23,K221+PPMT(K$25/12,$B222,K$23,K$53,-K$27,0),IF($B222=K$23,K221+PPMT(K$25/12,$B222,K$23,K$53,-K$27,0)-K$27,0)))</f>
        <v/>
      </c>
      <c r="L222" s="279">
        <f>IF(L$1=0,"",IF($B222&lt;L$23,L221+PPMT(L$25/12,$B222,L$23,L$53,-L$27,0),IF($B222=L$23,L221+PPMT(L$25/12,$B222,L$23,L$53,-L$27,0)-L$27,0)))</f>
        <v/>
      </c>
      <c r="M222" s="279">
        <f>IF(M$1=0,"",IF($B222&lt;M$23,M221+PPMT(M$25/12,$B222,M$23,M$53,-M$27,0),IF($B222=M$23,M221+PPMT(M$25/12,$B222,M$23,M$53,-M$27,0)-M$27,0)))</f>
        <v/>
      </c>
      <c r="N222" s="280" t="n"/>
      <c r="O222" s="281" t="n"/>
    </row>
    <row r="223" hidden="1" outlineLevel="1">
      <c r="B223" s="2">
        <f>B222+1</f>
        <v/>
      </c>
      <c r="D223" s="279">
        <f>IF(B223&lt;$D$24,(+#REF!/'CALCULETTE (2)'!$B$612),0)</f>
        <v/>
      </c>
      <c r="E223" s="279">
        <f>IF(E$1=0,"",IF($B223&lt;E$23,E222+PPMT(E$25/12,$B223,E$23,E$53,-E$27,0),IF($B223=E$23,E222+PPMT(E$25/12,$B223,E$23,E$53,-E$27,0)-E$27,0)))</f>
        <v/>
      </c>
      <c r="F223" s="279">
        <f>IF(F$1=0,"",IF($B223&lt;F$23,F222+PPMT(F$25/12,$B223,F$23,F$53,-F$27,0),IF($B223=F$23,F222+PPMT(F$25/12,$B223,F$23,F$53,-F$27,0)-F$27,0)))</f>
        <v/>
      </c>
      <c r="G223" s="279">
        <f>IF(G$1=0,"",IF($B223&lt;G$23,G222+PPMT(G$25/12,$B223,G$23,G$53,-G$27,0),IF($B223=G$23,G222+PPMT(G$25/12,$B223,G$23,G$53,-G$27,0)-G$27,0)))</f>
        <v/>
      </c>
      <c r="H223" s="279">
        <f>IF(H$1=0,"",IF($B223&lt;H$23,H222+PPMT(H$25/12,$B223,H$23,H$53,-H$27,0),IF($B223=H$23,H222+PPMT(H$25/12,$B223,H$23,H$53,-H$27,0)-H$27,0)))</f>
        <v/>
      </c>
      <c r="I223" s="279">
        <f>IF(I$1=0,"",IF($B223&lt;I$23,I222+PPMT(I$25/12,$B223,I$23,I$53,-I$27,0),IF($B223=I$23,I222+PPMT(I$25/12,$B223,I$23,I$53,-I$27,0)-I$27,0)))</f>
        <v/>
      </c>
      <c r="J223" s="279">
        <f>IF(J$1=0,"",IF($B223&lt;J$23,J222+PPMT(J$25/12,$B223,J$23,J$53,-J$27,0),IF($B223=J$23,J222+PPMT(J$25/12,$B223,J$23,J$53,-J$27,0)-J$27,0)))</f>
        <v/>
      </c>
      <c r="K223" s="279">
        <f>IF(K$1=0,"",IF($B223&lt;K$23,K222+PPMT(K$25/12,$B223,K$23,K$53,-K$27,0),IF($B223=K$23,K222+PPMT(K$25/12,$B223,K$23,K$53,-K$27,0)-K$27,0)))</f>
        <v/>
      </c>
      <c r="L223" s="279">
        <f>IF(L$1=0,"",IF($B223&lt;L$23,L222+PPMT(L$25/12,$B223,L$23,L$53,-L$27,0),IF($B223=L$23,L222+PPMT(L$25/12,$B223,L$23,L$53,-L$27,0)-L$27,0)))</f>
        <v/>
      </c>
      <c r="M223" s="279">
        <f>IF(M$1=0,"",IF($B223&lt;M$23,M222+PPMT(M$25/12,$B223,M$23,M$53,-M$27,0),IF($B223=M$23,M222+PPMT(M$25/12,$B223,M$23,M$53,-M$27,0)-M$27,0)))</f>
        <v/>
      </c>
      <c r="N223" s="280" t="n"/>
      <c r="O223" s="281" t="n"/>
    </row>
    <row r="224" hidden="1" outlineLevel="1">
      <c r="B224" s="2">
        <f>B223+1</f>
        <v/>
      </c>
      <c r="D224" s="279">
        <f>IF(B224&lt;$D$24,(+#REF!/'CALCULETTE (2)'!$B$612),0)</f>
        <v/>
      </c>
      <c r="E224" s="279">
        <f>IF(E$1=0,"",IF($B224&lt;E$23,E223+PPMT(E$25/12,$B224,E$23,E$53,-E$27,0),IF($B224=E$23,E223+PPMT(E$25/12,$B224,E$23,E$53,-E$27,0)-E$27,0)))</f>
        <v/>
      </c>
      <c r="F224" s="279">
        <f>IF(F$1=0,"",IF($B224&lt;F$23,F223+PPMT(F$25/12,$B224,F$23,F$53,-F$27,0),IF($B224=F$23,F223+PPMT(F$25/12,$B224,F$23,F$53,-F$27,0)-F$27,0)))</f>
        <v/>
      </c>
      <c r="G224" s="279">
        <f>IF(G$1=0,"",IF($B224&lt;G$23,G223+PPMT(G$25/12,$B224,G$23,G$53,-G$27,0),IF($B224=G$23,G223+PPMT(G$25/12,$B224,G$23,G$53,-G$27,0)-G$27,0)))</f>
        <v/>
      </c>
      <c r="H224" s="279">
        <f>IF(H$1=0,"",IF($B224&lt;H$23,H223+PPMT(H$25/12,$B224,H$23,H$53,-H$27,0),IF($B224=H$23,H223+PPMT(H$25/12,$B224,H$23,H$53,-H$27,0)-H$27,0)))</f>
        <v/>
      </c>
      <c r="I224" s="279">
        <f>IF(I$1=0,"",IF($B224&lt;I$23,I223+PPMT(I$25/12,$B224,I$23,I$53,-I$27,0),IF($B224=I$23,I223+PPMT(I$25/12,$B224,I$23,I$53,-I$27,0)-I$27,0)))</f>
        <v/>
      </c>
      <c r="J224" s="279">
        <f>IF(J$1=0,"",IF($B224&lt;J$23,J223+PPMT(J$25/12,$B224,J$23,J$53,-J$27,0),IF($B224=J$23,J223+PPMT(J$25/12,$B224,J$23,J$53,-J$27,0)-J$27,0)))</f>
        <v/>
      </c>
      <c r="K224" s="279">
        <f>IF(K$1=0,"",IF($B224&lt;K$23,K223+PPMT(K$25/12,$B224,K$23,K$53,-K$27,0),IF($B224=K$23,K223+PPMT(K$25/12,$B224,K$23,K$53,-K$27,0)-K$27,0)))</f>
        <v/>
      </c>
      <c r="L224" s="279">
        <f>IF(L$1=0,"",IF($B224&lt;L$23,L223+PPMT(L$25/12,$B224,L$23,L$53,-L$27,0),IF($B224=L$23,L223+PPMT(L$25/12,$B224,L$23,L$53,-L$27,0)-L$27,0)))</f>
        <v/>
      </c>
      <c r="M224" s="279">
        <f>IF(M$1=0,"",IF($B224&lt;M$23,M223+PPMT(M$25/12,$B224,M$23,M$53,-M$27,0),IF($B224=M$23,M223+PPMT(M$25/12,$B224,M$23,M$53,-M$27,0)-M$27,0)))</f>
        <v/>
      </c>
      <c r="N224" s="280" t="n"/>
      <c r="O224" s="281" t="n"/>
    </row>
    <row r="225" hidden="1" outlineLevel="1">
      <c r="B225" s="2">
        <f>B224+1</f>
        <v/>
      </c>
      <c r="D225" s="279">
        <f>IF(B225&lt;$D$24,(+#REF!/'CALCULETTE (2)'!$B$612),0)</f>
        <v/>
      </c>
      <c r="E225" s="279">
        <f>IF(E$1=0,"",IF($B225&lt;E$23,E224+PPMT(E$25/12,$B225,E$23,E$53,-E$27,0),IF($B225=E$23,E224+PPMT(E$25/12,$B225,E$23,E$53,-E$27,0)-E$27,0)))</f>
        <v/>
      </c>
      <c r="F225" s="279">
        <f>IF(F$1=0,"",IF($B225&lt;F$23,F224+PPMT(F$25/12,$B225,F$23,F$53,-F$27,0),IF($B225=F$23,F224+PPMT(F$25/12,$B225,F$23,F$53,-F$27,0)-F$27,0)))</f>
        <v/>
      </c>
      <c r="G225" s="279">
        <f>IF(G$1=0,"",IF($B225&lt;G$23,G224+PPMT(G$25/12,$B225,G$23,G$53,-G$27,0),IF($B225=G$23,G224+PPMT(G$25/12,$B225,G$23,G$53,-G$27,0)-G$27,0)))</f>
        <v/>
      </c>
      <c r="H225" s="279">
        <f>IF(H$1=0,"",IF($B225&lt;H$23,H224+PPMT(H$25/12,$B225,H$23,H$53,-H$27,0),IF($B225=H$23,H224+PPMT(H$25/12,$B225,H$23,H$53,-H$27,0)-H$27,0)))</f>
        <v/>
      </c>
      <c r="I225" s="279">
        <f>IF(I$1=0,"",IF($B225&lt;I$23,I224+PPMT(I$25/12,$B225,I$23,I$53,-I$27,0),IF($B225=I$23,I224+PPMT(I$25/12,$B225,I$23,I$53,-I$27,0)-I$27,0)))</f>
        <v/>
      </c>
      <c r="J225" s="279">
        <f>IF(J$1=0,"",IF($B225&lt;J$23,J224+PPMT(J$25/12,$B225,J$23,J$53,-J$27,0),IF($B225=J$23,J224+PPMT(J$25/12,$B225,J$23,J$53,-J$27,0)-J$27,0)))</f>
        <v/>
      </c>
      <c r="K225" s="279">
        <f>IF(K$1=0,"",IF($B225&lt;K$23,K224+PPMT(K$25/12,$B225,K$23,K$53,-K$27,0),IF($B225=K$23,K224+PPMT(K$25/12,$B225,K$23,K$53,-K$27,0)-K$27,0)))</f>
        <v/>
      </c>
      <c r="L225" s="279">
        <f>IF(L$1=0,"",IF($B225&lt;L$23,L224+PPMT(L$25/12,$B225,L$23,L$53,-L$27,0),IF($B225=L$23,L224+PPMT(L$25/12,$B225,L$23,L$53,-L$27,0)-L$27,0)))</f>
        <v/>
      </c>
      <c r="M225" s="279">
        <f>IF(M$1=0,"",IF($B225&lt;M$23,M224+PPMT(M$25/12,$B225,M$23,M$53,-M$27,0),IF($B225=M$23,M224+PPMT(M$25/12,$B225,M$23,M$53,-M$27,0)-M$27,0)))</f>
        <v/>
      </c>
      <c r="N225" s="280" t="n"/>
      <c r="O225" s="281" t="n"/>
    </row>
    <row r="226" hidden="1" outlineLevel="1">
      <c r="B226" s="2">
        <f>B225+1</f>
        <v/>
      </c>
      <c r="D226" s="279">
        <f>IF(B226&lt;$D$24,(+#REF!/'CALCULETTE (2)'!$B$612),0)</f>
        <v/>
      </c>
      <c r="E226" s="279">
        <f>IF(E$1=0,"",IF($B226&lt;E$23,E225+PPMT(E$25/12,$B226,E$23,E$53,-E$27,0),IF($B226=E$23,E225+PPMT(E$25/12,$B226,E$23,E$53,-E$27,0)-E$27,0)))</f>
        <v/>
      </c>
      <c r="F226" s="279">
        <f>IF(F$1=0,"",IF($B226&lt;F$23,F225+PPMT(F$25/12,$B226,F$23,F$53,-F$27,0),IF($B226=F$23,F225+PPMT(F$25/12,$B226,F$23,F$53,-F$27,0)-F$27,0)))</f>
        <v/>
      </c>
      <c r="G226" s="279">
        <f>IF(G$1=0,"",IF($B226&lt;G$23,G225+PPMT(G$25/12,$B226,G$23,G$53,-G$27,0),IF($B226=G$23,G225+PPMT(G$25/12,$B226,G$23,G$53,-G$27,0)-G$27,0)))</f>
        <v/>
      </c>
      <c r="H226" s="279">
        <f>IF(H$1=0,"",IF($B226&lt;H$23,H225+PPMT(H$25/12,$B226,H$23,H$53,-H$27,0),IF($B226=H$23,H225+PPMT(H$25/12,$B226,H$23,H$53,-H$27,0)-H$27,0)))</f>
        <v/>
      </c>
      <c r="I226" s="279">
        <f>IF(I$1=0,"",IF($B226&lt;I$23,I225+PPMT(I$25/12,$B226,I$23,I$53,-I$27,0),IF($B226=I$23,I225+PPMT(I$25/12,$B226,I$23,I$53,-I$27,0)-I$27,0)))</f>
        <v/>
      </c>
      <c r="J226" s="279">
        <f>IF(J$1=0,"",IF($B226&lt;J$23,J225+PPMT(J$25/12,$B226,J$23,J$53,-J$27,0),IF($B226=J$23,J225+PPMT(J$25/12,$B226,J$23,J$53,-J$27,0)-J$27,0)))</f>
        <v/>
      </c>
      <c r="K226" s="279">
        <f>IF(K$1=0,"",IF($B226&lt;K$23,K225+PPMT(K$25/12,$B226,K$23,K$53,-K$27,0),IF($B226=K$23,K225+PPMT(K$25/12,$B226,K$23,K$53,-K$27,0)-K$27,0)))</f>
        <v/>
      </c>
      <c r="L226" s="279">
        <f>IF(L$1=0,"",IF($B226&lt;L$23,L225+PPMT(L$25/12,$B226,L$23,L$53,-L$27,0),IF($B226=L$23,L225+PPMT(L$25/12,$B226,L$23,L$53,-L$27,0)-L$27,0)))</f>
        <v/>
      </c>
      <c r="M226" s="279">
        <f>IF(M$1=0,"",IF($B226&lt;M$23,M225+PPMT(M$25/12,$B226,M$23,M$53,-M$27,0),IF($B226=M$23,M225+PPMT(M$25/12,$B226,M$23,M$53,-M$27,0)-M$27,0)))</f>
        <v/>
      </c>
      <c r="N226" s="280" t="n"/>
      <c r="O226" s="281" t="n"/>
    </row>
    <row r="227" hidden="1" outlineLevel="1">
      <c r="B227" s="2">
        <f>B226+1</f>
        <v/>
      </c>
      <c r="D227" s="279">
        <f>IF(B227&lt;$D$24,(+#REF!/'CALCULETTE (2)'!$B$612),0)</f>
        <v/>
      </c>
      <c r="E227" s="279">
        <f>IF(E$1=0,"",IF($B227&lt;E$23,E226+PPMT(E$25/12,$B227,E$23,E$53,-E$27,0),IF($B227=E$23,E226+PPMT(E$25/12,$B227,E$23,E$53,-E$27,0)-E$27,0)))</f>
        <v/>
      </c>
      <c r="F227" s="279">
        <f>IF(F$1=0,"",IF($B227&lt;F$23,F226+PPMT(F$25/12,$B227,F$23,F$53,-F$27,0),IF($B227=F$23,F226+PPMT(F$25/12,$B227,F$23,F$53,-F$27,0)-F$27,0)))</f>
        <v/>
      </c>
      <c r="G227" s="279">
        <f>IF(G$1=0,"",IF($B227&lt;G$23,G226+PPMT(G$25/12,$B227,G$23,G$53,-G$27,0),IF($B227=G$23,G226+PPMT(G$25/12,$B227,G$23,G$53,-G$27,0)-G$27,0)))</f>
        <v/>
      </c>
      <c r="H227" s="279">
        <f>IF(H$1=0,"",IF($B227&lt;H$23,H226+PPMT(H$25/12,$B227,H$23,H$53,-H$27,0),IF($B227=H$23,H226+PPMT(H$25/12,$B227,H$23,H$53,-H$27,0)-H$27,0)))</f>
        <v/>
      </c>
      <c r="I227" s="279">
        <f>IF(I$1=0,"",IF($B227&lt;I$23,I226+PPMT(I$25/12,$B227,I$23,I$53,-I$27,0),IF($B227=I$23,I226+PPMT(I$25/12,$B227,I$23,I$53,-I$27,0)-I$27,0)))</f>
        <v/>
      </c>
      <c r="J227" s="279">
        <f>IF(J$1=0,"",IF($B227&lt;J$23,J226+PPMT(J$25/12,$B227,J$23,J$53,-J$27,0),IF($B227=J$23,J226+PPMT(J$25/12,$B227,J$23,J$53,-J$27,0)-J$27,0)))</f>
        <v/>
      </c>
      <c r="K227" s="279">
        <f>IF(K$1=0,"",IF($B227&lt;K$23,K226+PPMT(K$25/12,$B227,K$23,K$53,-K$27,0),IF($B227=K$23,K226+PPMT(K$25/12,$B227,K$23,K$53,-K$27,0)-K$27,0)))</f>
        <v/>
      </c>
      <c r="L227" s="279">
        <f>IF(L$1=0,"",IF($B227&lt;L$23,L226+PPMT(L$25/12,$B227,L$23,L$53,-L$27,0),IF($B227=L$23,L226+PPMT(L$25/12,$B227,L$23,L$53,-L$27,0)-L$27,0)))</f>
        <v/>
      </c>
      <c r="M227" s="279">
        <f>IF(M$1=0,"",IF($B227&lt;M$23,M226+PPMT(M$25/12,$B227,M$23,M$53,-M$27,0),IF($B227=M$23,M226+PPMT(M$25/12,$B227,M$23,M$53,-M$27,0)-M$27,0)))</f>
        <v/>
      </c>
      <c r="N227" s="280" t="n"/>
      <c r="O227" s="281" t="n"/>
    </row>
    <row r="228" hidden="1" outlineLevel="1">
      <c r="B228" s="2">
        <f>B227+1</f>
        <v/>
      </c>
      <c r="D228" s="279">
        <f>IF(B228&lt;$D$24,(+#REF!/'CALCULETTE (2)'!$B$612),0)</f>
        <v/>
      </c>
      <c r="E228" s="279">
        <f>IF(E$1=0,"",IF($B228&lt;E$23,E227+PPMT(E$25/12,$B228,E$23,E$53,-E$27,0),IF($B228=E$23,E227+PPMT(E$25/12,$B228,E$23,E$53,-E$27,0)-E$27,0)))</f>
        <v/>
      </c>
      <c r="F228" s="279">
        <f>IF(F$1=0,"",IF($B228&lt;F$23,F227+PPMT(F$25/12,$B228,F$23,F$53,-F$27,0),IF($B228=F$23,F227+PPMT(F$25/12,$B228,F$23,F$53,-F$27,0)-F$27,0)))</f>
        <v/>
      </c>
      <c r="G228" s="279">
        <f>IF(G$1=0,"",IF($B228&lt;G$23,G227+PPMT(G$25/12,$B228,G$23,G$53,-G$27,0),IF($B228=G$23,G227+PPMT(G$25/12,$B228,G$23,G$53,-G$27,0)-G$27,0)))</f>
        <v/>
      </c>
      <c r="H228" s="279">
        <f>IF(H$1=0,"",IF($B228&lt;H$23,H227+PPMT(H$25/12,$B228,H$23,H$53,-H$27,0),IF($B228=H$23,H227+PPMT(H$25/12,$B228,H$23,H$53,-H$27,0)-H$27,0)))</f>
        <v/>
      </c>
      <c r="I228" s="279">
        <f>IF(I$1=0,"",IF($B228&lt;I$23,I227+PPMT(I$25/12,$B228,I$23,I$53,-I$27,0),IF($B228=I$23,I227+PPMT(I$25/12,$B228,I$23,I$53,-I$27,0)-I$27,0)))</f>
        <v/>
      </c>
      <c r="J228" s="279">
        <f>IF(J$1=0,"",IF($B228&lt;J$23,J227+PPMT(J$25/12,$B228,J$23,J$53,-J$27,0),IF($B228=J$23,J227+PPMT(J$25/12,$B228,J$23,J$53,-J$27,0)-J$27,0)))</f>
        <v/>
      </c>
      <c r="K228" s="279">
        <f>IF(K$1=0,"",IF($B228&lt;K$23,K227+PPMT(K$25/12,$B228,K$23,K$53,-K$27,0),IF($B228=K$23,K227+PPMT(K$25/12,$B228,K$23,K$53,-K$27,0)-K$27,0)))</f>
        <v/>
      </c>
      <c r="L228" s="279">
        <f>IF(L$1=0,"",IF($B228&lt;L$23,L227+PPMT(L$25/12,$B228,L$23,L$53,-L$27,0),IF($B228=L$23,L227+PPMT(L$25/12,$B228,L$23,L$53,-L$27,0)-L$27,0)))</f>
        <v/>
      </c>
      <c r="M228" s="279">
        <f>IF(M$1=0,"",IF($B228&lt;M$23,M227+PPMT(M$25/12,$B228,M$23,M$53,-M$27,0),IF($B228=M$23,M227+PPMT(M$25/12,$B228,M$23,M$53,-M$27,0)-M$27,0)))</f>
        <v/>
      </c>
      <c r="N228" s="280" t="n"/>
      <c r="O228" s="281" t="n"/>
    </row>
    <row r="229" hidden="1" outlineLevel="1">
      <c r="B229" s="2">
        <f>B228+1</f>
        <v/>
      </c>
      <c r="D229" s="279">
        <f>IF(B229&lt;$D$24,(+#REF!/'CALCULETTE (2)'!$B$612),0)</f>
        <v/>
      </c>
      <c r="E229" s="279">
        <f>IF(E$1=0,"",IF($B229&lt;E$23,E228+PPMT(E$25/12,$B229,E$23,E$53,-E$27,0),IF($B229=E$23,E228+PPMT(E$25/12,$B229,E$23,E$53,-E$27,0)-E$27,0)))</f>
        <v/>
      </c>
      <c r="F229" s="279">
        <f>IF(F$1=0,"",IF($B229&lt;F$23,F228+PPMT(F$25/12,$B229,F$23,F$53,-F$27,0),IF($B229=F$23,F228+PPMT(F$25/12,$B229,F$23,F$53,-F$27,0)-F$27,0)))</f>
        <v/>
      </c>
      <c r="G229" s="279">
        <f>IF(G$1=0,"",IF($B229&lt;G$23,G228+PPMT(G$25/12,$B229,G$23,G$53,-G$27,0),IF($B229=G$23,G228+PPMT(G$25/12,$B229,G$23,G$53,-G$27,0)-G$27,0)))</f>
        <v/>
      </c>
      <c r="H229" s="279">
        <f>IF(H$1=0,"",IF($B229&lt;H$23,H228+PPMT(H$25/12,$B229,H$23,H$53,-H$27,0),IF($B229=H$23,H228+PPMT(H$25/12,$B229,H$23,H$53,-H$27,0)-H$27,0)))</f>
        <v/>
      </c>
      <c r="I229" s="279">
        <f>IF(I$1=0,"",IF($B229&lt;I$23,I228+PPMT(I$25/12,$B229,I$23,I$53,-I$27,0),IF($B229=I$23,I228+PPMT(I$25/12,$B229,I$23,I$53,-I$27,0)-I$27,0)))</f>
        <v/>
      </c>
      <c r="J229" s="279">
        <f>IF(J$1=0,"",IF($B229&lt;J$23,J228+PPMT(J$25/12,$B229,J$23,J$53,-J$27,0),IF($B229=J$23,J228+PPMT(J$25/12,$B229,J$23,J$53,-J$27,0)-J$27,0)))</f>
        <v/>
      </c>
      <c r="K229" s="279">
        <f>IF(K$1=0,"",IF($B229&lt;K$23,K228+PPMT(K$25/12,$B229,K$23,K$53,-K$27,0),IF($B229=K$23,K228+PPMT(K$25/12,$B229,K$23,K$53,-K$27,0)-K$27,0)))</f>
        <v/>
      </c>
      <c r="L229" s="279">
        <f>IF(L$1=0,"",IF($B229&lt;L$23,L228+PPMT(L$25/12,$B229,L$23,L$53,-L$27,0),IF($B229=L$23,L228+PPMT(L$25/12,$B229,L$23,L$53,-L$27,0)-L$27,0)))</f>
        <v/>
      </c>
      <c r="M229" s="279">
        <f>IF(M$1=0,"",IF($B229&lt;M$23,M228+PPMT(M$25/12,$B229,M$23,M$53,-M$27,0),IF($B229=M$23,M228+PPMT(M$25/12,$B229,M$23,M$53,-M$27,0)-M$27,0)))</f>
        <v/>
      </c>
      <c r="N229" s="280" t="n"/>
      <c r="O229" s="281" t="n"/>
    </row>
    <row r="230" hidden="1" outlineLevel="1">
      <c r="B230" s="2">
        <f>B229+1</f>
        <v/>
      </c>
      <c r="D230" s="279">
        <f>IF(B230&lt;$D$24,(+#REF!/'CALCULETTE (2)'!$B$612),0)</f>
        <v/>
      </c>
      <c r="E230" s="279">
        <f>IF(E$1=0,"",IF($B230&lt;E$23,E229+PPMT(E$25/12,$B230,E$23,E$53,-E$27,0),IF($B230=E$23,E229+PPMT(E$25/12,$B230,E$23,E$53,-E$27,0)-E$27,0)))</f>
        <v/>
      </c>
      <c r="F230" s="279">
        <f>IF(F$1=0,"",IF($B230&lt;F$23,F229+PPMT(F$25/12,$B230,F$23,F$53,-F$27,0),IF($B230=F$23,F229+PPMT(F$25/12,$B230,F$23,F$53,-F$27,0)-F$27,0)))</f>
        <v/>
      </c>
      <c r="G230" s="279">
        <f>IF(G$1=0,"",IF($B230&lt;G$23,G229+PPMT(G$25/12,$B230,G$23,G$53,-G$27,0),IF($B230=G$23,G229+PPMT(G$25/12,$B230,G$23,G$53,-G$27,0)-G$27,0)))</f>
        <v/>
      </c>
      <c r="H230" s="279">
        <f>IF(H$1=0,"",IF($B230&lt;H$23,H229+PPMT(H$25/12,$B230,H$23,H$53,-H$27,0),IF($B230=H$23,H229+PPMT(H$25/12,$B230,H$23,H$53,-H$27,0)-H$27,0)))</f>
        <v/>
      </c>
      <c r="I230" s="279">
        <f>IF(I$1=0,"",IF($B230&lt;I$23,I229+PPMT(I$25/12,$B230,I$23,I$53,-I$27,0),IF($B230=I$23,I229+PPMT(I$25/12,$B230,I$23,I$53,-I$27,0)-I$27,0)))</f>
        <v/>
      </c>
      <c r="J230" s="279">
        <f>IF(J$1=0,"",IF($B230&lt;J$23,J229+PPMT(J$25/12,$B230,J$23,J$53,-J$27,0),IF($B230=J$23,J229+PPMT(J$25/12,$B230,J$23,J$53,-J$27,0)-J$27,0)))</f>
        <v/>
      </c>
      <c r="K230" s="279">
        <f>IF(K$1=0,"",IF($B230&lt;K$23,K229+PPMT(K$25/12,$B230,K$23,K$53,-K$27,0),IF($B230=K$23,K229+PPMT(K$25/12,$B230,K$23,K$53,-K$27,0)-K$27,0)))</f>
        <v/>
      </c>
      <c r="L230" s="279">
        <f>IF(L$1=0,"",IF($B230&lt;L$23,L229+PPMT(L$25/12,$B230,L$23,L$53,-L$27,0),IF($B230=L$23,L229+PPMT(L$25/12,$B230,L$23,L$53,-L$27,0)-L$27,0)))</f>
        <v/>
      </c>
      <c r="M230" s="279">
        <f>IF(M$1=0,"",IF($B230&lt;M$23,M229+PPMT(M$25/12,$B230,M$23,M$53,-M$27,0),IF($B230=M$23,M229+PPMT(M$25/12,$B230,M$23,M$53,-M$27,0)-M$27,0)))</f>
        <v/>
      </c>
      <c r="N230" s="280" t="n"/>
      <c r="O230" s="281" t="n"/>
    </row>
    <row r="231" hidden="1" outlineLevel="1">
      <c r="B231" s="2">
        <f>B230+1</f>
        <v/>
      </c>
      <c r="D231" s="279">
        <f>IF(B231&lt;$D$24,(+#REF!/'CALCULETTE (2)'!$B$612),0)</f>
        <v/>
      </c>
      <c r="E231" s="279">
        <f>IF(E$1=0,"",IF($B231&lt;E$23,E230+PPMT(E$25/12,$B231,E$23,E$53,-E$27,0),IF($B231=E$23,E230+PPMT(E$25/12,$B231,E$23,E$53,-E$27,0)-E$27,0)))</f>
        <v/>
      </c>
      <c r="F231" s="279">
        <f>IF(F$1=0,"",IF($B231&lt;F$23,F230+PPMT(F$25/12,$B231,F$23,F$53,-F$27,0),IF($B231=F$23,F230+PPMT(F$25/12,$B231,F$23,F$53,-F$27,0)-F$27,0)))</f>
        <v/>
      </c>
      <c r="G231" s="279">
        <f>IF(G$1=0,"",IF($B231&lt;G$23,G230+PPMT(G$25/12,$B231,G$23,G$53,-G$27,0),IF($B231=G$23,G230+PPMT(G$25/12,$B231,G$23,G$53,-G$27,0)-G$27,0)))</f>
        <v/>
      </c>
      <c r="H231" s="279">
        <f>IF(H$1=0,"",IF($B231&lt;H$23,H230+PPMT(H$25/12,$B231,H$23,H$53,-H$27,0),IF($B231=H$23,H230+PPMT(H$25/12,$B231,H$23,H$53,-H$27,0)-H$27,0)))</f>
        <v/>
      </c>
      <c r="I231" s="279">
        <f>IF(I$1=0,"",IF($B231&lt;I$23,I230+PPMT(I$25/12,$B231,I$23,I$53,-I$27,0),IF($B231=I$23,I230+PPMT(I$25/12,$B231,I$23,I$53,-I$27,0)-I$27,0)))</f>
        <v/>
      </c>
      <c r="J231" s="279">
        <f>IF(J$1=0,"",IF($B231&lt;J$23,J230+PPMT(J$25/12,$B231,J$23,J$53,-J$27,0),IF($B231=J$23,J230+PPMT(J$25/12,$B231,J$23,J$53,-J$27,0)-J$27,0)))</f>
        <v/>
      </c>
      <c r="K231" s="279">
        <f>IF(K$1=0,"",IF($B231&lt;K$23,K230+PPMT(K$25/12,$B231,K$23,K$53,-K$27,0),IF($B231=K$23,K230+PPMT(K$25/12,$B231,K$23,K$53,-K$27,0)-K$27,0)))</f>
        <v/>
      </c>
      <c r="L231" s="279">
        <f>IF(L$1=0,"",IF($B231&lt;L$23,L230+PPMT(L$25/12,$B231,L$23,L$53,-L$27,0),IF($B231=L$23,L230+PPMT(L$25/12,$B231,L$23,L$53,-L$27,0)-L$27,0)))</f>
        <v/>
      </c>
      <c r="M231" s="279">
        <f>IF(M$1=0,"",IF($B231&lt;M$23,M230+PPMT(M$25/12,$B231,M$23,M$53,-M$27,0),IF($B231=M$23,M230+PPMT(M$25/12,$B231,M$23,M$53,-M$27,0)-M$27,0)))</f>
        <v/>
      </c>
      <c r="N231" s="280" t="n"/>
      <c r="O231" s="281" t="n"/>
    </row>
    <row r="232" hidden="1" outlineLevel="1">
      <c r="B232" s="2">
        <f>B231+1</f>
        <v/>
      </c>
      <c r="D232" s="279">
        <f>IF(B232&lt;$D$24,(+#REF!/'CALCULETTE (2)'!$B$612),0)</f>
        <v/>
      </c>
      <c r="E232" s="279">
        <f>IF(E$1=0,"",IF($B232&lt;E$23,E231+PPMT(E$25/12,$B232,E$23,E$53,-E$27,0),IF($B232=E$23,E231+PPMT(E$25/12,$B232,E$23,E$53,-E$27,0)-E$27,0)))</f>
        <v/>
      </c>
      <c r="F232" s="279">
        <f>IF(F$1=0,"",IF($B232&lt;F$23,F231+PPMT(F$25/12,$B232,F$23,F$53,-F$27,0),IF($B232=F$23,F231+PPMT(F$25/12,$B232,F$23,F$53,-F$27,0)-F$27,0)))</f>
        <v/>
      </c>
      <c r="G232" s="279">
        <f>IF(G$1=0,"",IF($B232&lt;G$23,G231+PPMT(G$25/12,$B232,G$23,G$53,-G$27,0),IF($B232=G$23,G231+PPMT(G$25/12,$B232,G$23,G$53,-G$27,0)-G$27,0)))</f>
        <v/>
      </c>
      <c r="H232" s="279">
        <f>IF(H$1=0,"",IF($B232&lt;H$23,H231+PPMT(H$25/12,$B232,H$23,H$53,-H$27,0),IF($B232=H$23,H231+PPMT(H$25/12,$B232,H$23,H$53,-H$27,0)-H$27,0)))</f>
        <v/>
      </c>
      <c r="I232" s="279">
        <f>IF(I$1=0,"",IF($B232&lt;I$23,I231+PPMT(I$25/12,$B232,I$23,I$53,-I$27,0),IF($B232=I$23,I231+PPMT(I$25/12,$B232,I$23,I$53,-I$27,0)-I$27,0)))</f>
        <v/>
      </c>
      <c r="J232" s="279">
        <f>IF(J$1=0,"",IF($B232&lt;J$23,J231+PPMT(J$25/12,$B232,J$23,J$53,-J$27,0),IF($B232=J$23,J231+PPMT(J$25/12,$B232,J$23,J$53,-J$27,0)-J$27,0)))</f>
        <v/>
      </c>
      <c r="K232" s="279">
        <f>IF(K$1=0,"",IF($B232&lt;K$23,K231+PPMT(K$25/12,$B232,K$23,K$53,-K$27,0),IF($B232=K$23,K231+PPMT(K$25/12,$B232,K$23,K$53,-K$27,0)-K$27,0)))</f>
        <v/>
      </c>
      <c r="L232" s="279">
        <f>IF(L$1=0,"",IF($B232&lt;L$23,L231+PPMT(L$25/12,$B232,L$23,L$53,-L$27,0),IF($B232=L$23,L231+PPMT(L$25/12,$B232,L$23,L$53,-L$27,0)-L$27,0)))</f>
        <v/>
      </c>
      <c r="M232" s="279">
        <f>IF(M$1=0,"",IF($B232&lt;M$23,M231+PPMT(M$25/12,$B232,M$23,M$53,-M$27,0),IF($B232=M$23,M231+PPMT(M$25/12,$B232,M$23,M$53,-M$27,0)-M$27,0)))</f>
        <v/>
      </c>
      <c r="N232" s="280" t="n"/>
      <c r="O232" s="281" t="n"/>
    </row>
    <row r="233" hidden="1" outlineLevel="1">
      <c r="D233" s="25" t="n"/>
      <c r="E233" s="25" t="n"/>
      <c r="F233" s="25" t="n"/>
      <c r="G233" s="25" t="n"/>
      <c r="H233" s="25" t="n"/>
      <c r="I233" s="25" t="n"/>
      <c r="J233" s="25" t="n"/>
      <c r="K233" s="25" t="n"/>
      <c r="L233" s="25" t="n"/>
      <c r="M233" s="25" t="n"/>
      <c r="N233" s="280" t="n"/>
    </row>
    <row r="234" hidden="1" outlineLevel="1">
      <c r="B234" s="21" t="inlineStr">
        <is>
          <t>amort tx client</t>
        </is>
      </c>
      <c r="D234" s="25" t="n"/>
      <c r="E234" s="25" t="n"/>
      <c r="F234" s="25" t="n"/>
      <c r="G234" s="25" t="n"/>
      <c r="H234" s="25" t="n"/>
      <c r="I234" s="25" t="n"/>
      <c r="J234" s="25" t="n"/>
      <c r="K234" s="25" t="n"/>
      <c r="L234" s="25" t="n"/>
      <c r="M234" s="25" t="n"/>
      <c r="N234" s="280" t="n"/>
    </row>
    <row r="235" hidden="1" outlineLevel="1">
      <c r="B235" s="2" t="n">
        <v>0</v>
      </c>
      <c r="D235" s="279">
        <f>IF(B235&lt;$D$24,(+'CALCULETTE (2)'!G632/'CALCULETTE (2)'!$B$612),0)</f>
        <v/>
      </c>
      <c r="E235" s="279">
        <f>IF(E$1=0,"",1)</f>
        <v/>
      </c>
      <c r="F235" s="279">
        <f>IF(F$1=0,"",1)</f>
        <v/>
      </c>
      <c r="G235" s="279">
        <f>IF(G$1=0,"",1)</f>
        <v/>
      </c>
      <c r="H235" s="279">
        <f>IF(H$1=0,"",1)</f>
        <v/>
      </c>
      <c r="I235" s="279">
        <f>IF(I$1=0,"",1)</f>
        <v/>
      </c>
      <c r="J235" s="279">
        <f>IF(J$1=0,"",1)</f>
        <v/>
      </c>
      <c r="K235" s="279">
        <f>IF(K$1=0,"",1)</f>
        <v/>
      </c>
      <c r="L235" s="279">
        <f>IF(L$1=0,"",1)</f>
        <v/>
      </c>
      <c r="M235" s="279">
        <f>IF(M$1=0,"",1)</f>
        <v/>
      </c>
      <c r="N235" s="280" t="n"/>
      <c r="O235" s="281" t="n"/>
    </row>
    <row r="236" hidden="1" outlineLevel="1">
      <c r="B236" s="2">
        <f>B235+1</f>
        <v/>
      </c>
      <c r="D236" s="279">
        <f>IF(B236&lt;$D$24,(+'CALCULETTE (2)'!G633/'CALCULETTE (2)'!$B$612),0)</f>
        <v/>
      </c>
      <c r="E236" s="279">
        <f>IF(E$1=0,"",IF($B236&lt;E$23,E235+PPMT(E$26/12,$B236,E$23,E$235,-E$27,0),IF($B236=E$23,E235+PPMT(E$26/12,$B236,E$23,E$235,-E$27,0)-E$27,0)))</f>
        <v/>
      </c>
      <c r="F236" s="279">
        <f>IF(F$1=0,"",IF($B236&lt;F$23,F235+PPMT(F$26/12,$B236,F$23,F$235,-F$27,0),IF($B236=F$23,F235+PPMT(F$26/12,$B236,F$23,F$235,-F$27,0)-F$27,0)))</f>
        <v/>
      </c>
      <c r="G236" s="279">
        <f>IF(G$1=0,"",IF($B236&lt;G$23,G235+PPMT(G$26/12,$B236,G$23,G$235,-G$27,0),IF($B236=G$23,G235+PPMT(G$26/12,$B236,G$23,G$235,-G$27,0)-G$27,0)))</f>
        <v/>
      </c>
      <c r="H236" s="279">
        <f>IF(H$1=0,"",IF($B236&lt;H$23,H235+PPMT(H$26/12,$B236,H$23,H$235,-H$27,0),IF($B236=H$23,H235+PPMT(H$26/12,$B236,H$23,H$235,-H$27,0)-H$27,0)))</f>
        <v/>
      </c>
      <c r="I236" s="279">
        <f>IF(I$1=0,"",IF($B236&lt;I$23,I235+PPMT(I$26/12,$B236,I$23,I$235,-I$27,0),IF($B236=I$23,I235+PPMT(I$26/12,$B236,I$23,I$235,-I$27,0)-I$27,0)))</f>
        <v/>
      </c>
      <c r="J236" s="279">
        <f>IF(J$1=0,"",IF($B236&lt;J$23,J235+PPMT(J$26/12,$B236,J$23,J$235,-J$27,0),IF($B236=J$23,J235+PPMT(J$26/12,$B236,J$23,J$235,-J$27,0)-J$27,0)))</f>
        <v/>
      </c>
      <c r="K236" s="279">
        <f>IF(K$1=0,"",IF($B236&lt;K$23,K235+PPMT(K$26/12,$B236,K$23,K$235,-K$27,0),IF($B236=K$23,K235+PPMT(K$26/12,$B236,K$23,K$235,-K$27,0)-K$27,0)))</f>
        <v/>
      </c>
      <c r="L236" s="279">
        <f>IF(L$1=0,"",IF($B236&lt;L$23,L235+PPMT(L$26/12,$B236,L$23,L$235,-L$27,0),IF($B236=L$23,L235+PPMT(L$26/12,$B236,L$23,L$235,-L$27,0)-L$27,0)))</f>
        <v/>
      </c>
      <c r="M236" s="279">
        <f>IF(M$1=0,"",IF($B236&lt;M$23,M235+PPMT(M$26/12,$B236,M$23,M$235,-M$27,0),IF($B236=M$23,M235+PPMT(M$26/12,$B236,M$23,M$235,-M$27,0)-M$27,0)))</f>
        <v/>
      </c>
      <c r="N236" s="280" t="n"/>
      <c r="O236" s="281" t="n"/>
    </row>
    <row r="237" hidden="1" outlineLevel="1">
      <c r="B237" s="2">
        <f>B236+1</f>
        <v/>
      </c>
      <c r="D237" s="279">
        <f>IF(B237&lt;$D$24,(+'CALCULETTE (2)'!G634/'CALCULETTE (2)'!$B$612),0)</f>
        <v/>
      </c>
      <c r="E237" s="279">
        <f>IF(E$1=0,"",IF($B237&lt;E$23,E236+PPMT(E$26/12,$B237,E$23,E$235,-E$27,0),IF($B237=E$23,E236+PPMT(E$26/12,$B237,E$23,E$235,-E$27,0)-E$27,0)))</f>
        <v/>
      </c>
      <c r="F237" s="279">
        <f>IF(F$1=0,"",IF($B237&lt;F$23,F236+PPMT(F$26/12,$B237,F$23,F$235,-F$27,0),IF($B237=F$23,F236+PPMT(F$26/12,$B237,F$23,F$235,-F$27,0)-F$27,0)))</f>
        <v/>
      </c>
      <c r="G237" s="279">
        <f>IF(G$1=0,"",IF($B237&lt;G$23,G236+PPMT(G$26/12,$B237,G$23,G$235,-G$27,0),IF($B237=G$23,G236+PPMT(G$26/12,$B237,G$23,G$235,-G$27,0)-G$27,0)))</f>
        <v/>
      </c>
      <c r="H237" s="279">
        <f>IF(H$1=0,"",IF($B237&lt;H$23,H236+PPMT(H$26/12,$B237,H$23,H$235,-H$27,0),IF($B237=H$23,H236+PPMT(H$26/12,$B237,H$23,H$235,-H$27,0)-H$27,0)))</f>
        <v/>
      </c>
      <c r="I237" s="279">
        <f>IF(I$1=0,"",IF($B237&lt;I$23,I236+PPMT(I$26/12,$B237,I$23,I$235,-I$27,0),IF($B237=I$23,I236+PPMT(I$26/12,$B237,I$23,I$235,-I$27,0)-I$27,0)))</f>
        <v/>
      </c>
      <c r="J237" s="279">
        <f>IF(J$1=0,"",IF($B237&lt;J$23,J236+PPMT(J$26/12,$B237,J$23,J$235,-J$27,0),IF($B237=J$23,J236+PPMT(J$26/12,$B237,J$23,J$235,-J$27,0)-J$27,0)))</f>
        <v/>
      </c>
      <c r="K237" s="279">
        <f>IF(K$1=0,"",IF($B237&lt;K$23,K236+PPMT(K$26/12,$B237,K$23,K$235,-K$27,0),IF($B237=K$23,K236+PPMT(K$26/12,$B237,K$23,K$235,-K$27,0)-K$27,0)))</f>
        <v/>
      </c>
      <c r="L237" s="279">
        <f>IF(L$1=0,"",IF($B237&lt;L$23,L236+PPMT(L$26/12,$B237,L$23,L$235,-L$27,0),IF($B237=L$23,L236+PPMT(L$26/12,$B237,L$23,L$235,-L$27,0)-L$27,0)))</f>
        <v/>
      </c>
      <c r="M237" s="279">
        <f>IF(M$1=0,"",IF($B237&lt;M$23,M236+PPMT(M$26/12,$B237,M$23,M$235,-M$27,0),IF($B237=M$23,M236+PPMT(M$26/12,$B237,M$23,M$235,-M$27,0)-M$27,0)))</f>
        <v/>
      </c>
      <c r="N237" s="280" t="n"/>
      <c r="O237" s="281" t="n"/>
    </row>
    <row r="238" hidden="1" outlineLevel="1">
      <c r="B238" s="2">
        <f>B237+1</f>
        <v/>
      </c>
      <c r="D238" s="279">
        <f>IF(B238&lt;$D$24,(+'CALCULETTE (2)'!G635/'CALCULETTE (2)'!$B$612),0)</f>
        <v/>
      </c>
      <c r="E238" s="279">
        <f>IF(E$1=0,"",IF($B238&lt;E$23,E237+PPMT(E$26/12,$B238,E$23,E$235,-E$27,0),IF($B238=E$23,E237+PPMT(E$26/12,$B238,E$23,E$235,-E$27,0)-E$27,0)))</f>
        <v/>
      </c>
      <c r="F238" s="279">
        <f>IF(F$1=0,"",IF($B238&lt;F$23,F237+PPMT(F$26/12,$B238,F$23,F$235,-F$27,0),IF($B238=F$23,F237+PPMT(F$26/12,$B238,F$23,F$235,-F$27,0)-F$27,0)))</f>
        <v/>
      </c>
      <c r="G238" s="279">
        <f>IF(G$1=0,"",IF($B238&lt;G$23,G237+PPMT(G$26/12,$B238,G$23,G$235,-G$27,0),IF($B238=G$23,G237+PPMT(G$26/12,$B238,G$23,G$235,-G$27,0)-G$27,0)))</f>
        <v/>
      </c>
      <c r="H238" s="279">
        <f>IF(H$1=0,"",IF($B238&lt;H$23,H237+PPMT(H$26/12,$B238,H$23,H$235,-H$27,0),IF($B238=H$23,H237+PPMT(H$26/12,$B238,H$23,H$235,-H$27,0)-H$27,0)))</f>
        <v/>
      </c>
      <c r="I238" s="279">
        <f>IF(I$1=0,"",IF($B238&lt;I$23,I237+PPMT(I$26/12,$B238,I$23,I$235,-I$27,0),IF($B238=I$23,I237+PPMT(I$26/12,$B238,I$23,I$235,-I$27,0)-I$27,0)))</f>
        <v/>
      </c>
      <c r="J238" s="279">
        <f>IF(J$1=0,"",IF($B238&lt;J$23,J237+PPMT(J$26/12,$B238,J$23,J$235,-J$27,0),IF($B238=J$23,J237+PPMT(J$26/12,$B238,J$23,J$235,-J$27,0)-J$27,0)))</f>
        <v/>
      </c>
      <c r="K238" s="279">
        <f>IF(K$1=0,"",IF($B238&lt;K$23,K237+PPMT(K$26/12,$B238,K$23,K$235,-K$27,0),IF($B238=K$23,K237+PPMT(K$26/12,$B238,K$23,K$235,-K$27,0)-K$27,0)))</f>
        <v/>
      </c>
      <c r="L238" s="279">
        <f>IF(L$1=0,"",IF($B238&lt;L$23,L237+PPMT(L$26/12,$B238,L$23,L$235,-L$27,0),IF($B238=L$23,L237+PPMT(L$26/12,$B238,L$23,L$235,-L$27,0)-L$27,0)))</f>
        <v/>
      </c>
      <c r="M238" s="279">
        <f>IF(M$1=0,"",IF($B238&lt;M$23,M237+PPMT(M$26/12,$B238,M$23,M$235,-M$27,0),IF($B238=M$23,M237+PPMT(M$26/12,$B238,M$23,M$235,-M$27,0)-M$27,0)))</f>
        <v/>
      </c>
      <c r="N238" s="280" t="n"/>
      <c r="O238" s="281" t="n"/>
    </row>
    <row r="239" hidden="1" outlineLevel="1">
      <c r="B239" s="2">
        <f>B238+1</f>
        <v/>
      </c>
      <c r="D239" s="279">
        <f>IF(B239&lt;$D$24,(+'CALCULETTE (2)'!G636/'CALCULETTE (2)'!$B$612),0)</f>
        <v/>
      </c>
      <c r="E239" s="279">
        <f>IF(E$1=0,"",IF($B239&lt;E$23,E238+PPMT(E$26/12,$B239,E$23,E$235,-E$27,0),IF($B239=E$23,E238+PPMT(E$26/12,$B239,E$23,E$235,-E$27,0)-E$27,0)))</f>
        <v/>
      </c>
      <c r="F239" s="279">
        <f>IF(F$1=0,"",IF($B239&lt;F$23,F238+PPMT(F$26/12,$B239,F$23,F$235,-F$27,0),IF($B239=F$23,F238+PPMT(F$26/12,$B239,F$23,F$235,-F$27,0)-F$27,0)))</f>
        <v/>
      </c>
      <c r="G239" s="279">
        <f>IF(G$1=0,"",IF($B239&lt;G$23,G238+PPMT(G$26/12,$B239,G$23,G$235,-G$27,0),IF($B239=G$23,G238+PPMT(G$26/12,$B239,G$23,G$235,-G$27,0)-G$27,0)))</f>
        <v/>
      </c>
      <c r="H239" s="279">
        <f>IF(H$1=0,"",IF($B239&lt;H$23,H238+PPMT(H$26/12,$B239,H$23,H$235,-H$27,0),IF($B239=H$23,H238+PPMT(H$26/12,$B239,H$23,H$235,-H$27,0)-H$27,0)))</f>
        <v/>
      </c>
      <c r="I239" s="279">
        <f>IF(I$1=0,"",IF($B239&lt;I$23,I238+PPMT(I$26/12,$B239,I$23,I$235,-I$27,0),IF($B239=I$23,I238+PPMT(I$26/12,$B239,I$23,I$235,-I$27,0)-I$27,0)))</f>
        <v/>
      </c>
      <c r="J239" s="279">
        <f>IF(J$1=0,"",IF($B239&lt;J$23,J238+PPMT(J$26/12,$B239,J$23,J$235,-J$27,0),IF($B239=J$23,J238+PPMT(J$26/12,$B239,J$23,J$235,-J$27,0)-J$27,0)))</f>
        <v/>
      </c>
      <c r="K239" s="279">
        <f>IF(K$1=0,"",IF($B239&lt;K$23,K238+PPMT(K$26/12,$B239,K$23,K$235,-K$27,0),IF($B239=K$23,K238+PPMT(K$26/12,$B239,K$23,K$235,-K$27,0)-K$27,0)))</f>
        <v/>
      </c>
      <c r="L239" s="279">
        <f>IF(L$1=0,"",IF($B239&lt;L$23,L238+PPMT(L$26/12,$B239,L$23,L$235,-L$27,0),IF($B239=L$23,L238+PPMT(L$26/12,$B239,L$23,L$235,-L$27,0)-L$27,0)))</f>
        <v/>
      </c>
      <c r="M239" s="279">
        <f>IF(M$1=0,"",IF($B239&lt;M$23,M238+PPMT(M$26/12,$B239,M$23,M$235,-M$27,0),IF($B239=M$23,M238+PPMT(M$26/12,$B239,M$23,M$235,-M$27,0)-M$27,0)))</f>
        <v/>
      </c>
      <c r="N239" s="280" t="n"/>
      <c r="O239" s="281" t="n"/>
    </row>
    <row r="240" hidden="1" outlineLevel="1">
      <c r="B240" s="2">
        <f>B239+1</f>
        <v/>
      </c>
      <c r="D240" s="279">
        <f>IF(B240&lt;$D$24,(+'CALCULETTE (2)'!G637/'CALCULETTE (2)'!$B$612),0)</f>
        <v/>
      </c>
      <c r="E240" s="279">
        <f>IF(E$1=0,"",IF($B240&lt;E$23,E239+PPMT(E$26/12,$B240,E$23,E$235,-E$27,0),IF($B240=E$23,E239+PPMT(E$26/12,$B240,E$23,E$235,-E$27,0)-E$27,0)))</f>
        <v/>
      </c>
      <c r="F240" s="279">
        <f>IF(F$1=0,"",IF($B240&lt;F$23,F239+PPMT(F$26/12,$B240,F$23,F$235,-F$27,0),IF($B240=F$23,F239+PPMT(F$26/12,$B240,F$23,F$235,-F$27,0)-F$27,0)))</f>
        <v/>
      </c>
      <c r="G240" s="279">
        <f>IF(G$1=0,"",IF($B240&lt;G$23,G239+PPMT(G$26/12,$B240,G$23,G$235,-G$27,0),IF($B240=G$23,G239+PPMT(G$26/12,$B240,G$23,G$235,-G$27,0)-G$27,0)))</f>
        <v/>
      </c>
      <c r="H240" s="279">
        <f>IF(H$1=0,"",IF($B240&lt;H$23,H239+PPMT(H$26/12,$B240,H$23,H$235,-H$27,0),IF($B240=H$23,H239+PPMT(H$26/12,$B240,H$23,H$235,-H$27,0)-H$27,0)))</f>
        <v/>
      </c>
      <c r="I240" s="279">
        <f>IF(I$1=0,"",IF($B240&lt;I$23,I239+PPMT(I$26/12,$B240,I$23,I$235,-I$27,0),IF($B240=I$23,I239+PPMT(I$26/12,$B240,I$23,I$235,-I$27,0)-I$27,0)))</f>
        <v/>
      </c>
      <c r="J240" s="279">
        <f>IF(J$1=0,"",IF($B240&lt;J$23,J239+PPMT(J$26/12,$B240,J$23,J$235,-J$27,0),IF($B240=J$23,J239+PPMT(J$26/12,$B240,J$23,J$235,-J$27,0)-J$27,0)))</f>
        <v/>
      </c>
      <c r="K240" s="279">
        <f>IF(K$1=0,"",IF($B240&lt;K$23,K239+PPMT(K$26/12,$B240,K$23,K$235,-K$27,0),IF($B240=K$23,K239+PPMT(K$26/12,$B240,K$23,K$235,-K$27,0)-K$27,0)))</f>
        <v/>
      </c>
      <c r="L240" s="279">
        <f>IF(L$1=0,"",IF($B240&lt;L$23,L239+PPMT(L$26/12,$B240,L$23,L$235,-L$27,0),IF($B240=L$23,L239+PPMT(L$26/12,$B240,L$23,L$235,-L$27,0)-L$27,0)))</f>
        <v/>
      </c>
      <c r="M240" s="279">
        <f>IF(M$1=0,"",IF($B240&lt;M$23,M239+PPMT(M$26/12,$B240,M$23,M$235,-M$27,0),IF($B240=M$23,M239+PPMT(M$26/12,$B240,M$23,M$235,-M$27,0)-M$27,0)))</f>
        <v/>
      </c>
      <c r="N240" s="280" t="n"/>
      <c r="O240" s="281" t="n"/>
    </row>
    <row r="241" hidden="1" outlineLevel="1">
      <c r="B241" s="2">
        <f>B240+1</f>
        <v/>
      </c>
      <c r="D241" s="279">
        <f>IF(B241&lt;$D$24,(+'CALCULETTE (2)'!G638/'CALCULETTE (2)'!$B$612),0)</f>
        <v/>
      </c>
      <c r="E241" s="279">
        <f>IF(E$1=0,"",IF($B241&lt;E$23,E240+PPMT(E$26/12,$B241,E$23,E$235,-E$27,0),IF($B241=E$23,E240+PPMT(E$26/12,$B241,E$23,E$235,-E$27,0)-E$27,0)))</f>
        <v/>
      </c>
      <c r="F241" s="279">
        <f>IF(F$1=0,"",IF($B241&lt;F$23,F240+PPMT(F$26/12,$B241,F$23,F$235,-F$27,0),IF($B241=F$23,F240+PPMT(F$26/12,$B241,F$23,F$235,-F$27,0)-F$27,0)))</f>
        <v/>
      </c>
      <c r="G241" s="279">
        <f>IF(G$1=0,"",IF($B241&lt;G$23,G240+PPMT(G$26/12,$B241,G$23,G$235,-G$27,0),IF($B241=G$23,G240+PPMT(G$26/12,$B241,G$23,G$235,-G$27,0)-G$27,0)))</f>
        <v/>
      </c>
      <c r="H241" s="279">
        <f>IF(H$1=0,"",IF($B241&lt;H$23,H240+PPMT(H$26/12,$B241,H$23,H$235,-H$27,0),IF($B241=H$23,H240+PPMT(H$26/12,$B241,H$23,H$235,-H$27,0)-H$27,0)))</f>
        <v/>
      </c>
      <c r="I241" s="279">
        <f>IF(I$1=0,"",IF($B241&lt;I$23,I240+PPMT(I$26/12,$B241,I$23,I$235,-I$27,0),IF($B241=I$23,I240+PPMT(I$26/12,$B241,I$23,I$235,-I$27,0)-I$27,0)))</f>
        <v/>
      </c>
      <c r="J241" s="279">
        <f>IF(J$1=0,"",IF($B241&lt;J$23,J240+PPMT(J$26/12,$B241,J$23,J$235,-J$27,0),IF($B241=J$23,J240+PPMT(J$26/12,$B241,J$23,J$235,-J$27,0)-J$27,0)))</f>
        <v/>
      </c>
      <c r="K241" s="279">
        <f>IF(K$1=0,"",IF($B241&lt;K$23,K240+PPMT(K$26/12,$B241,K$23,K$235,-K$27,0),IF($B241=K$23,K240+PPMT(K$26/12,$B241,K$23,K$235,-K$27,0)-K$27,0)))</f>
        <v/>
      </c>
      <c r="L241" s="279">
        <f>IF(L$1=0,"",IF($B241&lt;L$23,L240+PPMT(L$26/12,$B241,L$23,L$235,-L$27,0),IF($B241=L$23,L240+PPMT(L$26/12,$B241,L$23,L$235,-L$27,0)-L$27,0)))</f>
        <v/>
      </c>
      <c r="M241" s="279">
        <f>IF(M$1=0,"",IF($B241&lt;M$23,M240+PPMT(M$26/12,$B241,M$23,M$235,-M$27,0),IF($B241=M$23,M240+PPMT(M$26/12,$B241,M$23,M$235,-M$27,0)-M$27,0)))</f>
        <v/>
      </c>
      <c r="N241" s="280" t="n"/>
      <c r="O241" s="281" t="n"/>
    </row>
    <row r="242" hidden="1" outlineLevel="1">
      <c r="B242" s="2">
        <f>B241+1</f>
        <v/>
      </c>
      <c r="D242" s="279">
        <f>IF(B242&lt;$D$24,(+'CALCULETTE (2)'!G639/'CALCULETTE (2)'!$B$612),0)</f>
        <v/>
      </c>
      <c r="E242" s="279">
        <f>IF(E$1=0,"",IF($B242&lt;E$23,E241+PPMT(E$26/12,$B242,E$23,E$235,-E$27,0),IF($B242=E$23,E241+PPMT(E$26/12,$B242,E$23,E$235,-E$27,0)-E$27,0)))</f>
        <v/>
      </c>
      <c r="F242" s="279">
        <f>IF(F$1=0,"",IF($B242&lt;F$23,F241+PPMT(F$26/12,$B242,F$23,F$235,-F$27,0),IF($B242=F$23,F241+PPMT(F$26/12,$B242,F$23,F$235,-F$27,0)-F$27,0)))</f>
        <v/>
      </c>
      <c r="G242" s="279">
        <f>IF(G$1=0,"",IF($B242&lt;G$23,G241+PPMT(G$26/12,$B242,G$23,G$235,-G$27,0),IF($B242=G$23,G241+PPMT(G$26/12,$B242,G$23,G$235,-G$27,0)-G$27,0)))</f>
        <v/>
      </c>
      <c r="H242" s="279">
        <f>IF(H$1=0,"",IF($B242&lt;H$23,H241+PPMT(H$26/12,$B242,H$23,H$235,-H$27,0),IF($B242=H$23,H241+PPMT(H$26/12,$B242,H$23,H$235,-H$27,0)-H$27,0)))</f>
        <v/>
      </c>
      <c r="I242" s="279">
        <f>IF(I$1=0,"",IF($B242&lt;I$23,I241+PPMT(I$26/12,$B242,I$23,I$235,-I$27,0),IF($B242=I$23,I241+PPMT(I$26/12,$B242,I$23,I$235,-I$27,0)-I$27,0)))</f>
        <v/>
      </c>
      <c r="J242" s="279">
        <f>IF(J$1=0,"",IF($B242&lt;J$23,J241+PPMT(J$26/12,$B242,J$23,J$235,-J$27,0),IF($B242=J$23,J241+PPMT(J$26/12,$B242,J$23,J$235,-J$27,0)-J$27,0)))</f>
        <v/>
      </c>
      <c r="K242" s="279">
        <f>IF(K$1=0,"",IF($B242&lt;K$23,K241+PPMT(K$26/12,$B242,K$23,K$235,-K$27,0),IF($B242=K$23,K241+PPMT(K$26/12,$B242,K$23,K$235,-K$27,0)-K$27,0)))</f>
        <v/>
      </c>
      <c r="L242" s="279">
        <f>IF(L$1=0,"",IF($B242&lt;L$23,L241+PPMT(L$26/12,$B242,L$23,L$235,-L$27,0),IF($B242=L$23,L241+PPMT(L$26/12,$B242,L$23,L$235,-L$27,0)-L$27,0)))</f>
        <v/>
      </c>
      <c r="M242" s="279">
        <f>IF(M$1=0,"",IF($B242&lt;M$23,M241+PPMT(M$26/12,$B242,M$23,M$235,-M$27,0),IF($B242=M$23,M241+PPMT(M$26/12,$B242,M$23,M$235,-M$27,0)-M$27,0)))</f>
        <v/>
      </c>
      <c r="N242" s="280" t="n"/>
      <c r="O242" s="281" t="n"/>
    </row>
    <row r="243" hidden="1" outlineLevel="1">
      <c r="B243" s="2">
        <f>B242+1</f>
        <v/>
      </c>
      <c r="D243" s="279">
        <f>IF(B243&lt;$D$24,(+'CALCULETTE (2)'!G640/'CALCULETTE (2)'!$B$612),0)</f>
        <v/>
      </c>
      <c r="E243" s="279">
        <f>IF(E$1=0,"",IF($B243&lt;E$23,E242+PPMT(E$26/12,$B243,E$23,E$235,-E$27,0),IF($B243=E$23,E242+PPMT(E$26/12,$B243,E$23,E$235,-E$27,0)-E$27,0)))</f>
        <v/>
      </c>
      <c r="F243" s="279">
        <f>IF(F$1=0,"",IF($B243&lt;F$23,F242+PPMT(F$26/12,$B243,F$23,F$235,-F$27,0),IF($B243=F$23,F242+PPMT(F$26/12,$B243,F$23,F$235,-F$27,0)-F$27,0)))</f>
        <v/>
      </c>
      <c r="G243" s="279">
        <f>IF(G$1=0,"",IF($B243&lt;G$23,G242+PPMT(G$26/12,$B243,G$23,G$235,-G$27,0),IF($B243=G$23,G242+PPMT(G$26/12,$B243,G$23,G$235,-G$27,0)-G$27,0)))</f>
        <v/>
      </c>
      <c r="H243" s="279">
        <f>IF(H$1=0,"",IF($B243&lt;H$23,H242+PPMT(H$26/12,$B243,H$23,H$235,-H$27,0),IF($B243=H$23,H242+PPMT(H$26/12,$B243,H$23,H$235,-H$27,0)-H$27,0)))</f>
        <v/>
      </c>
      <c r="I243" s="279">
        <f>IF(I$1=0,"",IF($B243&lt;I$23,I242+PPMT(I$26/12,$B243,I$23,I$235,-I$27,0),IF($B243=I$23,I242+PPMT(I$26/12,$B243,I$23,I$235,-I$27,0)-I$27,0)))</f>
        <v/>
      </c>
      <c r="J243" s="279">
        <f>IF(J$1=0,"",IF($B243&lt;J$23,J242+PPMT(J$26/12,$B243,J$23,J$235,-J$27,0),IF($B243=J$23,J242+PPMT(J$26/12,$B243,J$23,J$235,-J$27,0)-J$27,0)))</f>
        <v/>
      </c>
      <c r="K243" s="279">
        <f>IF(K$1=0,"",IF($B243&lt;K$23,K242+PPMT(K$26/12,$B243,K$23,K$235,-K$27,0),IF($B243=K$23,K242+PPMT(K$26/12,$B243,K$23,K$235,-K$27,0)-K$27,0)))</f>
        <v/>
      </c>
      <c r="L243" s="279">
        <f>IF(L$1=0,"",IF($B243&lt;L$23,L242+PPMT(L$26/12,$B243,L$23,L$235,-L$27,0),IF($B243=L$23,L242+PPMT(L$26/12,$B243,L$23,L$235,-L$27,0)-L$27,0)))</f>
        <v/>
      </c>
      <c r="M243" s="279">
        <f>IF(M$1=0,"",IF($B243&lt;M$23,M242+PPMT(M$26/12,$B243,M$23,M$235,-M$27,0),IF($B243=M$23,M242+PPMT(M$26/12,$B243,M$23,M$235,-M$27,0)-M$27,0)))</f>
        <v/>
      </c>
      <c r="N243" s="280" t="n"/>
      <c r="O243" s="281" t="n"/>
    </row>
    <row r="244" hidden="1" outlineLevel="1">
      <c r="B244" s="2">
        <f>B243+1</f>
        <v/>
      </c>
      <c r="D244" s="279">
        <f>IF(B244&lt;$D$24,(+'CALCULETTE (2)'!G641/'CALCULETTE (2)'!$B$612),0)</f>
        <v/>
      </c>
      <c r="E244" s="279">
        <f>IF(E$1=0,"",IF($B244&lt;E$23,E243+PPMT(E$26/12,$B244,E$23,E$235,-E$27,0),IF($B244=E$23,E243+PPMT(E$26/12,$B244,E$23,E$235,-E$27,0)-E$27,0)))</f>
        <v/>
      </c>
      <c r="F244" s="279">
        <f>IF(F$1=0,"",IF($B244&lt;F$23,F243+PPMT(F$26/12,$B244,F$23,F$235,-F$27,0),IF($B244=F$23,F243+PPMT(F$26/12,$B244,F$23,F$235,-F$27,0)-F$27,0)))</f>
        <v/>
      </c>
      <c r="G244" s="279">
        <f>IF(G$1=0,"",IF($B244&lt;G$23,G243+PPMT(G$26/12,$B244,G$23,G$235,-G$27,0),IF($B244=G$23,G243+PPMT(G$26/12,$B244,G$23,G$235,-G$27,0)-G$27,0)))</f>
        <v/>
      </c>
      <c r="H244" s="279">
        <f>IF(H$1=0,"",IF($B244&lt;H$23,H243+PPMT(H$26/12,$B244,H$23,H$235,-H$27,0),IF($B244=H$23,H243+PPMT(H$26/12,$B244,H$23,H$235,-H$27,0)-H$27,0)))</f>
        <v/>
      </c>
      <c r="I244" s="279">
        <f>IF(I$1=0,"",IF($B244&lt;I$23,I243+PPMT(I$26/12,$B244,I$23,I$235,-I$27,0),IF($B244=I$23,I243+PPMT(I$26/12,$B244,I$23,I$235,-I$27,0)-I$27,0)))</f>
        <v/>
      </c>
      <c r="J244" s="279">
        <f>IF(J$1=0,"",IF($B244&lt;J$23,J243+PPMT(J$26/12,$B244,J$23,J$235,-J$27,0),IF($B244=J$23,J243+PPMT(J$26/12,$B244,J$23,J$235,-J$27,0)-J$27,0)))</f>
        <v/>
      </c>
      <c r="K244" s="279">
        <f>IF(K$1=0,"",IF($B244&lt;K$23,K243+PPMT(K$26/12,$B244,K$23,K$235,-K$27,0),IF($B244=K$23,K243+PPMT(K$26/12,$B244,K$23,K$235,-K$27,0)-K$27,0)))</f>
        <v/>
      </c>
      <c r="L244" s="279">
        <f>IF(L$1=0,"",IF($B244&lt;L$23,L243+PPMT(L$26/12,$B244,L$23,L$235,-L$27,0),IF($B244=L$23,L243+PPMT(L$26/12,$B244,L$23,L$235,-L$27,0)-L$27,0)))</f>
        <v/>
      </c>
      <c r="M244" s="279">
        <f>IF(M$1=0,"",IF($B244&lt;M$23,M243+PPMT(M$26/12,$B244,M$23,M$235,-M$27,0),IF($B244=M$23,M243+PPMT(M$26/12,$B244,M$23,M$235,-M$27,0)-M$27,0)))</f>
        <v/>
      </c>
      <c r="N244" s="280" t="n"/>
      <c r="O244" s="281" t="n"/>
    </row>
    <row r="245" hidden="1" outlineLevel="1">
      <c r="B245" s="2">
        <f>B244+1</f>
        <v/>
      </c>
      <c r="D245" s="279">
        <f>IF(B245&lt;$D$24,(+'CALCULETTE (2)'!G642/'CALCULETTE (2)'!$B$612),0)</f>
        <v/>
      </c>
      <c r="E245" s="279">
        <f>IF(E$1=0,"",IF($B245&lt;E$23,E244+PPMT(E$26/12,$B245,E$23,E$235,-E$27,0),IF($B245=E$23,E244+PPMT(E$26/12,$B245,E$23,E$235,-E$27,0)-E$27,0)))</f>
        <v/>
      </c>
      <c r="F245" s="279">
        <f>IF(F$1=0,"",IF($B245&lt;F$23,F244+PPMT(F$26/12,$B245,F$23,F$235,-F$27,0),IF($B245=F$23,F244+PPMT(F$26/12,$B245,F$23,F$235,-F$27,0)-F$27,0)))</f>
        <v/>
      </c>
      <c r="G245" s="279">
        <f>IF(G$1=0,"",IF($B245&lt;G$23,G244+PPMT(G$26/12,$B245,G$23,G$235,-G$27,0),IF($B245=G$23,G244+PPMT(G$26/12,$B245,G$23,G$235,-G$27,0)-G$27,0)))</f>
        <v/>
      </c>
      <c r="H245" s="279">
        <f>IF(H$1=0,"",IF($B245&lt;H$23,H244+PPMT(H$26/12,$B245,H$23,H$235,-H$27,0),IF($B245=H$23,H244+PPMT(H$26/12,$B245,H$23,H$235,-H$27,0)-H$27,0)))</f>
        <v/>
      </c>
      <c r="I245" s="279">
        <f>IF(I$1=0,"",IF($B245&lt;I$23,I244+PPMT(I$26/12,$B245,I$23,I$235,-I$27,0),IF($B245=I$23,I244+PPMT(I$26/12,$B245,I$23,I$235,-I$27,0)-I$27,0)))</f>
        <v/>
      </c>
      <c r="J245" s="279">
        <f>IF(J$1=0,"",IF($B245&lt;J$23,J244+PPMT(J$26/12,$B245,J$23,J$235,-J$27,0),IF($B245=J$23,J244+PPMT(J$26/12,$B245,J$23,J$235,-J$27,0)-J$27,0)))</f>
        <v/>
      </c>
      <c r="K245" s="279">
        <f>IF(K$1=0,"",IF($B245&lt;K$23,K244+PPMT(K$26/12,$B245,K$23,K$235,-K$27,0),IF($B245=K$23,K244+PPMT(K$26/12,$B245,K$23,K$235,-K$27,0)-K$27,0)))</f>
        <v/>
      </c>
      <c r="L245" s="279">
        <f>IF(L$1=0,"",IF($B245&lt;L$23,L244+PPMT(L$26/12,$B245,L$23,L$235,-L$27,0),IF($B245=L$23,L244+PPMT(L$26/12,$B245,L$23,L$235,-L$27,0)-L$27,0)))</f>
        <v/>
      </c>
      <c r="M245" s="279">
        <f>IF(M$1=0,"",IF($B245&lt;M$23,M244+PPMT(M$26/12,$B245,M$23,M$235,-M$27,0),IF($B245=M$23,M244+PPMT(M$26/12,$B245,M$23,M$235,-M$27,0)-M$27,0)))</f>
        <v/>
      </c>
      <c r="N245" s="280" t="n"/>
      <c r="O245" s="281" t="n"/>
    </row>
    <row r="246" hidden="1" outlineLevel="1">
      <c r="B246" s="2">
        <f>B245+1</f>
        <v/>
      </c>
      <c r="D246" s="279">
        <f>IF(B246&lt;$D$24,(+'CALCULETTE (2)'!G643/'CALCULETTE (2)'!$B$612),0)</f>
        <v/>
      </c>
      <c r="E246" s="279">
        <f>IF(E$1=0,"",IF($B246&lt;E$23,E245+PPMT(E$26/12,$B246,E$23,E$235,-E$27,0),IF($B246=E$23,E245+PPMT(E$26/12,$B246,E$23,E$235,-E$27,0)-E$27,0)))</f>
        <v/>
      </c>
      <c r="F246" s="279">
        <f>IF(F$1=0,"",IF($B246&lt;F$23,F245+PPMT(F$26/12,$B246,F$23,F$235,-F$27,0),IF($B246=F$23,F245+PPMT(F$26/12,$B246,F$23,F$235,-F$27,0)-F$27,0)))</f>
        <v/>
      </c>
      <c r="G246" s="279">
        <f>IF(G$1=0,"",IF($B246&lt;G$23,G245+PPMT(G$26/12,$B246,G$23,G$235,-G$27,0),IF($B246=G$23,G245+PPMT(G$26/12,$B246,G$23,G$235,-G$27,0)-G$27,0)))</f>
        <v/>
      </c>
      <c r="H246" s="279">
        <f>IF(H$1=0,"",IF($B246&lt;H$23,H245+PPMT(H$26/12,$B246,H$23,H$235,-H$27,0),IF($B246=H$23,H245+PPMT(H$26/12,$B246,H$23,H$235,-H$27,0)-H$27,0)))</f>
        <v/>
      </c>
      <c r="I246" s="279">
        <f>IF(I$1=0,"",IF($B246&lt;I$23,I245+PPMT(I$26/12,$B246,I$23,I$235,-I$27,0),IF($B246=I$23,I245+PPMT(I$26/12,$B246,I$23,I$235,-I$27,0)-I$27,0)))</f>
        <v/>
      </c>
      <c r="J246" s="279">
        <f>IF(J$1=0,"",IF($B246&lt;J$23,J245+PPMT(J$26/12,$B246,J$23,J$235,-J$27,0),IF($B246=J$23,J245+PPMT(J$26/12,$B246,J$23,J$235,-J$27,0)-J$27,0)))</f>
        <v/>
      </c>
      <c r="K246" s="279">
        <f>IF(K$1=0,"",IF($B246&lt;K$23,K245+PPMT(K$26/12,$B246,K$23,K$235,-K$27,0),IF($B246=K$23,K245+PPMT(K$26/12,$B246,K$23,K$235,-K$27,0)-K$27,0)))</f>
        <v/>
      </c>
      <c r="L246" s="279">
        <f>IF(L$1=0,"",IF($B246&lt;L$23,L245+PPMT(L$26/12,$B246,L$23,L$235,-L$27,0),IF($B246=L$23,L245+PPMT(L$26/12,$B246,L$23,L$235,-L$27,0)-L$27,0)))</f>
        <v/>
      </c>
      <c r="M246" s="279">
        <f>IF(M$1=0,"",IF($B246&lt;M$23,M245+PPMT(M$26/12,$B246,M$23,M$235,-M$27,0),IF($B246=M$23,M245+PPMT(M$26/12,$B246,M$23,M$235,-M$27,0)-M$27,0)))</f>
        <v/>
      </c>
      <c r="N246" s="280" t="n"/>
      <c r="O246" s="281" t="n"/>
    </row>
    <row r="247" hidden="1" outlineLevel="1">
      <c r="B247" s="2">
        <f>B246+1</f>
        <v/>
      </c>
      <c r="D247" s="279">
        <f>IF(B247&lt;$D$24,(+'CALCULETTE (2)'!G644/'CALCULETTE (2)'!$B$612),0)</f>
        <v/>
      </c>
      <c r="E247" s="279">
        <f>IF(E$1=0,"",IF($B247&lt;E$23,E246+PPMT(E$26/12,$B247,E$23,E$235,-E$27,0),IF($B247=E$23,E246+PPMT(E$26/12,$B247,E$23,E$235,-E$27,0)-E$27,0)))</f>
        <v/>
      </c>
      <c r="F247" s="279">
        <f>IF(F$1=0,"",IF($B247&lt;F$23,F246+PPMT(F$26/12,$B247,F$23,F$235,-F$27,0),IF($B247=F$23,F246+PPMT(F$26/12,$B247,F$23,F$235,-F$27,0)-F$27,0)))</f>
        <v/>
      </c>
      <c r="G247" s="279">
        <f>IF(G$1=0,"",IF($B247&lt;G$23,G246+PPMT(G$26/12,$B247,G$23,G$235,-G$27,0),IF($B247=G$23,G246+PPMT(G$26/12,$B247,G$23,G$235,-G$27,0)-G$27,0)))</f>
        <v/>
      </c>
      <c r="H247" s="279">
        <f>IF(H$1=0,"",IF($B247&lt;H$23,H246+PPMT(H$26/12,$B247,H$23,H$235,-H$27,0),IF($B247=H$23,H246+PPMT(H$26/12,$B247,H$23,H$235,-H$27,0)-H$27,0)))</f>
        <v/>
      </c>
      <c r="I247" s="279">
        <f>IF(I$1=0,"",IF($B247&lt;I$23,I246+PPMT(I$26/12,$B247,I$23,I$235,-I$27,0),IF($B247=I$23,I246+PPMT(I$26/12,$B247,I$23,I$235,-I$27,0)-I$27,0)))</f>
        <v/>
      </c>
      <c r="J247" s="279">
        <f>IF(J$1=0,"",IF($B247&lt;J$23,J246+PPMT(J$26/12,$B247,J$23,J$235,-J$27,0),IF($B247=J$23,J246+PPMT(J$26/12,$B247,J$23,J$235,-J$27,0)-J$27,0)))</f>
        <v/>
      </c>
      <c r="K247" s="279">
        <f>IF(K$1=0,"",IF($B247&lt;K$23,K246+PPMT(K$26/12,$B247,K$23,K$235,-K$27,0),IF($B247=K$23,K246+PPMT(K$26/12,$B247,K$23,K$235,-K$27,0)-K$27,0)))</f>
        <v/>
      </c>
      <c r="L247" s="279">
        <f>IF(L$1=0,"",IF($B247&lt;L$23,L246+PPMT(L$26/12,$B247,L$23,L$235,-L$27,0),IF($B247=L$23,L246+PPMT(L$26/12,$B247,L$23,L$235,-L$27,0)-L$27,0)))</f>
        <v/>
      </c>
      <c r="M247" s="279">
        <f>IF(M$1=0,"",IF($B247&lt;M$23,M246+PPMT(M$26/12,$B247,M$23,M$235,-M$27,0),IF($B247=M$23,M246+PPMT(M$26/12,$B247,M$23,M$235,-M$27,0)-M$27,0)))</f>
        <v/>
      </c>
      <c r="N247" s="280" t="n"/>
      <c r="O247" s="281" t="n"/>
    </row>
    <row r="248" hidden="1" outlineLevel="1">
      <c r="B248" s="2">
        <f>B247+1</f>
        <v/>
      </c>
      <c r="D248" s="279">
        <f>IF(B248&lt;$D$24,(+'CALCULETTE (2)'!G645/'CALCULETTE (2)'!$B$612),0)</f>
        <v/>
      </c>
      <c r="E248" s="279">
        <f>IF(E$1=0,"",IF($B248&lt;E$23,E247+PPMT(E$26/12,$B248,E$23,E$235,-E$27,0),IF($B248=E$23,E247+PPMT(E$26/12,$B248,E$23,E$235,-E$27,0)-E$27,0)))</f>
        <v/>
      </c>
      <c r="F248" s="279">
        <f>IF(F$1=0,"",IF($B248&lt;F$23,F247+PPMT(F$26/12,$B248,F$23,F$235,-F$27,0),IF($B248=F$23,F247+PPMT(F$26/12,$B248,F$23,F$235,-F$27,0)-F$27,0)))</f>
        <v/>
      </c>
      <c r="G248" s="279">
        <f>IF(G$1=0,"",IF($B248&lt;G$23,G247+PPMT(G$26/12,$B248,G$23,G$235,-G$27,0),IF($B248=G$23,G247+PPMT(G$26/12,$B248,G$23,G$235,-G$27,0)-G$27,0)))</f>
        <v/>
      </c>
      <c r="H248" s="279">
        <f>IF(H$1=0,"",IF($B248&lt;H$23,H247+PPMT(H$26/12,$B248,H$23,H$235,-H$27,0),IF($B248=H$23,H247+PPMT(H$26/12,$B248,H$23,H$235,-H$27,0)-H$27,0)))</f>
        <v/>
      </c>
      <c r="I248" s="279">
        <f>IF(I$1=0,"",IF($B248&lt;I$23,I247+PPMT(I$26/12,$B248,I$23,I$235,-I$27,0),IF($B248=I$23,I247+PPMT(I$26/12,$B248,I$23,I$235,-I$27,0)-I$27,0)))</f>
        <v/>
      </c>
      <c r="J248" s="279">
        <f>IF(J$1=0,"",IF($B248&lt;J$23,J247+PPMT(J$26/12,$B248,J$23,J$235,-J$27,0),IF($B248=J$23,J247+PPMT(J$26/12,$B248,J$23,J$235,-J$27,0)-J$27,0)))</f>
        <v/>
      </c>
      <c r="K248" s="279">
        <f>IF(K$1=0,"",IF($B248&lt;K$23,K247+PPMT(K$26/12,$B248,K$23,K$235,-K$27,0),IF($B248=K$23,K247+PPMT(K$26/12,$B248,K$23,K$235,-K$27,0)-K$27,0)))</f>
        <v/>
      </c>
      <c r="L248" s="279">
        <f>IF(L$1=0,"",IF($B248&lt;L$23,L247+PPMT(L$26/12,$B248,L$23,L$235,-L$27,0),IF($B248=L$23,L247+PPMT(L$26/12,$B248,L$23,L$235,-L$27,0)-L$27,0)))</f>
        <v/>
      </c>
      <c r="M248" s="279">
        <f>IF(M$1=0,"",IF($B248&lt;M$23,M247+PPMT(M$26/12,$B248,M$23,M$235,-M$27,0),IF($B248=M$23,M247+PPMT(M$26/12,$B248,M$23,M$235,-M$27,0)-M$27,0)))</f>
        <v/>
      </c>
      <c r="N248" s="280" t="n"/>
      <c r="O248" s="281" t="n"/>
    </row>
    <row r="249" hidden="1" outlineLevel="1">
      <c r="B249" s="2">
        <f>B248+1</f>
        <v/>
      </c>
      <c r="D249" s="279">
        <f>IF(B249&lt;$D$24,(+'CALCULETTE (2)'!G646/'CALCULETTE (2)'!$B$612),0)</f>
        <v/>
      </c>
      <c r="E249" s="279">
        <f>IF(E$1=0,"",IF($B249&lt;E$23,E248+PPMT(E$26/12,$B249,E$23,E$235,-E$27,0),IF($B249=E$23,E248+PPMT(E$26/12,$B249,E$23,E$235,-E$27,0)-E$27,0)))</f>
        <v/>
      </c>
      <c r="F249" s="279">
        <f>IF(F$1=0,"",IF($B249&lt;F$23,F248+PPMT(F$26/12,$B249,F$23,F$235,-F$27,0),IF($B249=F$23,F248+PPMT(F$26/12,$B249,F$23,F$235,-F$27,0)-F$27,0)))</f>
        <v/>
      </c>
      <c r="G249" s="279">
        <f>IF(G$1=0,"",IF($B249&lt;G$23,G248+PPMT(G$26/12,$B249,G$23,G$235,-G$27,0),IF($B249=G$23,G248+PPMT(G$26/12,$B249,G$23,G$235,-G$27,0)-G$27,0)))</f>
        <v/>
      </c>
      <c r="H249" s="279">
        <f>IF(H$1=0,"",IF($B249&lt;H$23,H248+PPMT(H$26/12,$B249,H$23,H$235,-H$27,0),IF($B249=H$23,H248+PPMT(H$26/12,$B249,H$23,H$235,-H$27,0)-H$27,0)))</f>
        <v/>
      </c>
      <c r="I249" s="279">
        <f>IF(I$1=0,"",IF($B249&lt;I$23,I248+PPMT(I$26/12,$B249,I$23,I$235,-I$27,0),IF($B249=I$23,I248+PPMT(I$26/12,$B249,I$23,I$235,-I$27,0)-I$27,0)))</f>
        <v/>
      </c>
      <c r="J249" s="279">
        <f>IF(J$1=0,"",IF($B249&lt;J$23,J248+PPMT(J$26/12,$B249,J$23,J$235,-J$27,0),IF($B249=J$23,J248+PPMT(J$26/12,$B249,J$23,J$235,-J$27,0)-J$27,0)))</f>
        <v/>
      </c>
      <c r="K249" s="279">
        <f>IF(K$1=0,"",IF($B249&lt;K$23,K248+PPMT(K$26/12,$B249,K$23,K$235,-K$27,0),IF($B249=K$23,K248+PPMT(K$26/12,$B249,K$23,K$235,-K$27,0)-K$27,0)))</f>
        <v/>
      </c>
      <c r="L249" s="279">
        <f>IF(L$1=0,"",IF($B249&lt;L$23,L248+PPMT(L$26/12,$B249,L$23,L$235,-L$27,0),IF($B249=L$23,L248+PPMT(L$26/12,$B249,L$23,L$235,-L$27,0)-L$27,0)))</f>
        <v/>
      </c>
      <c r="M249" s="279">
        <f>IF(M$1=0,"",IF($B249&lt;M$23,M248+PPMT(M$26/12,$B249,M$23,M$235,-M$27,0),IF($B249=M$23,M248+PPMT(M$26/12,$B249,M$23,M$235,-M$27,0)-M$27,0)))</f>
        <v/>
      </c>
      <c r="N249" s="280" t="n"/>
      <c r="O249" s="281" t="n"/>
    </row>
    <row r="250" hidden="1" outlineLevel="1">
      <c r="B250" s="2">
        <f>B249+1</f>
        <v/>
      </c>
      <c r="D250" s="279">
        <f>IF(B250&lt;$D$24,(+'CALCULETTE (2)'!G647/'CALCULETTE (2)'!$B$612),0)</f>
        <v/>
      </c>
      <c r="E250" s="279">
        <f>IF(E$1=0,"",IF($B250&lt;E$23,E249+PPMT(E$26/12,$B250,E$23,E$235,-E$27,0),IF($B250=E$23,E249+PPMT(E$26/12,$B250,E$23,E$235,-E$27,0)-E$27,0)))</f>
        <v/>
      </c>
      <c r="F250" s="279">
        <f>IF(F$1=0,"",IF($B250&lt;F$23,F249+PPMT(F$26/12,$B250,F$23,F$235,-F$27,0),IF($B250=F$23,F249+PPMT(F$26/12,$B250,F$23,F$235,-F$27,0)-F$27,0)))</f>
        <v/>
      </c>
      <c r="G250" s="279">
        <f>IF(G$1=0,"",IF($B250&lt;G$23,G249+PPMT(G$26/12,$B250,G$23,G$235,-G$27,0),IF($B250=G$23,G249+PPMT(G$26/12,$B250,G$23,G$235,-G$27,0)-G$27,0)))</f>
        <v/>
      </c>
      <c r="H250" s="279">
        <f>IF(H$1=0,"",IF($B250&lt;H$23,H249+PPMT(H$26/12,$B250,H$23,H$235,-H$27,0),IF($B250=H$23,H249+PPMT(H$26/12,$B250,H$23,H$235,-H$27,0)-H$27,0)))</f>
        <v/>
      </c>
      <c r="I250" s="279">
        <f>IF(I$1=0,"",IF($B250&lt;I$23,I249+PPMT(I$26/12,$B250,I$23,I$235,-I$27,0),IF($B250=I$23,I249+PPMT(I$26/12,$B250,I$23,I$235,-I$27,0)-I$27,0)))</f>
        <v/>
      </c>
      <c r="J250" s="279">
        <f>IF(J$1=0,"",IF($B250&lt;J$23,J249+PPMT(J$26/12,$B250,J$23,J$235,-J$27,0),IF($B250=J$23,J249+PPMT(J$26/12,$B250,J$23,J$235,-J$27,0)-J$27,0)))</f>
        <v/>
      </c>
      <c r="K250" s="279">
        <f>IF(K$1=0,"",IF($B250&lt;K$23,K249+PPMT(K$26/12,$B250,K$23,K$235,-K$27,0),IF($B250=K$23,K249+PPMT(K$26/12,$B250,K$23,K$235,-K$27,0)-K$27,0)))</f>
        <v/>
      </c>
      <c r="L250" s="279">
        <f>IF(L$1=0,"",IF($B250&lt;L$23,L249+PPMT(L$26/12,$B250,L$23,L$235,-L$27,0),IF($B250=L$23,L249+PPMT(L$26/12,$B250,L$23,L$235,-L$27,0)-L$27,0)))</f>
        <v/>
      </c>
      <c r="M250" s="279">
        <f>IF(M$1=0,"",IF($B250&lt;M$23,M249+PPMT(M$26/12,$B250,M$23,M$235,-M$27,0),IF($B250=M$23,M249+PPMT(M$26/12,$B250,M$23,M$235,-M$27,0)-M$27,0)))</f>
        <v/>
      </c>
      <c r="N250" s="280" t="n"/>
      <c r="O250" s="281" t="n"/>
    </row>
    <row r="251" hidden="1" outlineLevel="1">
      <c r="B251" s="2">
        <f>B250+1</f>
        <v/>
      </c>
      <c r="D251" s="279">
        <f>IF(B251&lt;$D$24,(+'CALCULETTE (2)'!G648/'CALCULETTE (2)'!$B$612),0)</f>
        <v/>
      </c>
      <c r="E251" s="279">
        <f>IF(E$1=0,"",IF($B251&lt;E$23,E250+PPMT(E$26/12,$B251,E$23,E$235,-E$27,0),IF($B251=E$23,E250+PPMT(E$26/12,$B251,E$23,E$235,-E$27,0)-E$27,0)))</f>
        <v/>
      </c>
      <c r="F251" s="279">
        <f>IF(F$1=0,"",IF($B251&lt;F$23,F250+PPMT(F$26/12,$B251,F$23,F$235,-F$27,0),IF($B251=F$23,F250+PPMT(F$26/12,$B251,F$23,F$235,-F$27,0)-F$27,0)))</f>
        <v/>
      </c>
      <c r="G251" s="279">
        <f>IF(G$1=0,"",IF($B251&lt;G$23,G250+PPMT(G$26/12,$B251,G$23,G$235,-G$27,0),IF($B251=G$23,G250+PPMT(G$26/12,$B251,G$23,G$235,-G$27,0)-G$27,0)))</f>
        <v/>
      </c>
      <c r="H251" s="279">
        <f>IF(H$1=0,"",IF($B251&lt;H$23,H250+PPMT(H$26/12,$B251,H$23,H$235,-H$27,0),IF($B251=H$23,H250+PPMT(H$26/12,$B251,H$23,H$235,-H$27,0)-H$27,0)))</f>
        <v/>
      </c>
      <c r="I251" s="279">
        <f>IF(I$1=0,"",IF($B251&lt;I$23,I250+PPMT(I$26/12,$B251,I$23,I$235,-I$27,0),IF($B251=I$23,I250+PPMT(I$26/12,$B251,I$23,I$235,-I$27,0)-I$27,0)))</f>
        <v/>
      </c>
      <c r="J251" s="279">
        <f>IF(J$1=0,"",IF($B251&lt;J$23,J250+PPMT(J$26/12,$B251,J$23,J$235,-J$27,0),IF($B251=J$23,J250+PPMT(J$26/12,$B251,J$23,J$235,-J$27,0)-J$27,0)))</f>
        <v/>
      </c>
      <c r="K251" s="279">
        <f>IF(K$1=0,"",IF($B251&lt;K$23,K250+PPMT(K$26/12,$B251,K$23,K$235,-K$27,0),IF($B251=K$23,K250+PPMT(K$26/12,$B251,K$23,K$235,-K$27,0)-K$27,0)))</f>
        <v/>
      </c>
      <c r="L251" s="279">
        <f>IF(L$1=0,"",IF($B251&lt;L$23,L250+PPMT(L$26/12,$B251,L$23,L$235,-L$27,0),IF($B251=L$23,L250+PPMT(L$26/12,$B251,L$23,L$235,-L$27,0)-L$27,0)))</f>
        <v/>
      </c>
      <c r="M251" s="279">
        <f>IF(M$1=0,"",IF($B251&lt;M$23,M250+PPMT(M$26/12,$B251,M$23,M$235,-M$27,0),IF($B251=M$23,M250+PPMT(M$26/12,$B251,M$23,M$235,-M$27,0)-M$27,0)))</f>
        <v/>
      </c>
      <c r="N251" s="280" t="n"/>
      <c r="O251" s="281" t="n"/>
    </row>
    <row r="252" hidden="1" outlineLevel="1">
      <c r="B252" s="2">
        <f>B251+1</f>
        <v/>
      </c>
      <c r="D252" s="279">
        <f>IF(B252&lt;$D$24,(+'CALCULETTE (2)'!G649/'CALCULETTE (2)'!$B$612),0)</f>
        <v/>
      </c>
      <c r="E252" s="279">
        <f>IF(E$1=0,"",IF($B252&lt;E$23,E251+PPMT(E$26/12,$B252,E$23,E$235,-E$27,0),IF($B252=E$23,E251+PPMT(E$26/12,$B252,E$23,E$235,-E$27,0)-E$27,0)))</f>
        <v/>
      </c>
      <c r="F252" s="279">
        <f>IF(F$1=0,"",IF($B252&lt;F$23,F251+PPMT(F$26/12,$B252,F$23,F$235,-F$27,0),IF($B252=F$23,F251+PPMT(F$26/12,$B252,F$23,F$235,-F$27,0)-F$27,0)))</f>
        <v/>
      </c>
      <c r="G252" s="279">
        <f>IF(G$1=0,"",IF($B252&lt;G$23,G251+PPMT(G$26/12,$B252,G$23,G$235,-G$27,0),IF($B252=G$23,G251+PPMT(G$26/12,$B252,G$23,G$235,-G$27,0)-G$27,0)))</f>
        <v/>
      </c>
      <c r="H252" s="279">
        <f>IF(H$1=0,"",IF($B252&lt;H$23,H251+PPMT(H$26/12,$B252,H$23,H$235,-H$27,0),IF($B252=H$23,H251+PPMT(H$26/12,$B252,H$23,H$235,-H$27,0)-H$27,0)))</f>
        <v/>
      </c>
      <c r="I252" s="279">
        <f>IF(I$1=0,"",IF($B252&lt;I$23,I251+PPMT(I$26/12,$B252,I$23,I$235,-I$27,0),IF($B252=I$23,I251+PPMT(I$26/12,$B252,I$23,I$235,-I$27,0)-I$27,0)))</f>
        <v/>
      </c>
      <c r="J252" s="279">
        <f>IF(J$1=0,"",IF($B252&lt;J$23,J251+PPMT(J$26/12,$B252,J$23,J$235,-J$27,0),IF($B252=J$23,J251+PPMT(J$26/12,$B252,J$23,J$235,-J$27,0)-J$27,0)))</f>
        <v/>
      </c>
      <c r="K252" s="279">
        <f>IF(K$1=0,"",IF($B252&lt;K$23,K251+PPMT(K$26/12,$B252,K$23,K$235,-K$27,0),IF($B252=K$23,K251+PPMT(K$26/12,$B252,K$23,K$235,-K$27,0)-K$27,0)))</f>
        <v/>
      </c>
      <c r="L252" s="279">
        <f>IF(L$1=0,"",IF($B252&lt;L$23,L251+PPMT(L$26/12,$B252,L$23,L$235,-L$27,0),IF($B252=L$23,L251+PPMT(L$26/12,$B252,L$23,L$235,-L$27,0)-L$27,0)))</f>
        <v/>
      </c>
      <c r="M252" s="279">
        <f>IF(M$1=0,"",IF($B252&lt;M$23,M251+PPMT(M$26/12,$B252,M$23,M$235,-M$27,0),IF($B252=M$23,M251+PPMT(M$26/12,$B252,M$23,M$235,-M$27,0)-M$27,0)))</f>
        <v/>
      </c>
      <c r="N252" s="280" t="n"/>
      <c r="O252" s="281" t="n"/>
    </row>
    <row r="253" hidden="1" outlineLevel="1">
      <c r="B253" s="2">
        <f>B252+1</f>
        <v/>
      </c>
      <c r="D253" s="279">
        <f>IF(B253&lt;$D$24,(+'CALCULETTE (2)'!G650/'CALCULETTE (2)'!$B$612),0)</f>
        <v/>
      </c>
      <c r="E253" s="279">
        <f>IF(E$1=0,"",IF($B253&lt;E$23,E252+PPMT(E$26/12,$B253,E$23,E$235,-E$27,0),IF($B253=E$23,E252+PPMT(E$26/12,$B253,E$23,E$235,-E$27,0)-E$27,0)))</f>
        <v/>
      </c>
      <c r="F253" s="279">
        <f>IF(F$1=0,"",IF($B253&lt;F$23,F252+PPMT(F$26/12,$B253,F$23,F$235,-F$27,0),IF($B253=F$23,F252+PPMT(F$26/12,$B253,F$23,F$235,-F$27,0)-F$27,0)))</f>
        <v/>
      </c>
      <c r="G253" s="279">
        <f>IF(G$1=0,"",IF($B253&lt;G$23,G252+PPMT(G$26/12,$B253,G$23,G$235,-G$27,0),IF($B253=G$23,G252+PPMT(G$26/12,$B253,G$23,G$235,-G$27,0)-G$27,0)))</f>
        <v/>
      </c>
      <c r="H253" s="279">
        <f>IF(H$1=0,"",IF($B253&lt;H$23,H252+PPMT(H$26/12,$B253,H$23,H$235,-H$27,0),IF($B253=H$23,H252+PPMT(H$26/12,$B253,H$23,H$235,-H$27,0)-H$27,0)))</f>
        <v/>
      </c>
      <c r="I253" s="279">
        <f>IF(I$1=0,"",IF($B253&lt;I$23,I252+PPMT(I$26/12,$B253,I$23,I$235,-I$27,0),IF($B253=I$23,I252+PPMT(I$26/12,$B253,I$23,I$235,-I$27,0)-I$27,0)))</f>
        <v/>
      </c>
      <c r="J253" s="279">
        <f>IF(J$1=0,"",IF($B253&lt;J$23,J252+PPMT(J$26/12,$B253,J$23,J$235,-J$27,0),IF($B253=J$23,J252+PPMT(J$26/12,$B253,J$23,J$235,-J$27,0)-J$27,0)))</f>
        <v/>
      </c>
      <c r="K253" s="279">
        <f>IF(K$1=0,"",IF($B253&lt;K$23,K252+PPMT(K$26/12,$B253,K$23,K$235,-K$27,0),IF($B253=K$23,K252+PPMT(K$26/12,$B253,K$23,K$235,-K$27,0)-K$27,0)))</f>
        <v/>
      </c>
      <c r="L253" s="279">
        <f>IF(L$1=0,"",IF($B253&lt;L$23,L252+PPMT(L$26/12,$B253,L$23,L$235,-L$27,0),IF($B253=L$23,L252+PPMT(L$26/12,$B253,L$23,L$235,-L$27,0)-L$27,0)))</f>
        <v/>
      </c>
      <c r="M253" s="279">
        <f>IF(M$1=0,"",IF($B253&lt;M$23,M252+PPMT(M$26/12,$B253,M$23,M$235,-M$27,0),IF($B253=M$23,M252+PPMT(M$26/12,$B253,M$23,M$235,-M$27,0)-M$27,0)))</f>
        <v/>
      </c>
      <c r="N253" s="280" t="n"/>
      <c r="O253" s="281" t="n"/>
    </row>
    <row r="254" hidden="1" outlineLevel="1">
      <c r="B254" s="2">
        <f>B253+1</f>
        <v/>
      </c>
      <c r="D254" s="279">
        <f>IF(B254&lt;$D$24,(+'CALCULETTE (2)'!G651/'CALCULETTE (2)'!$B$612),0)</f>
        <v/>
      </c>
      <c r="E254" s="279">
        <f>IF(E$1=0,"",IF($B254&lt;E$23,E253+PPMT(E$26/12,$B254,E$23,E$235,-E$27,0),IF($B254=E$23,E253+PPMT(E$26/12,$B254,E$23,E$235,-E$27,0)-E$27,0)))</f>
        <v/>
      </c>
      <c r="F254" s="279">
        <f>IF(F$1=0,"",IF($B254&lt;F$23,F253+PPMT(F$26/12,$B254,F$23,F$235,-F$27,0),IF($B254=F$23,F253+PPMT(F$26/12,$B254,F$23,F$235,-F$27,0)-F$27,0)))</f>
        <v/>
      </c>
      <c r="G254" s="279">
        <f>IF(G$1=0,"",IF($B254&lt;G$23,G253+PPMT(G$26/12,$B254,G$23,G$235,-G$27,0),IF($B254=G$23,G253+PPMT(G$26/12,$B254,G$23,G$235,-G$27,0)-G$27,0)))</f>
        <v/>
      </c>
      <c r="H254" s="279">
        <f>IF(H$1=0,"",IF($B254&lt;H$23,H253+PPMT(H$26/12,$B254,H$23,H$235,-H$27,0),IF($B254=H$23,H253+PPMT(H$26/12,$B254,H$23,H$235,-H$27,0)-H$27,0)))</f>
        <v/>
      </c>
      <c r="I254" s="279">
        <f>IF(I$1=0,"",IF($B254&lt;I$23,I253+PPMT(I$26/12,$B254,I$23,I$235,-I$27,0),IF($B254=I$23,I253+PPMT(I$26/12,$B254,I$23,I$235,-I$27,0)-I$27,0)))</f>
        <v/>
      </c>
      <c r="J254" s="279">
        <f>IF(J$1=0,"",IF($B254&lt;J$23,J253+PPMT(J$26/12,$B254,J$23,J$235,-J$27,0),IF($B254=J$23,J253+PPMT(J$26/12,$B254,J$23,J$235,-J$27,0)-J$27,0)))</f>
        <v/>
      </c>
      <c r="K254" s="279">
        <f>IF(K$1=0,"",IF($B254&lt;K$23,K253+PPMT(K$26/12,$B254,K$23,K$235,-K$27,0),IF($B254=K$23,K253+PPMT(K$26/12,$B254,K$23,K$235,-K$27,0)-K$27,0)))</f>
        <v/>
      </c>
      <c r="L254" s="279">
        <f>IF(L$1=0,"",IF($B254&lt;L$23,L253+PPMT(L$26/12,$B254,L$23,L$235,-L$27,0),IF($B254=L$23,L253+PPMT(L$26/12,$B254,L$23,L$235,-L$27,0)-L$27,0)))</f>
        <v/>
      </c>
      <c r="M254" s="279">
        <f>IF(M$1=0,"",IF($B254&lt;M$23,M253+PPMT(M$26/12,$B254,M$23,M$235,-M$27,0),IF($B254=M$23,M253+PPMT(M$26/12,$B254,M$23,M$235,-M$27,0)-M$27,0)))</f>
        <v/>
      </c>
      <c r="N254" s="280" t="n"/>
      <c r="O254" s="281" t="n"/>
    </row>
    <row r="255" hidden="1" outlineLevel="1">
      <c r="B255" s="2">
        <f>B254+1</f>
        <v/>
      </c>
      <c r="D255" s="279">
        <f>IF(B255&lt;$D$24,(+'CALCULETTE (2)'!G652/'CALCULETTE (2)'!$B$612),0)</f>
        <v/>
      </c>
      <c r="E255" s="279">
        <f>IF(E$1=0,"",IF($B255&lt;E$23,E254+PPMT(E$26/12,$B255,E$23,E$235,-E$27,0),IF($B255=E$23,E254+PPMT(E$26/12,$B255,E$23,E$235,-E$27,0)-E$27,0)))</f>
        <v/>
      </c>
      <c r="F255" s="279">
        <f>IF(F$1=0,"",IF($B255&lt;F$23,F254+PPMT(F$26/12,$B255,F$23,F$235,-F$27,0),IF($B255=F$23,F254+PPMT(F$26/12,$B255,F$23,F$235,-F$27,0)-F$27,0)))</f>
        <v/>
      </c>
      <c r="G255" s="279">
        <f>IF(G$1=0,"",IF($B255&lt;G$23,G254+PPMT(G$26/12,$B255,G$23,G$235,-G$27,0),IF($B255=G$23,G254+PPMT(G$26/12,$B255,G$23,G$235,-G$27,0)-G$27,0)))</f>
        <v/>
      </c>
      <c r="H255" s="279">
        <f>IF(H$1=0,"",IF($B255&lt;H$23,H254+PPMT(H$26/12,$B255,H$23,H$235,-H$27,0),IF($B255=H$23,H254+PPMT(H$26/12,$B255,H$23,H$235,-H$27,0)-H$27,0)))</f>
        <v/>
      </c>
      <c r="I255" s="279">
        <f>IF(I$1=0,"",IF($B255&lt;I$23,I254+PPMT(I$26/12,$B255,I$23,I$235,-I$27,0),IF($B255=I$23,I254+PPMT(I$26/12,$B255,I$23,I$235,-I$27,0)-I$27,0)))</f>
        <v/>
      </c>
      <c r="J255" s="279">
        <f>IF(J$1=0,"",IF($B255&lt;J$23,J254+PPMT(J$26/12,$B255,J$23,J$235,-J$27,0),IF($B255=J$23,J254+PPMT(J$26/12,$B255,J$23,J$235,-J$27,0)-J$27,0)))</f>
        <v/>
      </c>
      <c r="K255" s="279">
        <f>IF(K$1=0,"",IF($B255&lt;K$23,K254+PPMT(K$26/12,$B255,K$23,K$235,-K$27,0),IF($B255=K$23,K254+PPMT(K$26/12,$B255,K$23,K$235,-K$27,0)-K$27,0)))</f>
        <v/>
      </c>
      <c r="L255" s="279">
        <f>IF(L$1=0,"",IF($B255&lt;L$23,L254+PPMT(L$26/12,$B255,L$23,L$235,-L$27,0),IF($B255=L$23,L254+PPMT(L$26/12,$B255,L$23,L$235,-L$27,0)-L$27,0)))</f>
        <v/>
      </c>
      <c r="M255" s="279">
        <f>IF(M$1=0,"",IF($B255&lt;M$23,M254+PPMT(M$26/12,$B255,M$23,M$235,-M$27,0),IF($B255=M$23,M254+PPMT(M$26/12,$B255,M$23,M$235,-M$27,0)-M$27,0)))</f>
        <v/>
      </c>
      <c r="N255" s="280" t="n"/>
      <c r="O255" s="281" t="n"/>
    </row>
    <row r="256" hidden="1" outlineLevel="1">
      <c r="B256" s="2">
        <f>B255+1</f>
        <v/>
      </c>
      <c r="D256" s="279">
        <f>IF(B256&lt;$D$24,(+'CALCULETTE (2)'!G653/'CALCULETTE (2)'!$B$612),0)</f>
        <v/>
      </c>
      <c r="E256" s="279">
        <f>IF(E$1=0,"",IF($B256&lt;E$23,E255+PPMT(E$26/12,$B256,E$23,E$235,-E$27,0),IF($B256=E$23,E255+PPMT(E$26/12,$B256,E$23,E$235,-E$27,0)-E$27,0)))</f>
        <v/>
      </c>
      <c r="F256" s="279">
        <f>IF(F$1=0,"",IF($B256&lt;F$23,F255+PPMT(F$26/12,$B256,F$23,F$235,-F$27,0),IF($B256=F$23,F255+PPMT(F$26/12,$B256,F$23,F$235,-F$27,0)-F$27,0)))</f>
        <v/>
      </c>
      <c r="G256" s="279">
        <f>IF(G$1=0,"",IF($B256&lt;G$23,G255+PPMT(G$26/12,$B256,G$23,G$235,-G$27,0),IF($B256=G$23,G255+PPMT(G$26/12,$B256,G$23,G$235,-G$27,0)-G$27,0)))</f>
        <v/>
      </c>
      <c r="H256" s="279">
        <f>IF(H$1=0,"",IF($B256&lt;H$23,H255+PPMT(H$26/12,$B256,H$23,H$235,-H$27,0),IF($B256=H$23,H255+PPMT(H$26/12,$B256,H$23,H$235,-H$27,0)-H$27,0)))</f>
        <v/>
      </c>
      <c r="I256" s="279">
        <f>IF(I$1=0,"",IF($B256&lt;I$23,I255+PPMT(I$26/12,$B256,I$23,I$235,-I$27,0),IF($B256=I$23,I255+PPMT(I$26/12,$B256,I$23,I$235,-I$27,0)-I$27,0)))</f>
        <v/>
      </c>
      <c r="J256" s="279">
        <f>IF(J$1=0,"",IF($B256&lt;J$23,J255+PPMT(J$26/12,$B256,J$23,J$235,-J$27,0),IF($B256=J$23,J255+PPMT(J$26/12,$B256,J$23,J$235,-J$27,0)-J$27,0)))</f>
        <v/>
      </c>
      <c r="K256" s="279">
        <f>IF(K$1=0,"",IF($B256&lt;K$23,K255+PPMT(K$26/12,$B256,K$23,K$235,-K$27,0),IF($B256=K$23,K255+PPMT(K$26/12,$B256,K$23,K$235,-K$27,0)-K$27,0)))</f>
        <v/>
      </c>
      <c r="L256" s="279">
        <f>IF(L$1=0,"",IF($B256&lt;L$23,L255+PPMT(L$26/12,$B256,L$23,L$235,-L$27,0),IF($B256=L$23,L255+PPMT(L$26/12,$B256,L$23,L$235,-L$27,0)-L$27,0)))</f>
        <v/>
      </c>
      <c r="M256" s="279">
        <f>IF(M$1=0,"",IF($B256&lt;M$23,M255+PPMT(M$26/12,$B256,M$23,M$235,-M$27,0),IF($B256=M$23,M255+PPMT(M$26/12,$B256,M$23,M$235,-M$27,0)-M$27,0)))</f>
        <v/>
      </c>
      <c r="N256" s="280" t="n"/>
      <c r="O256" s="281" t="n"/>
    </row>
    <row r="257" hidden="1" outlineLevel="1">
      <c r="B257" s="2">
        <f>B256+1</f>
        <v/>
      </c>
      <c r="D257" s="279">
        <f>IF(B257&lt;$D$24,(+'CALCULETTE (2)'!G654/'CALCULETTE (2)'!$B$612),0)</f>
        <v/>
      </c>
      <c r="E257" s="279">
        <f>IF(E$1=0,"",IF($B257&lt;E$23,E256+PPMT(E$26/12,$B257,E$23,E$235,-E$27,0),IF($B257=E$23,E256+PPMT(E$26/12,$B257,E$23,E$235,-E$27,0)-E$27,0)))</f>
        <v/>
      </c>
      <c r="F257" s="279">
        <f>IF(F$1=0,"",IF($B257&lt;F$23,F256+PPMT(F$26/12,$B257,F$23,F$235,-F$27,0),IF($B257=F$23,F256+PPMT(F$26/12,$B257,F$23,F$235,-F$27,0)-F$27,0)))</f>
        <v/>
      </c>
      <c r="G257" s="279">
        <f>IF(G$1=0,"",IF($B257&lt;G$23,G256+PPMT(G$26/12,$B257,G$23,G$235,-G$27,0),IF($B257=G$23,G256+PPMT(G$26/12,$B257,G$23,G$235,-G$27,0)-G$27,0)))</f>
        <v/>
      </c>
      <c r="H257" s="279">
        <f>IF(H$1=0,"",IF($B257&lt;H$23,H256+PPMT(H$26/12,$B257,H$23,H$235,-H$27,0),IF($B257=H$23,H256+PPMT(H$26/12,$B257,H$23,H$235,-H$27,0)-H$27,0)))</f>
        <v/>
      </c>
      <c r="I257" s="279">
        <f>IF(I$1=0,"",IF($B257&lt;I$23,I256+PPMT(I$26/12,$B257,I$23,I$235,-I$27,0),IF($B257=I$23,I256+PPMT(I$26/12,$B257,I$23,I$235,-I$27,0)-I$27,0)))</f>
        <v/>
      </c>
      <c r="J257" s="279">
        <f>IF(J$1=0,"",IF($B257&lt;J$23,J256+PPMT(J$26/12,$B257,J$23,J$235,-J$27,0),IF($B257=J$23,J256+PPMT(J$26/12,$B257,J$23,J$235,-J$27,0)-J$27,0)))</f>
        <v/>
      </c>
      <c r="K257" s="279">
        <f>IF(K$1=0,"",IF($B257&lt;K$23,K256+PPMT(K$26/12,$B257,K$23,K$235,-K$27,0),IF($B257=K$23,K256+PPMT(K$26/12,$B257,K$23,K$235,-K$27,0)-K$27,0)))</f>
        <v/>
      </c>
      <c r="L257" s="279">
        <f>IF(L$1=0,"",IF($B257&lt;L$23,L256+PPMT(L$26/12,$B257,L$23,L$235,-L$27,0),IF($B257=L$23,L256+PPMT(L$26/12,$B257,L$23,L$235,-L$27,0)-L$27,0)))</f>
        <v/>
      </c>
      <c r="M257" s="279">
        <f>IF(M$1=0,"",IF($B257&lt;M$23,M256+PPMT(M$26/12,$B257,M$23,M$235,-M$27,0),IF($B257=M$23,M256+PPMT(M$26/12,$B257,M$23,M$235,-M$27,0)-M$27,0)))</f>
        <v/>
      </c>
      <c r="N257" s="280" t="n"/>
      <c r="O257" s="281" t="n"/>
    </row>
    <row r="258" hidden="1" outlineLevel="1">
      <c r="B258" s="2">
        <f>B257+1</f>
        <v/>
      </c>
      <c r="D258" s="279">
        <f>IF(B258&lt;$D$24,(+'CALCULETTE (2)'!G655/'CALCULETTE (2)'!$B$612),0)</f>
        <v/>
      </c>
      <c r="E258" s="279">
        <f>IF(E$1=0,"",IF($B258&lt;E$23,E257+PPMT(E$26/12,$B258,E$23,E$235,-E$27,0),IF($B258=E$23,E257+PPMT(E$26/12,$B258,E$23,E$235,-E$27,0)-E$27,0)))</f>
        <v/>
      </c>
      <c r="F258" s="279">
        <f>IF(F$1=0,"",IF($B258&lt;F$23,F257+PPMT(F$26/12,$B258,F$23,F$235,-F$27,0),IF($B258=F$23,F257+PPMT(F$26/12,$B258,F$23,F$235,-F$27,0)-F$27,0)))</f>
        <v/>
      </c>
      <c r="G258" s="279">
        <f>IF(G$1=0,"",IF($B258&lt;G$23,G257+PPMT(G$26/12,$B258,G$23,G$235,-G$27,0),IF($B258=G$23,G257+PPMT(G$26/12,$B258,G$23,G$235,-G$27,0)-G$27,0)))</f>
        <v/>
      </c>
      <c r="H258" s="279">
        <f>IF(H$1=0,"",IF($B258&lt;H$23,H257+PPMT(H$26/12,$B258,H$23,H$235,-H$27,0),IF($B258=H$23,H257+PPMT(H$26/12,$B258,H$23,H$235,-H$27,0)-H$27,0)))</f>
        <v/>
      </c>
      <c r="I258" s="279">
        <f>IF(I$1=0,"",IF($B258&lt;I$23,I257+PPMT(I$26/12,$B258,I$23,I$235,-I$27,0),IF($B258=I$23,I257+PPMT(I$26/12,$B258,I$23,I$235,-I$27,0)-I$27,0)))</f>
        <v/>
      </c>
      <c r="J258" s="279">
        <f>IF(J$1=0,"",IF($B258&lt;J$23,J257+PPMT(J$26/12,$B258,J$23,J$235,-J$27,0),IF($B258=J$23,J257+PPMT(J$26/12,$B258,J$23,J$235,-J$27,0)-J$27,0)))</f>
        <v/>
      </c>
      <c r="K258" s="279">
        <f>IF(K$1=0,"",IF($B258&lt;K$23,K257+PPMT(K$26/12,$B258,K$23,K$235,-K$27,0),IF($B258=K$23,K257+PPMT(K$26/12,$B258,K$23,K$235,-K$27,0)-K$27,0)))</f>
        <v/>
      </c>
      <c r="L258" s="279">
        <f>IF(L$1=0,"",IF($B258&lt;L$23,L257+PPMT(L$26/12,$B258,L$23,L$235,-L$27,0),IF($B258=L$23,L257+PPMT(L$26/12,$B258,L$23,L$235,-L$27,0)-L$27,0)))</f>
        <v/>
      </c>
      <c r="M258" s="279">
        <f>IF(M$1=0,"",IF($B258&lt;M$23,M257+PPMT(M$26/12,$B258,M$23,M$235,-M$27,0),IF($B258=M$23,M257+PPMT(M$26/12,$B258,M$23,M$235,-M$27,0)-M$27,0)))</f>
        <v/>
      </c>
      <c r="N258" s="280" t="n"/>
      <c r="O258" s="281" t="n"/>
    </row>
    <row r="259" hidden="1" outlineLevel="1">
      <c r="B259" s="2">
        <f>B258+1</f>
        <v/>
      </c>
      <c r="D259" s="279">
        <f>IF(B259&lt;$D$24,(+'CALCULETTE (2)'!G656/'CALCULETTE (2)'!$B$612),0)</f>
        <v/>
      </c>
      <c r="E259" s="279">
        <f>IF(E$1=0,"",IF($B259&lt;E$23,E258+PPMT(E$26/12,$B259,E$23,E$235,-E$27,0),IF($B259=E$23,E258+PPMT(E$26/12,$B259,E$23,E$235,-E$27,0)-E$27,0)))</f>
        <v/>
      </c>
      <c r="F259" s="279">
        <f>IF(F$1=0,"",IF($B259&lt;F$23,F258+PPMT(F$26/12,$B259,F$23,F$235,-F$27,0),IF($B259=F$23,F258+PPMT(F$26/12,$B259,F$23,F$235,-F$27,0)-F$27,0)))</f>
        <v/>
      </c>
      <c r="G259" s="279">
        <f>IF(G$1=0,"",IF($B259&lt;G$23,G258+PPMT(G$26/12,$B259,G$23,G$235,-G$27,0),IF($B259=G$23,G258+PPMT(G$26/12,$B259,G$23,G$235,-G$27,0)-G$27,0)))</f>
        <v/>
      </c>
      <c r="H259" s="279">
        <f>IF(H$1=0,"",IF($B259&lt;H$23,H258+PPMT(H$26/12,$B259,H$23,H$235,-H$27,0),IF($B259=H$23,H258+PPMT(H$26/12,$B259,H$23,H$235,-H$27,0)-H$27,0)))</f>
        <v/>
      </c>
      <c r="I259" s="279">
        <f>IF(I$1=0,"",IF($B259&lt;I$23,I258+PPMT(I$26/12,$B259,I$23,I$235,-I$27,0),IF($B259=I$23,I258+PPMT(I$26/12,$B259,I$23,I$235,-I$27,0)-I$27,0)))</f>
        <v/>
      </c>
      <c r="J259" s="279">
        <f>IF(J$1=0,"",IF($B259&lt;J$23,J258+PPMT(J$26/12,$B259,J$23,J$235,-J$27,0),IF($B259=J$23,J258+PPMT(J$26/12,$B259,J$23,J$235,-J$27,0)-J$27,0)))</f>
        <v/>
      </c>
      <c r="K259" s="279">
        <f>IF(K$1=0,"",IF($B259&lt;K$23,K258+PPMT(K$26/12,$B259,K$23,K$235,-K$27,0),IF($B259=K$23,K258+PPMT(K$26/12,$B259,K$23,K$235,-K$27,0)-K$27,0)))</f>
        <v/>
      </c>
      <c r="L259" s="279">
        <f>IF(L$1=0,"",IF($B259&lt;L$23,L258+PPMT(L$26/12,$B259,L$23,L$235,-L$27,0),IF($B259=L$23,L258+PPMT(L$26/12,$B259,L$23,L$235,-L$27,0)-L$27,0)))</f>
        <v/>
      </c>
      <c r="M259" s="279">
        <f>IF(M$1=0,"",IF($B259&lt;M$23,M258+PPMT(M$26/12,$B259,M$23,M$235,-M$27,0),IF($B259=M$23,M258+PPMT(M$26/12,$B259,M$23,M$235,-M$27,0)-M$27,0)))</f>
        <v/>
      </c>
      <c r="N259" s="280" t="n"/>
      <c r="O259" s="281" t="n"/>
    </row>
    <row r="260" hidden="1" outlineLevel="1">
      <c r="B260" s="2">
        <f>B259+1</f>
        <v/>
      </c>
      <c r="D260" s="279">
        <f>IF(B260&lt;$D$24,(+'CALCULETTE (2)'!G657/'CALCULETTE (2)'!$B$612),0)</f>
        <v/>
      </c>
      <c r="E260" s="279">
        <f>IF(E$1=0,"",IF($B260&lt;E$23,E259+PPMT(E$26/12,$B260,E$23,E$235,-E$27,0),IF($B260=E$23,E259+PPMT(E$26/12,$B260,E$23,E$235,-E$27,0)-E$27,0)))</f>
        <v/>
      </c>
      <c r="F260" s="279">
        <f>IF(F$1=0,"",IF($B260&lt;F$23,F259+PPMT(F$26/12,$B260,F$23,F$235,-F$27,0),IF($B260=F$23,F259+PPMT(F$26/12,$B260,F$23,F$235,-F$27,0)-F$27,0)))</f>
        <v/>
      </c>
      <c r="G260" s="279">
        <f>IF(G$1=0,"",IF($B260&lt;G$23,G259+PPMT(G$26/12,$B260,G$23,G$235,-G$27,0),IF($B260=G$23,G259+PPMT(G$26/12,$B260,G$23,G$235,-G$27,0)-G$27,0)))</f>
        <v/>
      </c>
      <c r="H260" s="279">
        <f>IF(H$1=0,"",IF($B260&lt;H$23,H259+PPMT(H$26/12,$B260,H$23,H$235,-H$27,0),IF($B260=H$23,H259+PPMT(H$26/12,$B260,H$23,H$235,-H$27,0)-H$27,0)))</f>
        <v/>
      </c>
      <c r="I260" s="279">
        <f>IF(I$1=0,"",IF($B260&lt;I$23,I259+PPMT(I$26/12,$B260,I$23,I$235,-I$27,0),IF($B260=I$23,I259+PPMT(I$26/12,$B260,I$23,I$235,-I$27,0)-I$27,0)))</f>
        <v/>
      </c>
      <c r="J260" s="279">
        <f>IF(J$1=0,"",IF($B260&lt;J$23,J259+PPMT(J$26/12,$B260,J$23,J$235,-J$27,0),IF($B260=J$23,J259+PPMT(J$26/12,$B260,J$23,J$235,-J$27,0)-J$27,0)))</f>
        <v/>
      </c>
      <c r="K260" s="279">
        <f>IF(K$1=0,"",IF($B260&lt;K$23,K259+PPMT(K$26/12,$B260,K$23,K$235,-K$27,0),IF($B260=K$23,K259+PPMT(K$26/12,$B260,K$23,K$235,-K$27,0)-K$27,0)))</f>
        <v/>
      </c>
      <c r="L260" s="279">
        <f>IF(L$1=0,"",IF($B260&lt;L$23,L259+PPMT(L$26/12,$B260,L$23,L$235,-L$27,0),IF($B260=L$23,L259+PPMT(L$26/12,$B260,L$23,L$235,-L$27,0)-L$27,0)))</f>
        <v/>
      </c>
      <c r="M260" s="279">
        <f>IF(M$1=0,"",IF($B260&lt;M$23,M259+PPMT(M$26/12,$B260,M$23,M$235,-M$27,0),IF($B260=M$23,M259+PPMT(M$26/12,$B260,M$23,M$235,-M$27,0)-M$27,0)))</f>
        <v/>
      </c>
      <c r="N260" s="280" t="n"/>
      <c r="O260" s="281" t="n"/>
    </row>
    <row r="261" hidden="1" outlineLevel="1">
      <c r="B261" s="2">
        <f>B260+1</f>
        <v/>
      </c>
      <c r="D261" s="279">
        <f>IF(B261&lt;$D$24,(+'CALCULETTE (2)'!G658/'CALCULETTE (2)'!$B$612),0)</f>
        <v/>
      </c>
      <c r="E261" s="279">
        <f>IF(E$1=0,"",IF($B261&lt;E$23,E260+PPMT(E$26/12,$B261,E$23,E$235,-E$27,0),IF($B261=E$23,E260+PPMT(E$26/12,$B261,E$23,E$235,-E$27,0)-E$27,0)))</f>
        <v/>
      </c>
      <c r="F261" s="279">
        <f>IF(F$1=0,"",IF($B261&lt;F$23,F260+PPMT(F$26/12,$B261,F$23,F$235,-F$27,0),IF($B261=F$23,F260+PPMT(F$26/12,$B261,F$23,F$235,-F$27,0)-F$27,0)))</f>
        <v/>
      </c>
      <c r="G261" s="279">
        <f>IF(G$1=0,"",IF($B261&lt;G$23,G260+PPMT(G$26/12,$B261,G$23,G$235,-G$27,0),IF($B261=G$23,G260+PPMT(G$26/12,$B261,G$23,G$235,-G$27,0)-G$27,0)))</f>
        <v/>
      </c>
      <c r="H261" s="279">
        <f>IF(H$1=0,"",IF($B261&lt;H$23,H260+PPMT(H$26/12,$B261,H$23,H$235,-H$27,0),IF($B261=H$23,H260+PPMT(H$26/12,$B261,H$23,H$235,-H$27,0)-H$27,0)))</f>
        <v/>
      </c>
      <c r="I261" s="279">
        <f>IF(I$1=0,"",IF($B261&lt;I$23,I260+PPMT(I$26/12,$B261,I$23,I$235,-I$27,0),IF($B261=I$23,I260+PPMT(I$26/12,$B261,I$23,I$235,-I$27,0)-I$27,0)))</f>
        <v/>
      </c>
      <c r="J261" s="279">
        <f>IF(J$1=0,"",IF($B261&lt;J$23,J260+PPMT(J$26/12,$B261,J$23,J$235,-J$27,0),IF($B261=J$23,J260+PPMT(J$26/12,$B261,J$23,J$235,-J$27,0)-J$27,0)))</f>
        <v/>
      </c>
      <c r="K261" s="279">
        <f>IF(K$1=0,"",IF($B261&lt;K$23,K260+PPMT(K$26/12,$B261,K$23,K$235,-K$27,0),IF($B261=K$23,K260+PPMT(K$26/12,$B261,K$23,K$235,-K$27,0)-K$27,0)))</f>
        <v/>
      </c>
      <c r="L261" s="279">
        <f>IF(L$1=0,"",IF($B261&lt;L$23,L260+PPMT(L$26/12,$B261,L$23,L$235,-L$27,0),IF($B261=L$23,L260+PPMT(L$26/12,$B261,L$23,L$235,-L$27,0)-L$27,0)))</f>
        <v/>
      </c>
      <c r="M261" s="279">
        <f>IF(M$1=0,"",IF($B261&lt;M$23,M260+PPMT(M$26/12,$B261,M$23,M$235,-M$27,0),IF($B261=M$23,M260+PPMT(M$26/12,$B261,M$23,M$235,-M$27,0)-M$27,0)))</f>
        <v/>
      </c>
      <c r="N261" s="280" t="n"/>
      <c r="O261" s="281" t="n"/>
    </row>
    <row r="262" hidden="1" outlineLevel="1">
      <c r="B262" s="2">
        <f>B261+1</f>
        <v/>
      </c>
      <c r="D262" s="279">
        <f>IF(B262&lt;$D$24,(+'CALCULETTE (2)'!G659/'CALCULETTE (2)'!$B$612),0)</f>
        <v/>
      </c>
      <c r="E262" s="279">
        <f>IF(E$1=0,"",IF($B262&lt;E$23,E261+PPMT(E$26/12,$B262,E$23,E$235,-E$27,0),IF($B262=E$23,E261+PPMT(E$26/12,$B262,E$23,E$235,-E$27,0)-E$27,0)))</f>
        <v/>
      </c>
      <c r="F262" s="279">
        <f>IF(F$1=0,"",IF($B262&lt;F$23,F261+PPMT(F$26/12,$B262,F$23,F$235,-F$27,0),IF($B262=F$23,F261+PPMT(F$26/12,$B262,F$23,F$235,-F$27,0)-F$27,0)))</f>
        <v/>
      </c>
      <c r="G262" s="279">
        <f>IF(G$1=0,"",IF($B262&lt;G$23,G261+PPMT(G$26/12,$B262,G$23,G$235,-G$27,0),IF($B262=G$23,G261+PPMT(G$26/12,$B262,G$23,G$235,-G$27,0)-G$27,0)))</f>
        <v/>
      </c>
      <c r="H262" s="279">
        <f>IF(H$1=0,"",IF($B262&lt;H$23,H261+PPMT(H$26/12,$B262,H$23,H$235,-H$27,0),IF($B262=H$23,H261+PPMT(H$26/12,$B262,H$23,H$235,-H$27,0)-H$27,0)))</f>
        <v/>
      </c>
      <c r="I262" s="279">
        <f>IF(I$1=0,"",IF($B262&lt;I$23,I261+PPMT(I$26/12,$B262,I$23,I$235,-I$27,0),IF($B262=I$23,I261+PPMT(I$26/12,$B262,I$23,I$235,-I$27,0)-I$27,0)))</f>
        <v/>
      </c>
      <c r="J262" s="279">
        <f>IF(J$1=0,"",IF($B262&lt;J$23,J261+PPMT(J$26/12,$B262,J$23,J$235,-J$27,0),IF($B262=J$23,J261+PPMT(J$26/12,$B262,J$23,J$235,-J$27,0)-J$27,0)))</f>
        <v/>
      </c>
      <c r="K262" s="279">
        <f>IF(K$1=0,"",IF($B262&lt;K$23,K261+PPMT(K$26/12,$B262,K$23,K$235,-K$27,0),IF($B262=K$23,K261+PPMT(K$26/12,$B262,K$23,K$235,-K$27,0)-K$27,0)))</f>
        <v/>
      </c>
      <c r="L262" s="279">
        <f>IF(L$1=0,"",IF($B262&lt;L$23,L261+PPMT(L$26/12,$B262,L$23,L$235,-L$27,0),IF($B262=L$23,L261+PPMT(L$26/12,$B262,L$23,L$235,-L$27,0)-L$27,0)))</f>
        <v/>
      </c>
      <c r="M262" s="279">
        <f>IF(M$1=0,"",IF($B262&lt;M$23,M261+PPMT(M$26/12,$B262,M$23,M$235,-M$27,0),IF($B262=M$23,M261+PPMT(M$26/12,$B262,M$23,M$235,-M$27,0)-M$27,0)))</f>
        <v/>
      </c>
      <c r="N262" s="280" t="n"/>
      <c r="O262" s="281" t="n"/>
    </row>
    <row r="263" hidden="1" outlineLevel="1">
      <c r="B263" s="2">
        <f>B262+1</f>
        <v/>
      </c>
      <c r="D263" s="279">
        <f>IF(B263&lt;$D$24,(+'CALCULETTE (2)'!G660/'CALCULETTE (2)'!$B$612),0)</f>
        <v/>
      </c>
      <c r="E263" s="279">
        <f>IF(E$1=0,"",IF($B263&lt;E$23,E262+PPMT(E$26/12,$B263,E$23,E$235,-E$27,0),IF($B263=E$23,E262+PPMT(E$26/12,$B263,E$23,E$235,-E$27,0)-E$27,0)))</f>
        <v/>
      </c>
      <c r="F263" s="279">
        <f>IF(F$1=0,"",IF($B263&lt;F$23,F262+PPMT(F$26/12,$B263,F$23,F$235,-F$27,0),IF($B263=F$23,F262+PPMT(F$26/12,$B263,F$23,F$235,-F$27,0)-F$27,0)))</f>
        <v/>
      </c>
      <c r="G263" s="279">
        <f>IF(G$1=0,"",IF($B263&lt;G$23,G262+PPMT(G$26/12,$B263,G$23,G$235,-G$27,0),IF($B263=G$23,G262+PPMT(G$26/12,$B263,G$23,G$235,-G$27,0)-G$27,0)))</f>
        <v/>
      </c>
      <c r="H263" s="279">
        <f>IF(H$1=0,"",IF($B263&lt;H$23,H262+PPMT(H$26/12,$B263,H$23,H$235,-H$27,0),IF($B263=H$23,H262+PPMT(H$26/12,$B263,H$23,H$235,-H$27,0)-H$27,0)))</f>
        <v/>
      </c>
      <c r="I263" s="279">
        <f>IF(I$1=0,"",IF($B263&lt;I$23,I262+PPMT(I$26/12,$B263,I$23,I$235,-I$27,0),IF($B263=I$23,I262+PPMT(I$26/12,$B263,I$23,I$235,-I$27,0)-I$27,0)))</f>
        <v/>
      </c>
      <c r="J263" s="279">
        <f>IF(J$1=0,"",IF($B263&lt;J$23,J262+PPMT(J$26/12,$B263,J$23,J$235,-J$27,0),IF($B263=J$23,J262+PPMT(J$26/12,$B263,J$23,J$235,-J$27,0)-J$27,0)))</f>
        <v/>
      </c>
      <c r="K263" s="279">
        <f>IF(K$1=0,"",IF($B263&lt;K$23,K262+PPMT(K$26/12,$B263,K$23,K$235,-K$27,0),IF($B263=K$23,K262+PPMT(K$26/12,$B263,K$23,K$235,-K$27,0)-K$27,0)))</f>
        <v/>
      </c>
      <c r="L263" s="279">
        <f>IF(L$1=0,"",IF($B263&lt;L$23,L262+PPMT(L$26/12,$B263,L$23,L$235,-L$27,0),IF($B263=L$23,L262+PPMT(L$26/12,$B263,L$23,L$235,-L$27,0)-L$27,0)))</f>
        <v/>
      </c>
      <c r="M263" s="279">
        <f>IF(M$1=0,"",IF($B263&lt;M$23,M262+PPMT(M$26/12,$B263,M$23,M$235,-M$27,0),IF($B263=M$23,M262+PPMT(M$26/12,$B263,M$23,M$235,-M$27,0)-M$27,0)))</f>
        <v/>
      </c>
      <c r="N263" s="280" t="n"/>
      <c r="O263" s="281" t="n"/>
    </row>
    <row r="264" hidden="1" outlineLevel="1">
      <c r="B264" s="2">
        <f>B263+1</f>
        <v/>
      </c>
      <c r="D264" s="279">
        <f>IF(B264&lt;$D$24,(+'CALCULETTE (2)'!G661/'CALCULETTE (2)'!$B$612),0)</f>
        <v/>
      </c>
      <c r="E264" s="279">
        <f>IF(E$1=0,"",IF($B264&lt;E$23,E263+PPMT(E$26/12,$B264,E$23,E$235,-E$27,0),IF($B264=E$23,E263+PPMT(E$26/12,$B264,E$23,E$235,-E$27,0)-E$27,0)))</f>
        <v/>
      </c>
      <c r="F264" s="279">
        <f>IF(F$1=0,"",IF($B264&lt;F$23,F263+PPMT(F$26/12,$B264,F$23,F$235,-F$27,0),IF($B264=F$23,F263+PPMT(F$26/12,$B264,F$23,F$235,-F$27,0)-F$27,0)))</f>
        <v/>
      </c>
      <c r="G264" s="279">
        <f>IF(G$1=0,"",IF($B264&lt;G$23,G263+PPMT(G$26/12,$B264,G$23,G$235,-G$27,0),IF($B264=G$23,G263+PPMT(G$26/12,$B264,G$23,G$235,-G$27,0)-G$27,0)))</f>
        <v/>
      </c>
      <c r="H264" s="279">
        <f>IF(H$1=0,"",IF($B264&lt;H$23,H263+PPMT(H$26/12,$B264,H$23,H$235,-H$27,0),IF($B264=H$23,H263+PPMT(H$26/12,$B264,H$23,H$235,-H$27,0)-H$27,0)))</f>
        <v/>
      </c>
      <c r="I264" s="279">
        <f>IF(I$1=0,"",IF($B264&lt;I$23,I263+PPMT(I$26/12,$B264,I$23,I$235,-I$27,0),IF($B264=I$23,I263+PPMT(I$26/12,$B264,I$23,I$235,-I$27,0)-I$27,0)))</f>
        <v/>
      </c>
      <c r="J264" s="279">
        <f>IF(J$1=0,"",IF($B264&lt;J$23,J263+PPMT(J$26/12,$B264,J$23,J$235,-J$27,0),IF($B264=J$23,J263+PPMT(J$26/12,$B264,J$23,J$235,-J$27,0)-J$27,0)))</f>
        <v/>
      </c>
      <c r="K264" s="279">
        <f>IF(K$1=0,"",IF($B264&lt;K$23,K263+PPMT(K$26/12,$B264,K$23,K$235,-K$27,0),IF($B264=K$23,K263+PPMT(K$26/12,$B264,K$23,K$235,-K$27,0)-K$27,0)))</f>
        <v/>
      </c>
      <c r="L264" s="279">
        <f>IF(L$1=0,"",IF($B264&lt;L$23,L263+PPMT(L$26/12,$B264,L$23,L$235,-L$27,0),IF($B264=L$23,L263+PPMT(L$26/12,$B264,L$23,L$235,-L$27,0)-L$27,0)))</f>
        <v/>
      </c>
      <c r="M264" s="279">
        <f>IF(M$1=0,"",IF($B264&lt;M$23,M263+PPMT(M$26/12,$B264,M$23,M$235,-M$27,0),IF($B264=M$23,M263+PPMT(M$26/12,$B264,M$23,M$235,-M$27,0)-M$27,0)))</f>
        <v/>
      </c>
      <c r="N264" s="280" t="n"/>
      <c r="O264" s="281" t="n"/>
    </row>
    <row r="265" hidden="1" outlineLevel="1">
      <c r="B265" s="2">
        <f>B264+1</f>
        <v/>
      </c>
      <c r="D265" s="279">
        <f>IF(B265&lt;$D$24,(+'CALCULETTE (2)'!G662/'CALCULETTE (2)'!$B$612),0)</f>
        <v/>
      </c>
      <c r="E265" s="279">
        <f>IF(E$1=0,"",IF($B265&lt;E$23,E264+PPMT(E$26/12,$B265,E$23,E$235,-E$27,0),IF($B265=E$23,E264+PPMT(E$26/12,$B265,E$23,E$235,-E$27,0)-E$27,0)))</f>
        <v/>
      </c>
      <c r="F265" s="279">
        <f>IF(F$1=0,"",IF($B265&lt;F$23,F264+PPMT(F$26/12,$B265,F$23,F$235,-F$27,0),IF($B265=F$23,F264+PPMT(F$26/12,$B265,F$23,F$235,-F$27,0)-F$27,0)))</f>
        <v/>
      </c>
      <c r="G265" s="279">
        <f>IF(G$1=0,"",IF($B265&lt;G$23,G264+PPMT(G$26/12,$B265,G$23,G$235,-G$27,0),IF($B265=G$23,G264+PPMT(G$26/12,$B265,G$23,G$235,-G$27,0)-G$27,0)))</f>
        <v/>
      </c>
      <c r="H265" s="279">
        <f>IF(H$1=0,"",IF($B265&lt;H$23,H264+PPMT(H$26/12,$B265,H$23,H$235,-H$27,0),IF($B265=H$23,H264+PPMT(H$26/12,$B265,H$23,H$235,-H$27,0)-H$27,0)))</f>
        <v/>
      </c>
      <c r="I265" s="279">
        <f>IF(I$1=0,"",IF($B265&lt;I$23,I264+PPMT(I$26/12,$B265,I$23,I$235,-I$27,0),IF($B265=I$23,I264+PPMT(I$26/12,$B265,I$23,I$235,-I$27,0)-I$27,0)))</f>
        <v/>
      </c>
      <c r="J265" s="279">
        <f>IF(J$1=0,"",IF($B265&lt;J$23,J264+PPMT(J$26/12,$B265,J$23,J$235,-J$27,0),IF($B265=J$23,J264+PPMT(J$26/12,$B265,J$23,J$235,-J$27,0)-J$27,0)))</f>
        <v/>
      </c>
      <c r="K265" s="279">
        <f>IF(K$1=0,"",IF($B265&lt;K$23,K264+PPMT(K$26/12,$B265,K$23,K$235,-K$27,0),IF($B265=K$23,K264+PPMT(K$26/12,$B265,K$23,K$235,-K$27,0)-K$27,0)))</f>
        <v/>
      </c>
      <c r="L265" s="279">
        <f>IF(L$1=0,"",IF($B265&lt;L$23,L264+PPMT(L$26/12,$B265,L$23,L$235,-L$27,0),IF($B265=L$23,L264+PPMT(L$26/12,$B265,L$23,L$235,-L$27,0)-L$27,0)))</f>
        <v/>
      </c>
      <c r="M265" s="279">
        <f>IF(M$1=0,"",IF($B265&lt;M$23,M264+PPMT(M$26/12,$B265,M$23,M$235,-M$27,0),IF($B265=M$23,M264+PPMT(M$26/12,$B265,M$23,M$235,-M$27,0)-M$27,0)))</f>
        <v/>
      </c>
      <c r="N265" s="280" t="n"/>
      <c r="O265" s="281" t="n"/>
    </row>
    <row r="266" hidden="1" outlineLevel="1">
      <c r="B266" s="2">
        <f>B265+1</f>
        <v/>
      </c>
      <c r="D266" s="279">
        <f>IF(B266&lt;$D$24,(+'CALCULETTE (2)'!G663/'CALCULETTE (2)'!$B$612),0)</f>
        <v/>
      </c>
      <c r="E266" s="279">
        <f>IF(E$1=0,"",IF($B266&lt;E$23,E265+PPMT(E$26/12,$B266,E$23,E$235,-E$27,0),IF($B266=E$23,E265+PPMT(E$26/12,$B266,E$23,E$235,-E$27,0)-E$27,0)))</f>
        <v/>
      </c>
      <c r="F266" s="279">
        <f>IF(F$1=0,"",IF($B266&lt;F$23,F265+PPMT(F$26/12,$B266,F$23,F$235,-F$27,0),IF($B266=F$23,F265+PPMT(F$26/12,$B266,F$23,F$235,-F$27,0)-F$27,0)))</f>
        <v/>
      </c>
      <c r="G266" s="279">
        <f>IF(G$1=0,"",IF($B266&lt;G$23,G265+PPMT(G$26/12,$B266,G$23,G$235,-G$27,0),IF($B266=G$23,G265+PPMT(G$26/12,$B266,G$23,G$235,-G$27,0)-G$27,0)))</f>
        <v/>
      </c>
      <c r="H266" s="279">
        <f>IF(H$1=0,"",IF($B266&lt;H$23,H265+PPMT(H$26/12,$B266,H$23,H$235,-H$27,0),IF($B266=H$23,H265+PPMT(H$26/12,$B266,H$23,H$235,-H$27,0)-H$27,0)))</f>
        <v/>
      </c>
      <c r="I266" s="279">
        <f>IF(I$1=0,"",IF($B266&lt;I$23,I265+PPMT(I$26/12,$B266,I$23,I$235,-I$27,0),IF($B266=I$23,I265+PPMT(I$26/12,$B266,I$23,I$235,-I$27,0)-I$27,0)))</f>
        <v/>
      </c>
      <c r="J266" s="279">
        <f>IF(J$1=0,"",IF($B266&lt;J$23,J265+PPMT(J$26/12,$B266,J$23,J$235,-J$27,0),IF($B266=J$23,J265+PPMT(J$26/12,$B266,J$23,J$235,-J$27,0)-J$27,0)))</f>
        <v/>
      </c>
      <c r="K266" s="279">
        <f>IF(K$1=0,"",IF($B266&lt;K$23,K265+PPMT(K$26/12,$B266,K$23,K$235,-K$27,0),IF($B266=K$23,K265+PPMT(K$26/12,$B266,K$23,K$235,-K$27,0)-K$27,0)))</f>
        <v/>
      </c>
      <c r="L266" s="279">
        <f>IF(L$1=0,"",IF($B266&lt;L$23,L265+PPMT(L$26/12,$B266,L$23,L$235,-L$27,0),IF($B266=L$23,L265+PPMT(L$26/12,$B266,L$23,L$235,-L$27,0)-L$27,0)))</f>
        <v/>
      </c>
      <c r="M266" s="279">
        <f>IF(M$1=0,"",IF($B266&lt;M$23,M265+PPMT(M$26/12,$B266,M$23,M$235,-M$27,0),IF($B266=M$23,M265+PPMT(M$26/12,$B266,M$23,M$235,-M$27,0)-M$27,0)))</f>
        <v/>
      </c>
      <c r="N266" s="280" t="n"/>
      <c r="O266" s="281" t="n"/>
    </row>
    <row r="267" hidden="1" outlineLevel="1">
      <c r="B267" s="2">
        <f>B266+1</f>
        <v/>
      </c>
      <c r="D267" s="279">
        <f>IF(B267&lt;$D$24,(+'CALCULETTE (2)'!G664/'CALCULETTE (2)'!$B$612),0)</f>
        <v/>
      </c>
      <c r="E267" s="279">
        <f>IF(E$1=0,"",IF($B267&lt;E$23,E266+PPMT(E$26/12,$B267,E$23,E$235,-E$27,0),IF($B267=E$23,E266+PPMT(E$26/12,$B267,E$23,E$235,-E$27,0)-E$27,0)))</f>
        <v/>
      </c>
      <c r="F267" s="279">
        <f>IF(F$1=0,"",IF($B267&lt;F$23,F266+PPMT(F$26/12,$B267,F$23,F$235,-F$27,0),IF($B267=F$23,F266+PPMT(F$26/12,$B267,F$23,F$235,-F$27,0)-F$27,0)))</f>
        <v/>
      </c>
      <c r="G267" s="279">
        <f>IF(G$1=0,"",IF($B267&lt;G$23,G266+PPMT(G$26/12,$B267,G$23,G$235,-G$27,0),IF($B267=G$23,G266+PPMT(G$26/12,$B267,G$23,G$235,-G$27,0)-G$27,0)))</f>
        <v/>
      </c>
      <c r="H267" s="279">
        <f>IF(H$1=0,"",IF($B267&lt;H$23,H266+PPMT(H$26/12,$B267,H$23,H$235,-H$27,0),IF($B267=H$23,H266+PPMT(H$26/12,$B267,H$23,H$235,-H$27,0)-H$27,0)))</f>
        <v/>
      </c>
      <c r="I267" s="279">
        <f>IF(I$1=0,"",IF($B267&lt;I$23,I266+PPMT(I$26/12,$B267,I$23,I$235,-I$27,0),IF($B267=I$23,I266+PPMT(I$26/12,$B267,I$23,I$235,-I$27,0)-I$27,0)))</f>
        <v/>
      </c>
      <c r="J267" s="279">
        <f>IF(J$1=0,"",IF($B267&lt;J$23,J266+PPMT(J$26/12,$B267,J$23,J$235,-J$27,0),IF($B267=J$23,J266+PPMT(J$26/12,$B267,J$23,J$235,-J$27,0)-J$27,0)))</f>
        <v/>
      </c>
      <c r="K267" s="279">
        <f>IF(K$1=0,"",IF($B267&lt;K$23,K266+PPMT(K$26/12,$B267,K$23,K$235,-K$27,0),IF($B267=K$23,K266+PPMT(K$26/12,$B267,K$23,K$235,-K$27,0)-K$27,0)))</f>
        <v/>
      </c>
      <c r="L267" s="279">
        <f>IF(L$1=0,"",IF($B267&lt;L$23,L266+PPMT(L$26/12,$B267,L$23,L$235,-L$27,0),IF($B267=L$23,L266+PPMT(L$26/12,$B267,L$23,L$235,-L$27,0)-L$27,0)))</f>
        <v/>
      </c>
      <c r="M267" s="279">
        <f>IF(M$1=0,"",IF($B267&lt;M$23,M266+PPMT(M$26/12,$B267,M$23,M$235,-M$27,0),IF($B267=M$23,M266+PPMT(M$26/12,$B267,M$23,M$235,-M$27,0)-M$27,0)))</f>
        <v/>
      </c>
      <c r="N267" s="280" t="n"/>
      <c r="O267" s="281" t="n"/>
    </row>
    <row r="268" hidden="1" outlineLevel="1">
      <c r="B268" s="2">
        <f>B267+1</f>
        <v/>
      </c>
      <c r="D268" s="279">
        <f>IF(B268&lt;$D$24,(+'CALCULETTE (2)'!G665/'CALCULETTE (2)'!$B$612),0)</f>
        <v/>
      </c>
      <c r="E268" s="279">
        <f>IF(E$1=0,"",IF($B268&lt;E$23,E267+PPMT(E$26/12,$B268,E$23,E$235,-E$27,0),IF($B268=E$23,E267+PPMT(E$26/12,$B268,E$23,E$235,-E$27,0)-E$27,0)))</f>
        <v/>
      </c>
      <c r="F268" s="279">
        <f>IF(F$1=0,"",IF($B268&lt;F$23,F267+PPMT(F$26/12,$B268,F$23,F$235,-F$27,0),IF($B268=F$23,F267+PPMT(F$26/12,$B268,F$23,F$235,-F$27,0)-F$27,0)))</f>
        <v/>
      </c>
      <c r="G268" s="279">
        <f>IF(G$1=0,"",IF($B268&lt;G$23,G267+PPMT(G$26/12,$B268,G$23,G$235,-G$27,0),IF($B268=G$23,G267+PPMT(G$26/12,$B268,G$23,G$235,-G$27,0)-G$27,0)))</f>
        <v/>
      </c>
      <c r="H268" s="279">
        <f>IF(H$1=0,"",IF($B268&lt;H$23,H267+PPMT(H$26/12,$B268,H$23,H$235,-H$27,0),IF($B268=H$23,H267+PPMT(H$26/12,$B268,H$23,H$235,-H$27,0)-H$27,0)))</f>
        <v/>
      </c>
      <c r="I268" s="279">
        <f>IF(I$1=0,"",IF($B268&lt;I$23,I267+PPMT(I$26/12,$B268,I$23,I$235,-I$27,0),IF($B268=I$23,I267+PPMT(I$26/12,$B268,I$23,I$235,-I$27,0)-I$27,0)))</f>
        <v/>
      </c>
      <c r="J268" s="279">
        <f>IF(J$1=0,"",IF($B268&lt;J$23,J267+PPMT(J$26/12,$B268,J$23,J$235,-J$27,0),IF($B268=J$23,J267+PPMT(J$26/12,$B268,J$23,J$235,-J$27,0)-J$27,0)))</f>
        <v/>
      </c>
      <c r="K268" s="279">
        <f>IF(K$1=0,"",IF($B268&lt;K$23,K267+PPMT(K$26/12,$B268,K$23,K$235,-K$27,0),IF($B268=K$23,K267+PPMT(K$26/12,$B268,K$23,K$235,-K$27,0)-K$27,0)))</f>
        <v/>
      </c>
      <c r="L268" s="279">
        <f>IF(L$1=0,"",IF($B268&lt;L$23,L267+PPMT(L$26/12,$B268,L$23,L$235,-L$27,0),IF($B268=L$23,L267+PPMT(L$26/12,$B268,L$23,L$235,-L$27,0)-L$27,0)))</f>
        <v/>
      </c>
      <c r="M268" s="279">
        <f>IF(M$1=0,"",IF($B268&lt;M$23,M267+PPMT(M$26/12,$B268,M$23,M$235,-M$27,0),IF($B268=M$23,M267+PPMT(M$26/12,$B268,M$23,M$235,-M$27,0)-M$27,0)))</f>
        <v/>
      </c>
      <c r="N268" s="280" t="n"/>
      <c r="O268" s="281" t="n"/>
    </row>
    <row r="269" hidden="1" outlineLevel="1">
      <c r="B269" s="2">
        <f>B268+1</f>
        <v/>
      </c>
      <c r="D269" s="279">
        <f>IF(B269&lt;$D$24,(+'CALCULETTE (2)'!G666/'CALCULETTE (2)'!$B$612),0)</f>
        <v/>
      </c>
      <c r="E269" s="279">
        <f>IF(E$1=0,"",IF($B269&lt;E$23,E268+PPMT(E$26/12,$B269,E$23,E$235,-E$27,0),IF($B269=E$23,E268+PPMT(E$26/12,$B269,E$23,E$235,-E$27,0)-E$27,0)))</f>
        <v/>
      </c>
      <c r="F269" s="279">
        <f>IF(F$1=0,"",IF($B269&lt;F$23,F268+PPMT(F$26/12,$B269,F$23,F$235,-F$27,0),IF($B269=F$23,F268+PPMT(F$26/12,$B269,F$23,F$235,-F$27,0)-F$27,0)))</f>
        <v/>
      </c>
      <c r="G269" s="279">
        <f>IF(G$1=0,"",IF($B269&lt;G$23,G268+PPMT(G$26/12,$B269,G$23,G$235,-G$27,0),IF($B269=G$23,G268+PPMT(G$26/12,$B269,G$23,G$235,-G$27,0)-G$27,0)))</f>
        <v/>
      </c>
      <c r="H269" s="279">
        <f>IF(H$1=0,"",IF($B269&lt;H$23,H268+PPMT(H$26/12,$B269,H$23,H$235,-H$27,0),IF($B269=H$23,H268+PPMT(H$26/12,$B269,H$23,H$235,-H$27,0)-H$27,0)))</f>
        <v/>
      </c>
      <c r="I269" s="279">
        <f>IF(I$1=0,"",IF($B269&lt;I$23,I268+PPMT(I$26/12,$B269,I$23,I$235,-I$27,0),IF($B269=I$23,I268+PPMT(I$26/12,$B269,I$23,I$235,-I$27,0)-I$27,0)))</f>
        <v/>
      </c>
      <c r="J269" s="279">
        <f>IF(J$1=0,"",IF($B269&lt;J$23,J268+PPMT(J$26/12,$B269,J$23,J$235,-J$27,0),IF($B269=J$23,J268+PPMT(J$26/12,$B269,J$23,J$235,-J$27,0)-J$27,0)))</f>
        <v/>
      </c>
      <c r="K269" s="279">
        <f>IF(K$1=0,"",IF($B269&lt;K$23,K268+PPMT(K$26/12,$B269,K$23,K$235,-K$27,0),IF($B269=K$23,K268+PPMT(K$26/12,$B269,K$23,K$235,-K$27,0)-K$27,0)))</f>
        <v/>
      </c>
      <c r="L269" s="279">
        <f>IF(L$1=0,"",IF($B269&lt;L$23,L268+PPMT(L$26/12,$B269,L$23,L$235,-L$27,0),IF($B269=L$23,L268+PPMT(L$26/12,$B269,L$23,L$235,-L$27,0)-L$27,0)))</f>
        <v/>
      </c>
      <c r="M269" s="279">
        <f>IF(M$1=0,"",IF($B269&lt;M$23,M268+PPMT(M$26/12,$B269,M$23,M$235,-M$27,0),IF($B269=M$23,M268+PPMT(M$26/12,$B269,M$23,M$235,-M$27,0)-M$27,0)))</f>
        <v/>
      </c>
      <c r="N269" s="280" t="n"/>
      <c r="O269" s="281" t="n"/>
    </row>
    <row r="270" hidden="1" outlineLevel="1">
      <c r="B270" s="2">
        <f>B269+1</f>
        <v/>
      </c>
      <c r="D270" s="279">
        <f>IF(B270&lt;$D$24,(+'CALCULETTE (2)'!G667/'CALCULETTE (2)'!$B$612),0)</f>
        <v/>
      </c>
      <c r="E270" s="279">
        <f>IF(E$1=0,"",IF($B270&lt;E$23,E269+PPMT(E$26/12,$B270,E$23,E$235,-E$27,0),IF($B270=E$23,E269+PPMT(E$26/12,$B270,E$23,E$235,-E$27,0)-E$27,0)))</f>
        <v/>
      </c>
      <c r="F270" s="279">
        <f>IF(F$1=0,"",IF($B270&lt;F$23,F269+PPMT(F$26/12,$B270,F$23,F$235,-F$27,0),IF($B270=F$23,F269+PPMT(F$26/12,$B270,F$23,F$235,-F$27,0)-F$27,0)))</f>
        <v/>
      </c>
      <c r="G270" s="279">
        <f>IF(G$1=0,"",IF($B270&lt;G$23,G269+PPMT(G$26/12,$B270,G$23,G$235,-G$27,0),IF($B270=G$23,G269+PPMT(G$26/12,$B270,G$23,G$235,-G$27,0)-G$27,0)))</f>
        <v/>
      </c>
      <c r="H270" s="279">
        <f>IF(H$1=0,"",IF($B270&lt;H$23,H269+PPMT(H$26/12,$B270,H$23,H$235,-H$27,0),IF($B270=H$23,H269+PPMT(H$26/12,$B270,H$23,H$235,-H$27,0)-H$27,0)))</f>
        <v/>
      </c>
      <c r="I270" s="279">
        <f>IF(I$1=0,"",IF($B270&lt;I$23,I269+PPMT(I$26/12,$B270,I$23,I$235,-I$27,0),IF($B270=I$23,I269+PPMT(I$26/12,$B270,I$23,I$235,-I$27,0)-I$27,0)))</f>
        <v/>
      </c>
      <c r="J270" s="279">
        <f>IF(J$1=0,"",IF($B270&lt;J$23,J269+PPMT(J$26/12,$B270,J$23,J$235,-J$27,0),IF($B270=J$23,J269+PPMT(J$26/12,$B270,J$23,J$235,-J$27,0)-J$27,0)))</f>
        <v/>
      </c>
      <c r="K270" s="279">
        <f>IF(K$1=0,"",IF($B270&lt;K$23,K269+PPMT(K$26/12,$B270,K$23,K$235,-K$27,0),IF($B270=K$23,K269+PPMT(K$26/12,$B270,K$23,K$235,-K$27,0)-K$27,0)))</f>
        <v/>
      </c>
      <c r="L270" s="279">
        <f>IF(L$1=0,"",IF($B270&lt;L$23,L269+PPMT(L$26/12,$B270,L$23,L$235,-L$27,0),IF($B270=L$23,L269+PPMT(L$26/12,$B270,L$23,L$235,-L$27,0)-L$27,0)))</f>
        <v/>
      </c>
      <c r="M270" s="279">
        <f>IF(M$1=0,"",IF($B270&lt;M$23,M269+PPMT(M$26/12,$B270,M$23,M$235,-M$27,0),IF($B270=M$23,M269+PPMT(M$26/12,$B270,M$23,M$235,-M$27,0)-M$27,0)))</f>
        <v/>
      </c>
      <c r="N270" s="280" t="n"/>
      <c r="O270" s="281" t="n"/>
    </row>
    <row r="271" hidden="1" outlineLevel="1">
      <c r="B271" s="2">
        <f>B270+1</f>
        <v/>
      </c>
      <c r="D271" s="279">
        <f>IF(B271&lt;$D$24,(+'CALCULETTE (2)'!G668/'CALCULETTE (2)'!$B$612),0)</f>
        <v/>
      </c>
      <c r="E271" s="279">
        <f>IF(E$1=0,"",IF($B271&lt;E$23,E270+PPMT(E$26/12,$B271,E$23,E$235,-E$27,0),IF($B271=E$23,E270+PPMT(E$26/12,$B271,E$23,E$235,-E$27,0)-E$27,0)))</f>
        <v/>
      </c>
      <c r="F271" s="279">
        <f>IF(F$1=0,"",IF($B271&lt;F$23,F270+PPMT(F$26/12,$B271,F$23,F$235,-F$27,0),IF($B271=F$23,F270+PPMT(F$26/12,$B271,F$23,F$235,-F$27,0)-F$27,0)))</f>
        <v/>
      </c>
      <c r="G271" s="279">
        <f>IF(G$1=0,"",IF($B271&lt;G$23,G270+PPMT(G$26/12,$B271,G$23,G$235,-G$27,0),IF($B271=G$23,G270+PPMT(G$26/12,$B271,G$23,G$235,-G$27,0)-G$27,0)))</f>
        <v/>
      </c>
      <c r="H271" s="279">
        <f>IF(H$1=0,"",IF($B271&lt;H$23,H270+PPMT(H$26/12,$B271,H$23,H$235,-H$27,0),IF($B271=H$23,H270+PPMT(H$26/12,$B271,H$23,H$235,-H$27,0)-H$27,0)))</f>
        <v/>
      </c>
      <c r="I271" s="279">
        <f>IF(I$1=0,"",IF($B271&lt;I$23,I270+PPMT(I$26/12,$B271,I$23,I$235,-I$27,0),IF($B271=I$23,I270+PPMT(I$26/12,$B271,I$23,I$235,-I$27,0)-I$27,0)))</f>
        <v/>
      </c>
      <c r="J271" s="279">
        <f>IF(J$1=0,"",IF($B271&lt;J$23,J270+PPMT(J$26/12,$B271,J$23,J$235,-J$27,0),IF($B271=J$23,J270+PPMT(J$26/12,$B271,J$23,J$235,-J$27,0)-J$27,0)))</f>
        <v/>
      </c>
      <c r="K271" s="279">
        <f>IF(K$1=0,"",IF($B271&lt;K$23,K270+PPMT(K$26/12,$B271,K$23,K$235,-K$27,0),IF($B271=K$23,K270+PPMT(K$26/12,$B271,K$23,K$235,-K$27,0)-K$27,0)))</f>
        <v/>
      </c>
      <c r="L271" s="279">
        <f>IF(L$1=0,"",IF($B271&lt;L$23,L270+PPMT(L$26/12,$B271,L$23,L$235,-L$27,0),IF($B271=L$23,L270+PPMT(L$26/12,$B271,L$23,L$235,-L$27,0)-L$27,0)))</f>
        <v/>
      </c>
      <c r="M271" s="279">
        <f>IF(M$1=0,"",IF($B271&lt;M$23,M270+PPMT(M$26/12,$B271,M$23,M$235,-M$27,0),IF($B271=M$23,M270+PPMT(M$26/12,$B271,M$23,M$235,-M$27,0)-M$27,0)))</f>
        <v/>
      </c>
      <c r="N271" s="280" t="n"/>
      <c r="O271" s="281" t="n"/>
    </row>
    <row r="272" hidden="1" outlineLevel="1">
      <c r="B272" s="2">
        <f>B271+1</f>
        <v/>
      </c>
      <c r="D272" s="279">
        <f>IF(B272&lt;$D$24,(+'CALCULETTE (2)'!G669/'CALCULETTE (2)'!$B$612),0)</f>
        <v/>
      </c>
      <c r="E272" s="279">
        <f>IF(E$1=0,"",IF($B272&lt;E$23,E271+PPMT(E$26/12,$B272,E$23,E$235,-E$27,0),IF($B272=E$23,E271+PPMT(E$26/12,$B272,E$23,E$235,-E$27,0)-E$27,0)))</f>
        <v/>
      </c>
      <c r="F272" s="279">
        <f>IF(F$1=0,"",IF($B272&lt;F$23,F271+PPMT(F$26/12,$B272,F$23,F$235,-F$27,0),IF($B272=F$23,F271+PPMT(F$26/12,$B272,F$23,F$235,-F$27,0)-F$27,0)))</f>
        <v/>
      </c>
      <c r="G272" s="279">
        <f>IF(G$1=0,"",IF($B272&lt;G$23,G271+PPMT(G$26/12,$B272,G$23,G$235,-G$27,0),IF($B272=G$23,G271+PPMT(G$26/12,$B272,G$23,G$235,-G$27,0)-G$27,0)))</f>
        <v/>
      </c>
      <c r="H272" s="279">
        <f>IF(H$1=0,"",IF($B272&lt;H$23,H271+PPMT(H$26/12,$B272,H$23,H$235,-H$27,0),IF($B272=H$23,H271+PPMT(H$26/12,$B272,H$23,H$235,-H$27,0)-H$27,0)))</f>
        <v/>
      </c>
      <c r="I272" s="279">
        <f>IF(I$1=0,"",IF($B272&lt;I$23,I271+PPMT(I$26/12,$B272,I$23,I$235,-I$27,0),IF($B272=I$23,I271+PPMT(I$26/12,$B272,I$23,I$235,-I$27,0)-I$27,0)))</f>
        <v/>
      </c>
      <c r="J272" s="279">
        <f>IF(J$1=0,"",IF($B272&lt;J$23,J271+PPMT(J$26/12,$B272,J$23,J$235,-J$27,0),IF($B272=J$23,J271+PPMT(J$26/12,$B272,J$23,J$235,-J$27,0)-J$27,0)))</f>
        <v/>
      </c>
      <c r="K272" s="279">
        <f>IF(K$1=0,"",IF($B272&lt;K$23,K271+PPMT(K$26/12,$B272,K$23,K$235,-K$27,0),IF($B272=K$23,K271+PPMT(K$26/12,$B272,K$23,K$235,-K$27,0)-K$27,0)))</f>
        <v/>
      </c>
      <c r="L272" s="279">
        <f>IF(L$1=0,"",IF($B272&lt;L$23,L271+PPMT(L$26/12,$B272,L$23,L$235,-L$27,0),IF($B272=L$23,L271+PPMT(L$26/12,$B272,L$23,L$235,-L$27,0)-L$27,0)))</f>
        <v/>
      </c>
      <c r="M272" s="279">
        <f>IF(M$1=0,"",IF($B272&lt;M$23,M271+PPMT(M$26/12,$B272,M$23,M$235,-M$27,0),IF($B272=M$23,M271+PPMT(M$26/12,$B272,M$23,M$235,-M$27,0)-M$27,0)))</f>
        <v/>
      </c>
      <c r="N272" s="280" t="n"/>
      <c r="O272" s="281" t="n"/>
    </row>
    <row r="273" hidden="1" outlineLevel="1">
      <c r="B273" s="2">
        <f>B272+1</f>
        <v/>
      </c>
      <c r="D273" s="279">
        <f>IF(B273&lt;$D$24,(+'CALCULETTE (2)'!G670/'CALCULETTE (2)'!$B$612),0)</f>
        <v/>
      </c>
      <c r="E273" s="279">
        <f>IF(E$1=0,"",IF($B273&lt;E$23,E272+PPMT(E$26/12,$B273,E$23,E$235,-E$27,0),IF($B273=E$23,E272+PPMT(E$26/12,$B273,E$23,E$235,-E$27,0)-E$27,0)))</f>
        <v/>
      </c>
      <c r="F273" s="279">
        <f>IF(F$1=0,"",IF($B273&lt;F$23,F272+PPMT(F$26/12,$B273,F$23,F$235,-F$27,0),IF($B273=F$23,F272+PPMT(F$26/12,$B273,F$23,F$235,-F$27,0)-F$27,0)))</f>
        <v/>
      </c>
      <c r="G273" s="279">
        <f>IF(G$1=0,"",IF($B273&lt;G$23,G272+PPMT(G$26/12,$B273,G$23,G$235,-G$27,0),IF($B273=G$23,G272+PPMT(G$26/12,$B273,G$23,G$235,-G$27,0)-G$27,0)))</f>
        <v/>
      </c>
      <c r="H273" s="279">
        <f>IF(H$1=0,"",IF($B273&lt;H$23,H272+PPMT(H$26/12,$B273,H$23,H$235,-H$27,0),IF($B273=H$23,H272+PPMT(H$26/12,$B273,H$23,H$235,-H$27,0)-H$27,0)))</f>
        <v/>
      </c>
      <c r="I273" s="279">
        <f>IF(I$1=0,"",IF($B273&lt;I$23,I272+PPMT(I$26/12,$B273,I$23,I$235,-I$27,0),IF($B273=I$23,I272+PPMT(I$26/12,$B273,I$23,I$235,-I$27,0)-I$27,0)))</f>
        <v/>
      </c>
      <c r="J273" s="279">
        <f>IF(J$1=0,"",IF($B273&lt;J$23,J272+PPMT(J$26/12,$B273,J$23,J$235,-J$27,0),IF($B273=J$23,J272+PPMT(J$26/12,$B273,J$23,J$235,-J$27,0)-J$27,0)))</f>
        <v/>
      </c>
      <c r="K273" s="279">
        <f>IF(K$1=0,"",IF($B273&lt;K$23,K272+PPMT(K$26/12,$B273,K$23,K$235,-K$27,0),IF($B273=K$23,K272+PPMT(K$26/12,$B273,K$23,K$235,-K$27,0)-K$27,0)))</f>
        <v/>
      </c>
      <c r="L273" s="279">
        <f>IF(L$1=0,"",IF($B273&lt;L$23,L272+PPMT(L$26/12,$B273,L$23,L$235,-L$27,0),IF($B273=L$23,L272+PPMT(L$26/12,$B273,L$23,L$235,-L$27,0)-L$27,0)))</f>
        <v/>
      </c>
      <c r="M273" s="279">
        <f>IF(M$1=0,"",IF($B273&lt;M$23,M272+PPMT(M$26/12,$B273,M$23,M$235,-M$27,0),IF($B273=M$23,M272+PPMT(M$26/12,$B273,M$23,M$235,-M$27,0)-M$27,0)))</f>
        <v/>
      </c>
      <c r="N273" s="280" t="n"/>
      <c r="O273" s="281" t="n"/>
    </row>
    <row r="274" hidden="1" outlineLevel="1">
      <c r="B274" s="2">
        <f>B273+1</f>
        <v/>
      </c>
      <c r="D274" s="279">
        <f>IF(B274&lt;$D$24,(+'CALCULETTE (2)'!G671/'CALCULETTE (2)'!$B$612),0)</f>
        <v/>
      </c>
      <c r="E274" s="279">
        <f>IF(E$1=0,"",IF($B274&lt;E$23,E273+PPMT(E$26/12,$B274,E$23,E$235,-E$27,0),IF($B274=E$23,E273+PPMT(E$26/12,$B274,E$23,E$235,-E$27,0)-E$27,0)))</f>
        <v/>
      </c>
      <c r="F274" s="279">
        <f>IF(F$1=0,"",IF($B274&lt;F$23,F273+PPMT(F$26/12,$B274,F$23,F$235,-F$27,0),IF($B274=F$23,F273+PPMT(F$26/12,$B274,F$23,F$235,-F$27,0)-F$27,0)))</f>
        <v/>
      </c>
      <c r="G274" s="279">
        <f>IF(G$1=0,"",IF($B274&lt;G$23,G273+PPMT(G$26/12,$B274,G$23,G$235,-G$27,0),IF($B274=G$23,G273+PPMT(G$26/12,$B274,G$23,G$235,-G$27,0)-G$27,0)))</f>
        <v/>
      </c>
      <c r="H274" s="279">
        <f>IF(H$1=0,"",IF($B274&lt;H$23,H273+PPMT(H$26/12,$B274,H$23,H$235,-H$27,0),IF($B274=H$23,H273+PPMT(H$26/12,$B274,H$23,H$235,-H$27,0)-H$27,0)))</f>
        <v/>
      </c>
      <c r="I274" s="279">
        <f>IF(I$1=0,"",IF($B274&lt;I$23,I273+PPMT(I$26/12,$B274,I$23,I$235,-I$27,0),IF($B274=I$23,I273+PPMT(I$26/12,$B274,I$23,I$235,-I$27,0)-I$27,0)))</f>
        <v/>
      </c>
      <c r="J274" s="279">
        <f>IF(J$1=0,"",IF($B274&lt;J$23,J273+PPMT(J$26/12,$B274,J$23,J$235,-J$27,0),IF($B274=J$23,J273+PPMT(J$26/12,$B274,J$23,J$235,-J$27,0)-J$27,0)))</f>
        <v/>
      </c>
      <c r="K274" s="279">
        <f>IF(K$1=0,"",IF($B274&lt;K$23,K273+PPMT(K$26/12,$B274,K$23,K$235,-K$27,0),IF($B274=K$23,K273+PPMT(K$26/12,$B274,K$23,K$235,-K$27,0)-K$27,0)))</f>
        <v/>
      </c>
      <c r="L274" s="279">
        <f>IF(L$1=0,"",IF($B274&lt;L$23,L273+PPMT(L$26/12,$B274,L$23,L$235,-L$27,0),IF($B274=L$23,L273+PPMT(L$26/12,$B274,L$23,L$235,-L$27,0)-L$27,0)))</f>
        <v/>
      </c>
      <c r="M274" s="279">
        <f>IF(M$1=0,"",IF($B274&lt;M$23,M273+PPMT(M$26/12,$B274,M$23,M$235,-M$27,0),IF($B274=M$23,M273+PPMT(M$26/12,$B274,M$23,M$235,-M$27,0)-M$27,0)))</f>
        <v/>
      </c>
      <c r="N274" s="280" t="n"/>
      <c r="O274" s="281" t="n"/>
    </row>
    <row r="275" hidden="1" outlineLevel="1">
      <c r="B275" s="2">
        <f>B274+1</f>
        <v/>
      </c>
      <c r="D275" s="279">
        <f>IF(B275&lt;$D$24,(+'CALCULETTE (2)'!G672/'CALCULETTE (2)'!$B$612),0)</f>
        <v/>
      </c>
      <c r="E275" s="279">
        <f>IF(E$1=0,"",IF($B275&lt;E$23,E274+PPMT(E$26/12,$B275,E$23,E$235,-E$27,0),IF($B275=E$23,E274+PPMT(E$26/12,$B275,E$23,E$235,-E$27,0)-E$27,0)))</f>
        <v/>
      </c>
      <c r="F275" s="279">
        <f>IF(F$1=0,"",IF($B275&lt;F$23,F274+PPMT(F$26/12,$B275,F$23,F$235,-F$27,0),IF($B275=F$23,F274+PPMT(F$26/12,$B275,F$23,F$235,-F$27,0)-F$27,0)))</f>
        <v/>
      </c>
      <c r="G275" s="279">
        <f>IF(G$1=0,"",IF($B275&lt;G$23,G274+PPMT(G$26/12,$B275,G$23,G$235,-G$27,0),IF($B275=G$23,G274+PPMT(G$26/12,$B275,G$23,G$235,-G$27,0)-G$27,0)))</f>
        <v/>
      </c>
      <c r="H275" s="279">
        <f>IF(H$1=0,"",IF($B275&lt;H$23,H274+PPMT(H$26/12,$B275,H$23,H$235,-H$27,0),IF($B275=H$23,H274+PPMT(H$26/12,$B275,H$23,H$235,-H$27,0)-H$27,0)))</f>
        <v/>
      </c>
      <c r="I275" s="279">
        <f>IF(I$1=0,"",IF($B275&lt;I$23,I274+PPMT(I$26/12,$B275,I$23,I$235,-I$27,0),IF($B275=I$23,I274+PPMT(I$26/12,$B275,I$23,I$235,-I$27,0)-I$27,0)))</f>
        <v/>
      </c>
      <c r="J275" s="279">
        <f>IF(J$1=0,"",IF($B275&lt;J$23,J274+PPMT(J$26/12,$B275,J$23,J$235,-J$27,0),IF($B275=J$23,J274+PPMT(J$26/12,$B275,J$23,J$235,-J$27,0)-J$27,0)))</f>
        <v/>
      </c>
      <c r="K275" s="279">
        <f>IF(K$1=0,"",IF($B275&lt;K$23,K274+PPMT(K$26/12,$B275,K$23,K$235,-K$27,0),IF($B275=K$23,K274+PPMT(K$26/12,$B275,K$23,K$235,-K$27,0)-K$27,0)))</f>
        <v/>
      </c>
      <c r="L275" s="279">
        <f>IF(L$1=0,"",IF($B275&lt;L$23,L274+PPMT(L$26/12,$B275,L$23,L$235,-L$27,0),IF($B275=L$23,L274+PPMT(L$26/12,$B275,L$23,L$235,-L$27,0)-L$27,0)))</f>
        <v/>
      </c>
      <c r="M275" s="279">
        <f>IF(M$1=0,"",IF($B275&lt;M$23,M274+PPMT(M$26/12,$B275,M$23,M$235,-M$27,0),IF($B275=M$23,M274+PPMT(M$26/12,$B275,M$23,M$235,-M$27,0)-M$27,0)))</f>
        <v/>
      </c>
      <c r="N275" s="280" t="n"/>
      <c r="O275" s="281" t="n"/>
    </row>
    <row r="276" hidden="1" outlineLevel="1">
      <c r="B276" s="2">
        <f>B275+1</f>
        <v/>
      </c>
      <c r="D276" s="279">
        <f>IF(B276&lt;$D$24,(+'CALCULETTE (2)'!G673/'CALCULETTE (2)'!$B$612),0)</f>
        <v/>
      </c>
      <c r="E276" s="279">
        <f>IF(E$1=0,"",IF($B276&lt;E$23,E275+PPMT(E$26/12,$B276,E$23,E$235,-E$27,0),IF($B276=E$23,E275+PPMT(E$26/12,$B276,E$23,E$235,-E$27,0)-E$27,0)))</f>
        <v/>
      </c>
      <c r="F276" s="279">
        <f>IF(F$1=0,"",IF($B276&lt;F$23,F275+PPMT(F$26/12,$B276,F$23,F$235,-F$27,0),IF($B276=F$23,F275+PPMT(F$26/12,$B276,F$23,F$235,-F$27,0)-F$27,0)))</f>
        <v/>
      </c>
      <c r="G276" s="279">
        <f>IF(G$1=0,"",IF($B276&lt;G$23,G275+PPMT(G$26/12,$B276,G$23,G$235,-G$27,0),IF($B276=G$23,G275+PPMT(G$26/12,$B276,G$23,G$235,-G$27,0)-G$27,0)))</f>
        <v/>
      </c>
      <c r="H276" s="279">
        <f>IF(H$1=0,"",IF($B276&lt;H$23,H275+PPMT(H$26/12,$B276,H$23,H$235,-H$27,0),IF($B276=H$23,H275+PPMT(H$26/12,$B276,H$23,H$235,-H$27,0)-H$27,0)))</f>
        <v/>
      </c>
      <c r="I276" s="279">
        <f>IF(I$1=0,"",IF($B276&lt;I$23,I275+PPMT(I$26/12,$B276,I$23,I$235,-I$27,0),IF($B276=I$23,I275+PPMT(I$26/12,$B276,I$23,I$235,-I$27,0)-I$27,0)))</f>
        <v/>
      </c>
      <c r="J276" s="279">
        <f>IF(J$1=0,"",IF($B276&lt;J$23,J275+PPMT(J$26/12,$B276,J$23,J$235,-J$27,0),IF($B276=J$23,J275+PPMT(J$26/12,$B276,J$23,J$235,-J$27,0)-J$27,0)))</f>
        <v/>
      </c>
      <c r="K276" s="279">
        <f>IF(K$1=0,"",IF($B276&lt;K$23,K275+PPMT(K$26/12,$B276,K$23,K$235,-K$27,0),IF($B276=K$23,K275+PPMT(K$26/12,$B276,K$23,K$235,-K$27,0)-K$27,0)))</f>
        <v/>
      </c>
      <c r="L276" s="279">
        <f>IF(L$1=0,"",IF($B276&lt;L$23,L275+PPMT(L$26/12,$B276,L$23,L$235,-L$27,0),IF($B276=L$23,L275+PPMT(L$26/12,$B276,L$23,L$235,-L$27,0)-L$27,0)))</f>
        <v/>
      </c>
      <c r="M276" s="279">
        <f>IF(M$1=0,"",IF($B276&lt;M$23,M275+PPMT(M$26/12,$B276,M$23,M$235,-M$27,0),IF($B276=M$23,M275+PPMT(M$26/12,$B276,M$23,M$235,-M$27,0)-M$27,0)))</f>
        <v/>
      </c>
      <c r="N276" s="280" t="n"/>
      <c r="O276" s="281" t="n"/>
    </row>
    <row r="277" hidden="1" outlineLevel="1">
      <c r="B277" s="2">
        <f>B276+1</f>
        <v/>
      </c>
      <c r="D277" s="279">
        <f>IF(B277&lt;$D$24,(+'CALCULETTE (2)'!G674/'CALCULETTE (2)'!$B$612),0)</f>
        <v/>
      </c>
      <c r="E277" s="279">
        <f>IF(E$1=0,"",IF($B277&lt;E$23,E276+PPMT(E$26/12,$B277,E$23,E$235,-E$27,0),IF($B277=E$23,E276+PPMT(E$26/12,$B277,E$23,E$235,-E$27,0)-E$27,0)))</f>
        <v/>
      </c>
      <c r="F277" s="279">
        <f>IF(F$1=0,"",IF($B277&lt;F$23,F276+PPMT(F$26/12,$B277,F$23,F$235,-F$27,0),IF($B277=F$23,F276+PPMT(F$26/12,$B277,F$23,F$235,-F$27,0)-F$27,0)))</f>
        <v/>
      </c>
      <c r="G277" s="279">
        <f>IF(G$1=0,"",IF($B277&lt;G$23,G276+PPMT(G$26/12,$B277,G$23,G$235,-G$27,0),IF($B277=G$23,G276+PPMT(G$26/12,$B277,G$23,G$235,-G$27,0)-G$27,0)))</f>
        <v/>
      </c>
      <c r="H277" s="279">
        <f>IF(H$1=0,"",IF($B277&lt;H$23,H276+PPMT(H$26/12,$B277,H$23,H$235,-H$27,0),IF($B277=H$23,H276+PPMT(H$26/12,$B277,H$23,H$235,-H$27,0)-H$27,0)))</f>
        <v/>
      </c>
      <c r="I277" s="279">
        <f>IF(I$1=0,"",IF($B277&lt;I$23,I276+PPMT(I$26/12,$B277,I$23,I$235,-I$27,0),IF($B277=I$23,I276+PPMT(I$26/12,$B277,I$23,I$235,-I$27,0)-I$27,0)))</f>
        <v/>
      </c>
      <c r="J277" s="279">
        <f>IF(J$1=0,"",IF($B277&lt;J$23,J276+PPMT(J$26/12,$B277,J$23,J$235,-J$27,0),IF($B277=J$23,J276+PPMT(J$26/12,$B277,J$23,J$235,-J$27,0)-J$27,0)))</f>
        <v/>
      </c>
      <c r="K277" s="279">
        <f>IF(K$1=0,"",IF($B277&lt;K$23,K276+PPMT(K$26/12,$B277,K$23,K$235,-K$27,0),IF($B277=K$23,K276+PPMT(K$26/12,$B277,K$23,K$235,-K$27,0)-K$27,0)))</f>
        <v/>
      </c>
      <c r="L277" s="279">
        <f>IF(L$1=0,"",IF($B277&lt;L$23,L276+PPMT(L$26/12,$B277,L$23,L$235,-L$27,0),IF($B277=L$23,L276+PPMT(L$26/12,$B277,L$23,L$235,-L$27,0)-L$27,0)))</f>
        <v/>
      </c>
      <c r="M277" s="279">
        <f>IF(M$1=0,"",IF($B277&lt;M$23,M276+PPMT(M$26/12,$B277,M$23,M$235,-M$27,0),IF($B277=M$23,M276+PPMT(M$26/12,$B277,M$23,M$235,-M$27,0)-M$27,0)))</f>
        <v/>
      </c>
      <c r="N277" s="280" t="n"/>
      <c r="O277" s="281" t="n"/>
    </row>
    <row r="278" hidden="1" outlineLevel="1">
      <c r="B278" s="2">
        <f>B277+1</f>
        <v/>
      </c>
      <c r="D278" s="279">
        <f>IF(B278&lt;$D$24,(+'CALCULETTE (2)'!G675/'CALCULETTE (2)'!$B$612),0)</f>
        <v/>
      </c>
      <c r="E278" s="279">
        <f>IF(E$1=0,"",IF($B278&lt;E$23,E277+PPMT(E$26/12,$B278,E$23,E$235,-E$27,0),IF($B278=E$23,E277+PPMT(E$26/12,$B278,E$23,E$235,-E$27,0)-E$27,0)))</f>
        <v/>
      </c>
      <c r="F278" s="279">
        <f>IF(F$1=0,"",IF($B278&lt;F$23,F277+PPMT(F$26/12,$B278,F$23,F$235,-F$27,0),IF($B278=F$23,F277+PPMT(F$26/12,$B278,F$23,F$235,-F$27,0)-F$27,0)))</f>
        <v/>
      </c>
      <c r="G278" s="279">
        <f>IF(G$1=0,"",IF($B278&lt;G$23,G277+PPMT(G$26/12,$B278,G$23,G$235,-G$27,0),IF($B278=G$23,G277+PPMT(G$26/12,$B278,G$23,G$235,-G$27,0)-G$27,0)))</f>
        <v/>
      </c>
      <c r="H278" s="279">
        <f>IF(H$1=0,"",IF($B278&lt;H$23,H277+PPMT(H$26/12,$B278,H$23,H$235,-H$27,0),IF($B278=H$23,H277+PPMT(H$26/12,$B278,H$23,H$235,-H$27,0)-H$27,0)))</f>
        <v/>
      </c>
      <c r="I278" s="279">
        <f>IF(I$1=0,"",IF($B278&lt;I$23,I277+PPMT(I$26/12,$B278,I$23,I$235,-I$27,0),IF($B278=I$23,I277+PPMT(I$26/12,$B278,I$23,I$235,-I$27,0)-I$27,0)))</f>
        <v/>
      </c>
      <c r="J278" s="279">
        <f>IF(J$1=0,"",IF($B278&lt;J$23,J277+PPMT(J$26/12,$B278,J$23,J$235,-J$27,0),IF($B278=J$23,J277+PPMT(J$26/12,$B278,J$23,J$235,-J$27,0)-J$27,0)))</f>
        <v/>
      </c>
      <c r="K278" s="279">
        <f>IF(K$1=0,"",IF($B278&lt;K$23,K277+PPMT(K$26/12,$B278,K$23,K$235,-K$27,0),IF($B278=K$23,K277+PPMT(K$26/12,$B278,K$23,K$235,-K$27,0)-K$27,0)))</f>
        <v/>
      </c>
      <c r="L278" s="279">
        <f>IF(L$1=0,"",IF($B278&lt;L$23,L277+PPMT(L$26/12,$B278,L$23,L$235,-L$27,0),IF($B278=L$23,L277+PPMT(L$26/12,$B278,L$23,L$235,-L$27,0)-L$27,0)))</f>
        <v/>
      </c>
      <c r="M278" s="279">
        <f>IF(M$1=0,"",IF($B278&lt;M$23,M277+PPMT(M$26/12,$B278,M$23,M$235,-M$27,0),IF($B278=M$23,M277+PPMT(M$26/12,$B278,M$23,M$235,-M$27,0)-M$27,0)))</f>
        <v/>
      </c>
      <c r="N278" s="280" t="n"/>
      <c r="O278" s="281" t="n"/>
    </row>
    <row r="279" hidden="1" outlineLevel="1">
      <c r="B279" s="2">
        <f>B278+1</f>
        <v/>
      </c>
      <c r="D279" s="279">
        <f>IF(B279&lt;$D$24,(+'CALCULETTE (2)'!G676/'CALCULETTE (2)'!$B$612),0)</f>
        <v/>
      </c>
      <c r="E279" s="279">
        <f>IF(E$1=0,"",IF($B279&lt;E$23,E278+PPMT(E$26/12,$B279,E$23,E$235,-E$27,0),IF($B279=E$23,E278+PPMT(E$26/12,$B279,E$23,E$235,-E$27,0)-E$27,0)))</f>
        <v/>
      </c>
      <c r="F279" s="279">
        <f>IF(F$1=0,"",IF($B279&lt;F$23,F278+PPMT(F$26/12,$B279,F$23,F$235,-F$27,0),IF($B279=F$23,F278+PPMT(F$26/12,$B279,F$23,F$235,-F$27,0)-F$27,0)))</f>
        <v/>
      </c>
      <c r="G279" s="279">
        <f>IF(G$1=0,"",IF($B279&lt;G$23,G278+PPMT(G$26/12,$B279,G$23,G$235,-G$27,0),IF($B279=G$23,G278+PPMT(G$26/12,$B279,G$23,G$235,-G$27,0)-G$27,0)))</f>
        <v/>
      </c>
      <c r="H279" s="279">
        <f>IF(H$1=0,"",IF($B279&lt;H$23,H278+PPMT(H$26/12,$B279,H$23,H$235,-H$27,0),IF($B279=H$23,H278+PPMT(H$26/12,$B279,H$23,H$235,-H$27,0)-H$27,0)))</f>
        <v/>
      </c>
      <c r="I279" s="279">
        <f>IF(I$1=0,"",IF($B279&lt;I$23,I278+PPMT(I$26/12,$B279,I$23,I$235,-I$27,0),IF($B279=I$23,I278+PPMT(I$26/12,$B279,I$23,I$235,-I$27,0)-I$27,0)))</f>
        <v/>
      </c>
      <c r="J279" s="279">
        <f>IF(J$1=0,"",IF($B279&lt;J$23,J278+PPMT(J$26/12,$B279,J$23,J$235,-J$27,0),IF($B279=J$23,J278+PPMT(J$26/12,$B279,J$23,J$235,-J$27,0)-J$27,0)))</f>
        <v/>
      </c>
      <c r="K279" s="279">
        <f>IF(K$1=0,"",IF($B279&lt;K$23,K278+PPMT(K$26/12,$B279,K$23,K$235,-K$27,0),IF($B279=K$23,K278+PPMT(K$26/12,$B279,K$23,K$235,-K$27,0)-K$27,0)))</f>
        <v/>
      </c>
      <c r="L279" s="279">
        <f>IF(L$1=0,"",IF($B279&lt;L$23,L278+PPMT(L$26/12,$B279,L$23,L$235,-L$27,0),IF($B279=L$23,L278+PPMT(L$26/12,$B279,L$23,L$235,-L$27,0)-L$27,0)))</f>
        <v/>
      </c>
      <c r="M279" s="279">
        <f>IF(M$1=0,"",IF($B279&lt;M$23,M278+PPMT(M$26/12,$B279,M$23,M$235,-M$27,0),IF($B279=M$23,M278+PPMT(M$26/12,$B279,M$23,M$235,-M$27,0)-M$27,0)))</f>
        <v/>
      </c>
      <c r="N279" s="280" t="n"/>
      <c r="O279" s="281" t="n"/>
    </row>
    <row r="280" hidden="1" outlineLevel="1">
      <c r="B280" s="2">
        <f>B279+1</f>
        <v/>
      </c>
      <c r="D280" s="279">
        <f>IF(B280&lt;$D$24,(+'CALCULETTE (2)'!G677/'CALCULETTE (2)'!$B$612),0)</f>
        <v/>
      </c>
      <c r="E280" s="279">
        <f>IF(E$1=0,"",IF($B280&lt;E$23,E279+PPMT(E$26/12,$B280,E$23,E$235,-E$27,0),IF($B280=E$23,E279+PPMT(E$26/12,$B280,E$23,E$235,-E$27,0)-E$27,0)))</f>
        <v/>
      </c>
      <c r="F280" s="279">
        <f>IF(F$1=0,"",IF($B280&lt;F$23,F279+PPMT(F$26/12,$B280,F$23,F$235,-F$27,0),IF($B280=F$23,F279+PPMT(F$26/12,$B280,F$23,F$235,-F$27,0)-F$27,0)))</f>
        <v/>
      </c>
      <c r="G280" s="279">
        <f>IF(G$1=0,"",IF($B280&lt;G$23,G279+PPMT(G$26/12,$B280,G$23,G$235,-G$27,0),IF($B280=G$23,G279+PPMT(G$26/12,$B280,G$23,G$235,-G$27,0)-G$27,0)))</f>
        <v/>
      </c>
      <c r="H280" s="279">
        <f>IF(H$1=0,"",IF($B280&lt;H$23,H279+PPMT(H$26/12,$B280,H$23,H$235,-H$27,0),IF($B280=H$23,H279+PPMT(H$26/12,$B280,H$23,H$235,-H$27,0)-H$27,0)))</f>
        <v/>
      </c>
      <c r="I280" s="279">
        <f>IF(I$1=0,"",IF($B280&lt;I$23,I279+PPMT(I$26/12,$B280,I$23,I$235,-I$27,0),IF($B280=I$23,I279+PPMT(I$26/12,$B280,I$23,I$235,-I$27,0)-I$27,0)))</f>
        <v/>
      </c>
      <c r="J280" s="279">
        <f>IF(J$1=0,"",IF($B280&lt;J$23,J279+PPMT(J$26/12,$B280,J$23,J$235,-J$27,0),IF($B280=J$23,J279+PPMT(J$26/12,$B280,J$23,J$235,-J$27,0)-J$27,0)))</f>
        <v/>
      </c>
      <c r="K280" s="279">
        <f>IF(K$1=0,"",IF($B280&lt;K$23,K279+PPMT(K$26/12,$B280,K$23,K$235,-K$27,0),IF($B280=K$23,K279+PPMT(K$26/12,$B280,K$23,K$235,-K$27,0)-K$27,0)))</f>
        <v/>
      </c>
      <c r="L280" s="279">
        <f>IF(L$1=0,"",IF($B280&lt;L$23,L279+PPMT(L$26/12,$B280,L$23,L$235,-L$27,0),IF($B280=L$23,L279+PPMT(L$26/12,$B280,L$23,L$235,-L$27,0)-L$27,0)))</f>
        <v/>
      </c>
      <c r="M280" s="279">
        <f>IF(M$1=0,"",IF($B280&lt;M$23,M279+PPMT(M$26/12,$B280,M$23,M$235,-M$27,0),IF($B280=M$23,M279+PPMT(M$26/12,$B280,M$23,M$235,-M$27,0)-M$27,0)))</f>
        <v/>
      </c>
      <c r="N280" s="280" t="n"/>
      <c r="O280" s="281" t="n"/>
    </row>
    <row r="281" hidden="1" outlineLevel="1">
      <c r="B281" s="2">
        <f>B280+1</f>
        <v/>
      </c>
      <c r="D281" s="279">
        <f>IF(B281&lt;$D$24,(+'CALCULETTE (2)'!G678/'CALCULETTE (2)'!$B$612),0)</f>
        <v/>
      </c>
      <c r="E281" s="279">
        <f>IF(E$1=0,"",IF($B281&lt;E$23,E280+PPMT(E$26/12,$B281,E$23,E$235,-E$27,0),IF($B281=E$23,E280+PPMT(E$26/12,$B281,E$23,E$235,-E$27,0)-E$27,0)))</f>
        <v/>
      </c>
      <c r="F281" s="279">
        <f>IF(F$1=0,"",IF($B281&lt;F$23,F280+PPMT(F$26/12,$B281,F$23,F$235,-F$27,0),IF($B281=F$23,F280+PPMT(F$26/12,$B281,F$23,F$235,-F$27,0)-F$27,0)))</f>
        <v/>
      </c>
      <c r="G281" s="279">
        <f>IF(G$1=0,"",IF($B281&lt;G$23,G280+PPMT(G$26/12,$B281,G$23,G$235,-G$27,0),IF($B281=G$23,G280+PPMT(G$26/12,$B281,G$23,G$235,-G$27,0)-G$27,0)))</f>
        <v/>
      </c>
      <c r="H281" s="279">
        <f>IF(H$1=0,"",IF($B281&lt;H$23,H280+PPMT(H$26/12,$B281,H$23,H$235,-H$27,0),IF($B281=H$23,H280+PPMT(H$26/12,$B281,H$23,H$235,-H$27,0)-H$27,0)))</f>
        <v/>
      </c>
      <c r="I281" s="279">
        <f>IF(I$1=0,"",IF($B281&lt;I$23,I280+PPMT(I$26/12,$B281,I$23,I$235,-I$27,0),IF($B281=I$23,I280+PPMT(I$26/12,$B281,I$23,I$235,-I$27,0)-I$27,0)))</f>
        <v/>
      </c>
      <c r="J281" s="279">
        <f>IF(J$1=0,"",IF($B281&lt;J$23,J280+PPMT(J$26/12,$B281,J$23,J$235,-J$27,0),IF($B281=J$23,J280+PPMT(J$26/12,$B281,J$23,J$235,-J$27,0)-J$27,0)))</f>
        <v/>
      </c>
      <c r="K281" s="279">
        <f>IF(K$1=0,"",IF($B281&lt;K$23,K280+PPMT(K$26/12,$B281,K$23,K$235,-K$27,0),IF($B281=K$23,K280+PPMT(K$26/12,$B281,K$23,K$235,-K$27,0)-K$27,0)))</f>
        <v/>
      </c>
      <c r="L281" s="279">
        <f>IF(L$1=0,"",IF($B281&lt;L$23,L280+PPMT(L$26/12,$B281,L$23,L$235,-L$27,0),IF($B281=L$23,L280+PPMT(L$26/12,$B281,L$23,L$235,-L$27,0)-L$27,0)))</f>
        <v/>
      </c>
      <c r="M281" s="279">
        <f>IF(M$1=0,"",IF($B281&lt;M$23,M280+PPMT(M$26/12,$B281,M$23,M$235,-M$27,0),IF($B281=M$23,M280+PPMT(M$26/12,$B281,M$23,M$235,-M$27,0)-M$27,0)))</f>
        <v/>
      </c>
      <c r="N281" s="280" t="n"/>
      <c r="O281" s="281" t="n"/>
    </row>
    <row r="282" hidden="1" outlineLevel="1">
      <c r="B282" s="2">
        <f>B281+1</f>
        <v/>
      </c>
      <c r="D282" s="279">
        <f>IF(B282&lt;$D$24,(+'CALCULETTE (2)'!G679/'CALCULETTE (2)'!$B$612),0)</f>
        <v/>
      </c>
      <c r="E282" s="279">
        <f>IF(E$1=0,"",IF($B282&lt;E$23,E281+PPMT(E$26/12,$B282,E$23,E$235,-E$27,0),IF($B282=E$23,E281+PPMT(E$26/12,$B282,E$23,E$235,-E$27,0)-E$27,0)))</f>
        <v/>
      </c>
      <c r="F282" s="279">
        <f>IF(F$1=0,"",IF($B282&lt;F$23,F281+PPMT(F$26/12,$B282,F$23,F$235,-F$27,0),IF($B282=F$23,F281+PPMT(F$26/12,$B282,F$23,F$235,-F$27,0)-F$27,0)))</f>
        <v/>
      </c>
      <c r="G282" s="279">
        <f>IF(G$1=0,"",IF($B282&lt;G$23,G281+PPMT(G$26/12,$B282,G$23,G$235,-G$27,0),IF($B282=G$23,G281+PPMT(G$26/12,$B282,G$23,G$235,-G$27,0)-G$27,0)))</f>
        <v/>
      </c>
      <c r="H282" s="279">
        <f>IF(H$1=0,"",IF($B282&lt;H$23,H281+PPMT(H$26/12,$B282,H$23,H$235,-H$27,0),IF($B282=H$23,H281+PPMT(H$26/12,$B282,H$23,H$235,-H$27,0)-H$27,0)))</f>
        <v/>
      </c>
      <c r="I282" s="279">
        <f>IF(I$1=0,"",IF($B282&lt;I$23,I281+PPMT(I$26/12,$B282,I$23,I$235,-I$27,0),IF($B282=I$23,I281+PPMT(I$26/12,$B282,I$23,I$235,-I$27,0)-I$27,0)))</f>
        <v/>
      </c>
      <c r="J282" s="279">
        <f>IF(J$1=0,"",IF($B282&lt;J$23,J281+PPMT(J$26/12,$B282,J$23,J$235,-J$27,0),IF($B282=J$23,J281+PPMT(J$26/12,$B282,J$23,J$235,-J$27,0)-J$27,0)))</f>
        <v/>
      </c>
      <c r="K282" s="279">
        <f>IF(K$1=0,"",IF($B282&lt;K$23,K281+PPMT(K$26/12,$B282,K$23,K$235,-K$27,0),IF($B282=K$23,K281+PPMT(K$26/12,$B282,K$23,K$235,-K$27,0)-K$27,0)))</f>
        <v/>
      </c>
      <c r="L282" s="279">
        <f>IF(L$1=0,"",IF($B282&lt;L$23,L281+PPMT(L$26/12,$B282,L$23,L$235,-L$27,0),IF($B282=L$23,L281+PPMT(L$26/12,$B282,L$23,L$235,-L$27,0)-L$27,0)))</f>
        <v/>
      </c>
      <c r="M282" s="279">
        <f>IF(M$1=0,"",IF($B282&lt;M$23,M281+PPMT(M$26/12,$B282,M$23,M$235,-M$27,0),IF($B282=M$23,M281+PPMT(M$26/12,$B282,M$23,M$235,-M$27,0)-M$27,0)))</f>
        <v/>
      </c>
      <c r="N282" s="280" t="n"/>
      <c r="O282" s="281" t="n"/>
    </row>
    <row r="283" hidden="1" outlineLevel="1">
      <c r="B283" s="2">
        <f>B282+1</f>
        <v/>
      </c>
      <c r="D283" s="279">
        <f>IF(B283&lt;$D$24,(+'CALCULETTE (2)'!G680/'CALCULETTE (2)'!$B$612),0)</f>
        <v/>
      </c>
      <c r="E283" s="279">
        <f>IF(E$1=0,"",IF($B283&lt;E$23,E282+PPMT(E$26/12,$B283,E$23,E$235,-E$27,0),IF($B283=E$23,E282+PPMT(E$26/12,$B283,E$23,E$235,-E$27,0)-E$27,0)))</f>
        <v/>
      </c>
      <c r="F283" s="279">
        <f>IF(F$1=0,"",IF($B283&lt;F$23,F282+PPMT(F$26/12,$B283,F$23,F$235,-F$27,0),IF($B283=F$23,F282+PPMT(F$26/12,$B283,F$23,F$235,-F$27,0)-F$27,0)))</f>
        <v/>
      </c>
      <c r="G283" s="279">
        <f>IF(G$1=0,"",IF($B283&lt;G$23,G282+PPMT(G$26/12,$B283,G$23,G$235,-G$27,0),IF($B283=G$23,G282+PPMT(G$26/12,$B283,G$23,G$235,-G$27,0)-G$27,0)))</f>
        <v/>
      </c>
      <c r="H283" s="279">
        <f>IF(H$1=0,"",IF($B283&lt;H$23,H282+PPMT(H$26/12,$B283,H$23,H$235,-H$27,0),IF($B283=H$23,H282+PPMT(H$26/12,$B283,H$23,H$235,-H$27,0)-H$27,0)))</f>
        <v/>
      </c>
      <c r="I283" s="279">
        <f>IF(I$1=0,"",IF($B283&lt;I$23,I282+PPMT(I$26/12,$B283,I$23,I$235,-I$27,0),IF($B283=I$23,I282+PPMT(I$26/12,$B283,I$23,I$235,-I$27,0)-I$27,0)))</f>
        <v/>
      </c>
      <c r="J283" s="279">
        <f>IF(J$1=0,"",IF($B283&lt;J$23,J282+PPMT(J$26/12,$B283,J$23,J$235,-J$27,0),IF($B283=J$23,J282+PPMT(J$26/12,$B283,J$23,J$235,-J$27,0)-J$27,0)))</f>
        <v/>
      </c>
      <c r="K283" s="279">
        <f>IF(K$1=0,"",IF($B283&lt;K$23,K282+PPMT(K$26/12,$B283,K$23,K$235,-K$27,0),IF($B283=K$23,K282+PPMT(K$26/12,$B283,K$23,K$235,-K$27,0)-K$27,0)))</f>
        <v/>
      </c>
      <c r="L283" s="279">
        <f>IF(L$1=0,"",IF($B283&lt;L$23,L282+PPMT(L$26/12,$B283,L$23,L$235,-L$27,0),IF($B283=L$23,L282+PPMT(L$26/12,$B283,L$23,L$235,-L$27,0)-L$27,0)))</f>
        <v/>
      </c>
      <c r="M283" s="279">
        <f>IF(M$1=0,"",IF($B283&lt;M$23,M282+PPMT(M$26/12,$B283,M$23,M$235,-M$27,0),IF($B283=M$23,M282+PPMT(M$26/12,$B283,M$23,M$235,-M$27,0)-M$27,0)))</f>
        <v/>
      </c>
      <c r="N283" s="280" t="n"/>
      <c r="O283" s="281" t="n"/>
    </row>
    <row r="284" hidden="1" outlineLevel="1">
      <c r="B284" s="2">
        <f>B283+1</f>
        <v/>
      </c>
      <c r="D284" s="279">
        <f>IF(B284&lt;$D$24,(+'CALCULETTE (2)'!G681/'CALCULETTE (2)'!$B$612),0)</f>
        <v/>
      </c>
      <c r="E284" s="279">
        <f>IF(E$1=0,"",IF($B284&lt;E$23,E283+PPMT(E$26/12,$B284,E$23,E$235,-E$27,0),IF($B284=E$23,E283+PPMT(E$26/12,$B284,E$23,E$235,-E$27,0)-E$27,0)))</f>
        <v/>
      </c>
      <c r="F284" s="279">
        <f>IF(F$1=0,"",IF($B284&lt;F$23,F283+PPMT(F$26/12,$B284,F$23,F$235,-F$27,0),IF($B284=F$23,F283+PPMT(F$26/12,$B284,F$23,F$235,-F$27,0)-F$27,0)))</f>
        <v/>
      </c>
      <c r="G284" s="279">
        <f>IF(G$1=0,"",IF($B284&lt;G$23,G283+PPMT(G$26/12,$B284,G$23,G$235,-G$27,0),IF($B284=G$23,G283+PPMT(G$26/12,$B284,G$23,G$235,-G$27,0)-G$27,0)))</f>
        <v/>
      </c>
      <c r="H284" s="279">
        <f>IF(H$1=0,"",IF($B284&lt;H$23,H283+PPMT(H$26/12,$B284,H$23,H$235,-H$27,0),IF($B284=H$23,H283+PPMT(H$26/12,$B284,H$23,H$235,-H$27,0)-H$27,0)))</f>
        <v/>
      </c>
      <c r="I284" s="279">
        <f>IF(I$1=0,"",IF($B284&lt;I$23,I283+PPMT(I$26/12,$B284,I$23,I$235,-I$27,0),IF($B284=I$23,I283+PPMT(I$26/12,$B284,I$23,I$235,-I$27,0)-I$27,0)))</f>
        <v/>
      </c>
      <c r="J284" s="279">
        <f>IF(J$1=0,"",IF($B284&lt;J$23,J283+PPMT(J$26/12,$B284,J$23,J$235,-J$27,0),IF($B284=J$23,J283+PPMT(J$26/12,$B284,J$23,J$235,-J$27,0)-J$27,0)))</f>
        <v/>
      </c>
      <c r="K284" s="279">
        <f>IF(K$1=0,"",IF($B284&lt;K$23,K283+PPMT(K$26/12,$B284,K$23,K$235,-K$27,0),IF($B284=K$23,K283+PPMT(K$26/12,$B284,K$23,K$235,-K$27,0)-K$27,0)))</f>
        <v/>
      </c>
      <c r="L284" s="279">
        <f>IF(L$1=0,"",IF($B284&lt;L$23,L283+PPMT(L$26/12,$B284,L$23,L$235,-L$27,0),IF($B284=L$23,L283+PPMT(L$26/12,$B284,L$23,L$235,-L$27,0)-L$27,0)))</f>
        <v/>
      </c>
      <c r="M284" s="279">
        <f>IF(M$1=0,"",IF($B284&lt;M$23,M283+PPMT(M$26/12,$B284,M$23,M$235,-M$27,0),IF($B284=M$23,M283+PPMT(M$26/12,$B284,M$23,M$235,-M$27,0)-M$27,0)))</f>
        <v/>
      </c>
      <c r="N284" s="280" t="n"/>
      <c r="O284" s="281" t="n"/>
    </row>
    <row r="285" hidden="1" outlineLevel="1">
      <c r="B285" s="2">
        <f>B284+1</f>
        <v/>
      </c>
      <c r="D285" s="279">
        <f>IF(B285&lt;$D$24,(+'CALCULETTE (2)'!G682/'CALCULETTE (2)'!$B$612),0)</f>
        <v/>
      </c>
      <c r="E285" s="279">
        <f>IF(E$1=0,"",IF($B285&lt;E$23,E284+PPMT(E$26/12,$B285,E$23,E$235,-E$27,0),IF($B285=E$23,E284+PPMT(E$26/12,$B285,E$23,E$235,-E$27,0)-E$27,0)))</f>
        <v/>
      </c>
      <c r="F285" s="279">
        <f>IF(F$1=0,"",IF($B285&lt;F$23,F284+PPMT(F$26/12,$B285,F$23,F$235,-F$27,0),IF($B285=F$23,F284+PPMT(F$26/12,$B285,F$23,F$235,-F$27,0)-F$27,0)))</f>
        <v/>
      </c>
      <c r="G285" s="279">
        <f>IF(G$1=0,"",IF($B285&lt;G$23,G284+PPMT(G$26/12,$B285,G$23,G$235,-G$27,0),IF($B285=G$23,G284+PPMT(G$26/12,$B285,G$23,G$235,-G$27,0)-G$27,0)))</f>
        <v/>
      </c>
      <c r="H285" s="279">
        <f>IF(H$1=0,"",IF($B285&lt;H$23,H284+PPMT(H$26/12,$B285,H$23,H$235,-H$27,0),IF($B285=H$23,H284+PPMT(H$26/12,$B285,H$23,H$235,-H$27,0)-H$27,0)))</f>
        <v/>
      </c>
      <c r="I285" s="279">
        <f>IF(I$1=0,"",IF($B285&lt;I$23,I284+PPMT(I$26/12,$B285,I$23,I$235,-I$27,0),IF($B285=I$23,I284+PPMT(I$26/12,$B285,I$23,I$235,-I$27,0)-I$27,0)))</f>
        <v/>
      </c>
      <c r="J285" s="279">
        <f>IF(J$1=0,"",IF($B285&lt;J$23,J284+PPMT(J$26/12,$B285,J$23,J$235,-J$27,0),IF($B285=J$23,J284+PPMT(J$26/12,$B285,J$23,J$235,-J$27,0)-J$27,0)))</f>
        <v/>
      </c>
      <c r="K285" s="279">
        <f>IF(K$1=0,"",IF($B285&lt;K$23,K284+PPMT(K$26/12,$B285,K$23,K$235,-K$27,0),IF($B285=K$23,K284+PPMT(K$26/12,$B285,K$23,K$235,-K$27,0)-K$27,0)))</f>
        <v/>
      </c>
      <c r="L285" s="279">
        <f>IF(L$1=0,"",IF($B285&lt;L$23,L284+PPMT(L$26/12,$B285,L$23,L$235,-L$27,0),IF($B285=L$23,L284+PPMT(L$26/12,$B285,L$23,L$235,-L$27,0)-L$27,0)))</f>
        <v/>
      </c>
      <c r="M285" s="279">
        <f>IF(M$1=0,"",IF($B285&lt;M$23,M284+PPMT(M$26/12,$B285,M$23,M$235,-M$27,0),IF($B285=M$23,M284+PPMT(M$26/12,$B285,M$23,M$235,-M$27,0)-M$27,0)))</f>
        <v/>
      </c>
      <c r="N285" s="280" t="n"/>
      <c r="O285" s="281" t="n"/>
    </row>
    <row r="286" hidden="1" outlineLevel="1">
      <c r="B286" s="2">
        <f>B285+1</f>
        <v/>
      </c>
      <c r="D286" s="279">
        <f>IF(B286&lt;$D$24,(+'CALCULETTE (2)'!G683/'CALCULETTE (2)'!$B$612),0)</f>
        <v/>
      </c>
      <c r="E286" s="279">
        <f>IF(E$1=0,"",IF($B286&lt;E$23,E285+PPMT(E$26/12,$B286,E$23,E$235,-E$27,0),IF($B286=E$23,E285+PPMT(E$26/12,$B286,E$23,E$235,-E$27,0)-E$27,0)))</f>
        <v/>
      </c>
      <c r="F286" s="279">
        <f>IF(F$1=0,"",IF($B286&lt;F$23,F285+PPMT(F$26/12,$B286,F$23,F$235,-F$27,0),IF($B286=F$23,F285+PPMT(F$26/12,$B286,F$23,F$235,-F$27,0)-F$27,0)))</f>
        <v/>
      </c>
      <c r="G286" s="279">
        <f>IF(G$1=0,"",IF($B286&lt;G$23,G285+PPMT(G$26/12,$B286,G$23,G$235,-G$27,0),IF($B286=G$23,G285+PPMT(G$26/12,$B286,G$23,G$235,-G$27,0)-G$27,0)))</f>
        <v/>
      </c>
      <c r="H286" s="279">
        <f>IF(H$1=0,"",IF($B286&lt;H$23,H285+PPMT(H$26/12,$B286,H$23,H$235,-H$27,0),IF($B286=H$23,H285+PPMT(H$26/12,$B286,H$23,H$235,-H$27,0)-H$27,0)))</f>
        <v/>
      </c>
      <c r="I286" s="279">
        <f>IF(I$1=0,"",IF($B286&lt;I$23,I285+PPMT(I$26/12,$B286,I$23,I$235,-I$27,0),IF($B286=I$23,I285+PPMT(I$26/12,$B286,I$23,I$235,-I$27,0)-I$27,0)))</f>
        <v/>
      </c>
      <c r="J286" s="279">
        <f>IF(J$1=0,"",IF($B286&lt;J$23,J285+PPMT(J$26/12,$B286,J$23,J$235,-J$27,0),IF($B286=J$23,J285+PPMT(J$26/12,$B286,J$23,J$235,-J$27,0)-J$27,0)))</f>
        <v/>
      </c>
      <c r="K286" s="279">
        <f>IF(K$1=0,"",IF($B286&lt;K$23,K285+PPMT(K$26/12,$B286,K$23,K$235,-K$27,0),IF($B286=K$23,K285+PPMT(K$26/12,$B286,K$23,K$235,-K$27,0)-K$27,0)))</f>
        <v/>
      </c>
      <c r="L286" s="279">
        <f>IF(L$1=0,"",IF($B286&lt;L$23,L285+PPMT(L$26/12,$B286,L$23,L$235,-L$27,0),IF($B286=L$23,L285+PPMT(L$26/12,$B286,L$23,L$235,-L$27,0)-L$27,0)))</f>
        <v/>
      </c>
      <c r="M286" s="279">
        <f>IF(M$1=0,"",IF($B286&lt;M$23,M285+PPMT(M$26/12,$B286,M$23,M$235,-M$27,0),IF($B286=M$23,M285+PPMT(M$26/12,$B286,M$23,M$235,-M$27,0)-M$27,0)))</f>
        <v/>
      </c>
      <c r="N286" s="280" t="n"/>
      <c r="O286" s="281" t="n"/>
    </row>
    <row r="287" hidden="1" outlineLevel="1">
      <c r="B287" s="2">
        <f>B286+1</f>
        <v/>
      </c>
      <c r="D287" s="279">
        <f>IF(B287&lt;$D$24,(+'CALCULETTE (2)'!G684/'CALCULETTE (2)'!$B$612),0)</f>
        <v/>
      </c>
      <c r="E287" s="279">
        <f>IF(E$1=0,"",IF($B287&lt;E$23,E286+PPMT(E$26/12,$B287,E$23,E$235,-E$27,0),IF($B287=E$23,E286+PPMT(E$26/12,$B287,E$23,E$235,-E$27,0)-E$27,0)))</f>
        <v/>
      </c>
      <c r="F287" s="279">
        <f>IF(F$1=0,"",IF($B287&lt;F$23,F286+PPMT(F$26/12,$B287,F$23,F$235,-F$27,0),IF($B287=F$23,F286+PPMT(F$26/12,$B287,F$23,F$235,-F$27,0)-F$27,0)))</f>
        <v/>
      </c>
      <c r="G287" s="279">
        <f>IF(G$1=0,"",IF($B287&lt;G$23,G286+PPMT(G$26/12,$B287,G$23,G$235,-G$27,0),IF($B287=G$23,G286+PPMT(G$26/12,$B287,G$23,G$235,-G$27,0)-G$27,0)))</f>
        <v/>
      </c>
      <c r="H287" s="279">
        <f>IF(H$1=0,"",IF($B287&lt;H$23,H286+PPMT(H$26/12,$B287,H$23,H$235,-H$27,0),IF($B287=H$23,H286+PPMT(H$26/12,$B287,H$23,H$235,-H$27,0)-H$27,0)))</f>
        <v/>
      </c>
      <c r="I287" s="279">
        <f>IF(I$1=0,"",IF($B287&lt;I$23,I286+PPMT(I$26/12,$B287,I$23,I$235,-I$27,0),IF($B287=I$23,I286+PPMT(I$26/12,$B287,I$23,I$235,-I$27,0)-I$27,0)))</f>
        <v/>
      </c>
      <c r="J287" s="279">
        <f>IF(J$1=0,"",IF($B287&lt;J$23,J286+PPMT(J$26/12,$B287,J$23,J$235,-J$27,0),IF($B287=J$23,J286+PPMT(J$26/12,$B287,J$23,J$235,-J$27,0)-J$27,0)))</f>
        <v/>
      </c>
      <c r="K287" s="279">
        <f>IF(K$1=0,"",IF($B287&lt;K$23,K286+PPMT(K$26/12,$B287,K$23,K$235,-K$27,0),IF($B287=K$23,K286+PPMT(K$26/12,$B287,K$23,K$235,-K$27,0)-K$27,0)))</f>
        <v/>
      </c>
      <c r="L287" s="279">
        <f>IF(L$1=0,"",IF($B287&lt;L$23,L286+PPMT(L$26/12,$B287,L$23,L$235,-L$27,0),IF($B287=L$23,L286+PPMT(L$26/12,$B287,L$23,L$235,-L$27,0)-L$27,0)))</f>
        <v/>
      </c>
      <c r="M287" s="279">
        <f>IF(M$1=0,"",IF($B287&lt;M$23,M286+PPMT(M$26/12,$B287,M$23,M$235,-M$27,0),IF($B287=M$23,M286+PPMT(M$26/12,$B287,M$23,M$235,-M$27,0)-M$27,0)))</f>
        <v/>
      </c>
      <c r="N287" s="280" t="n"/>
      <c r="O287" s="281" t="n"/>
    </row>
    <row r="288" hidden="1" outlineLevel="1">
      <c r="B288" s="2">
        <f>B287+1</f>
        <v/>
      </c>
      <c r="D288" s="279">
        <f>IF(B288&lt;$D$24,(+'CALCULETTE (2)'!G685/'CALCULETTE (2)'!$B$612),0)</f>
        <v/>
      </c>
      <c r="E288" s="279">
        <f>IF(E$1=0,"",IF($B288&lt;E$23,E287+PPMT(E$26/12,$B288,E$23,E$235,-E$27,0),IF($B288=E$23,E287+PPMT(E$26/12,$B288,E$23,E$235,-E$27,0)-E$27,0)))</f>
        <v/>
      </c>
      <c r="F288" s="279">
        <f>IF(F$1=0,"",IF($B288&lt;F$23,F287+PPMT(F$26/12,$B288,F$23,F$235,-F$27,0),IF($B288=F$23,F287+PPMT(F$26/12,$B288,F$23,F$235,-F$27,0)-F$27,0)))</f>
        <v/>
      </c>
      <c r="G288" s="279">
        <f>IF(G$1=0,"",IF($B288&lt;G$23,G287+PPMT(G$26/12,$B288,G$23,G$235,-G$27,0),IF($B288=G$23,G287+PPMT(G$26/12,$B288,G$23,G$235,-G$27,0)-G$27,0)))</f>
        <v/>
      </c>
      <c r="H288" s="279">
        <f>IF(H$1=0,"",IF($B288&lt;H$23,H287+PPMT(H$26/12,$B288,H$23,H$235,-H$27,0),IF($B288=H$23,H287+PPMT(H$26/12,$B288,H$23,H$235,-H$27,0)-H$27,0)))</f>
        <v/>
      </c>
      <c r="I288" s="279">
        <f>IF(I$1=0,"",IF($B288&lt;I$23,I287+PPMT(I$26/12,$B288,I$23,I$235,-I$27,0),IF($B288=I$23,I287+PPMT(I$26/12,$B288,I$23,I$235,-I$27,0)-I$27,0)))</f>
        <v/>
      </c>
      <c r="J288" s="279">
        <f>IF(J$1=0,"",IF($B288&lt;J$23,J287+PPMT(J$26/12,$B288,J$23,J$235,-J$27,0),IF($B288=J$23,J287+PPMT(J$26/12,$B288,J$23,J$235,-J$27,0)-J$27,0)))</f>
        <v/>
      </c>
      <c r="K288" s="279">
        <f>IF(K$1=0,"",IF($B288&lt;K$23,K287+PPMT(K$26/12,$B288,K$23,K$235,-K$27,0),IF($B288=K$23,K287+PPMT(K$26/12,$B288,K$23,K$235,-K$27,0)-K$27,0)))</f>
        <v/>
      </c>
      <c r="L288" s="279">
        <f>IF(L$1=0,"",IF($B288&lt;L$23,L287+PPMT(L$26/12,$B288,L$23,L$235,-L$27,0),IF($B288=L$23,L287+PPMT(L$26/12,$B288,L$23,L$235,-L$27,0)-L$27,0)))</f>
        <v/>
      </c>
      <c r="M288" s="279">
        <f>IF(M$1=0,"",IF($B288&lt;M$23,M287+PPMT(M$26/12,$B288,M$23,M$235,-M$27,0),IF($B288=M$23,M287+PPMT(M$26/12,$B288,M$23,M$235,-M$27,0)-M$27,0)))</f>
        <v/>
      </c>
      <c r="N288" s="280" t="n"/>
      <c r="O288" s="281" t="n"/>
    </row>
    <row r="289" hidden="1" outlineLevel="1">
      <c r="B289" s="2">
        <f>B288+1</f>
        <v/>
      </c>
      <c r="D289" s="279">
        <f>IF(B289&lt;$D$24,(+'CALCULETTE (2)'!G686/'CALCULETTE (2)'!$B$612),0)</f>
        <v/>
      </c>
      <c r="E289" s="279">
        <f>IF(E$1=0,"",IF($B289&lt;E$23,E288+PPMT(E$26/12,$B289,E$23,E$235,-E$27,0),IF($B289=E$23,E288+PPMT(E$26/12,$B289,E$23,E$235,-E$27,0)-E$27,0)))</f>
        <v/>
      </c>
      <c r="F289" s="279">
        <f>IF(F$1=0,"",IF($B289&lt;F$23,F288+PPMT(F$26/12,$B289,F$23,F$235,-F$27,0),IF($B289=F$23,F288+PPMT(F$26/12,$B289,F$23,F$235,-F$27,0)-F$27,0)))</f>
        <v/>
      </c>
      <c r="G289" s="279">
        <f>IF(G$1=0,"",IF($B289&lt;G$23,G288+PPMT(G$26/12,$B289,G$23,G$235,-G$27,0),IF($B289=G$23,G288+PPMT(G$26/12,$B289,G$23,G$235,-G$27,0)-G$27,0)))</f>
        <v/>
      </c>
      <c r="H289" s="279">
        <f>IF(H$1=0,"",IF($B289&lt;H$23,H288+PPMT(H$26/12,$B289,H$23,H$235,-H$27,0),IF($B289=H$23,H288+PPMT(H$26/12,$B289,H$23,H$235,-H$27,0)-H$27,0)))</f>
        <v/>
      </c>
      <c r="I289" s="279">
        <f>IF(I$1=0,"",IF($B289&lt;I$23,I288+PPMT(I$26/12,$B289,I$23,I$235,-I$27,0),IF($B289=I$23,I288+PPMT(I$26/12,$B289,I$23,I$235,-I$27,0)-I$27,0)))</f>
        <v/>
      </c>
      <c r="J289" s="279">
        <f>IF(J$1=0,"",IF($B289&lt;J$23,J288+PPMT(J$26/12,$B289,J$23,J$235,-J$27,0),IF($B289=J$23,J288+PPMT(J$26/12,$B289,J$23,J$235,-J$27,0)-J$27,0)))</f>
        <v/>
      </c>
      <c r="K289" s="279">
        <f>IF(K$1=0,"",IF($B289&lt;K$23,K288+PPMT(K$26/12,$B289,K$23,K$235,-K$27,0),IF($B289=K$23,K288+PPMT(K$26/12,$B289,K$23,K$235,-K$27,0)-K$27,0)))</f>
        <v/>
      </c>
      <c r="L289" s="279">
        <f>IF(L$1=0,"",IF($B289&lt;L$23,L288+PPMT(L$26/12,$B289,L$23,L$235,-L$27,0),IF($B289=L$23,L288+PPMT(L$26/12,$B289,L$23,L$235,-L$27,0)-L$27,0)))</f>
        <v/>
      </c>
      <c r="M289" s="279">
        <f>IF(M$1=0,"",IF($B289&lt;M$23,M288+PPMT(M$26/12,$B289,M$23,M$235,-M$27,0),IF($B289=M$23,M288+PPMT(M$26/12,$B289,M$23,M$235,-M$27,0)-M$27,0)))</f>
        <v/>
      </c>
      <c r="N289" s="280" t="n"/>
      <c r="O289" s="281" t="n"/>
    </row>
    <row r="290" hidden="1" outlineLevel="1">
      <c r="B290" s="2">
        <f>B289+1</f>
        <v/>
      </c>
      <c r="D290" s="279">
        <f>IF(B290&lt;$D$24,(+'CALCULETTE (2)'!G687/'CALCULETTE (2)'!$B$612),0)</f>
        <v/>
      </c>
      <c r="E290" s="279">
        <f>IF(E$1=0,"",IF($B290&lt;E$23,E289+PPMT(E$26/12,$B290,E$23,E$235,-E$27,0),IF($B290=E$23,E289+PPMT(E$26/12,$B290,E$23,E$235,-E$27,0)-E$27,0)))</f>
        <v/>
      </c>
      <c r="F290" s="279">
        <f>IF(F$1=0,"",IF($B290&lt;F$23,F289+PPMT(F$26/12,$B290,F$23,F$235,-F$27,0),IF($B290=F$23,F289+PPMT(F$26/12,$B290,F$23,F$235,-F$27,0)-F$27,0)))</f>
        <v/>
      </c>
      <c r="G290" s="279">
        <f>IF(G$1=0,"",IF($B290&lt;G$23,G289+PPMT(G$26/12,$B290,G$23,G$235,-G$27,0),IF($B290=G$23,G289+PPMT(G$26/12,$B290,G$23,G$235,-G$27,0)-G$27,0)))</f>
        <v/>
      </c>
      <c r="H290" s="279">
        <f>IF(H$1=0,"",IF($B290&lt;H$23,H289+PPMT(H$26/12,$B290,H$23,H$235,-H$27,0),IF($B290=H$23,H289+PPMT(H$26/12,$B290,H$23,H$235,-H$27,0)-H$27,0)))</f>
        <v/>
      </c>
      <c r="I290" s="279">
        <f>IF(I$1=0,"",IF($B290&lt;I$23,I289+PPMT(I$26/12,$B290,I$23,I$235,-I$27,0),IF($B290=I$23,I289+PPMT(I$26/12,$B290,I$23,I$235,-I$27,0)-I$27,0)))</f>
        <v/>
      </c>
      <c r="J290" s="279">
        <f>IF(J$1=0,"",IF($B290&lt;J$23,J289+PPMT(J$26/12,$B290,J$23,J$235,-J$27,0),IF($B290=J$23,J289+PPMT(J$26/12,$B290,J$23,J$235,-J$27,0)-J$27,0)))</f>
        <v/>
      </c>
      <c r="K290" s="279">
        <f>IF(K$1=0,"",IF($B290&lt;K$23,K289+PPMT(K$26/12,$B290,K$23,K$235,-K$27,0),IF($B290=K$23,K289+PPMT(K$26/12,$B290,K$23,K$235,-K$27,0)-K$27,0)))</f>
        <v/>
      </c>
      <c r="L290" s="279">
        <f>IF(L$1=0,"",IF($B290&lt;L$23,L289+PPMT(L$26/12,$B290,L$23,L$235,-L$27,0),IF($B290=L$23,L289+PPMT(L$26/12,$B290,L$23,L$235,-L$27,0)-L$27,0)))</f>
        <v/>
      </c>
      <c r="M290" s="279">
        <f>IF(M$1=0,"",IF($B290&lt;M$23,M289+PPMT(M$26/12,$B290,M$23,M$235,-M$27,0),IF($B290=M$23,M289+PPMT(M$26/12,$B290,M$23,M$235,-M$27,0)-M$27,0)))</f>
        <v/>
      </c>
      <c r="N290" s="280" t="n"/>
      <c r="O290" s="281" t="n"/>
    </row>
    <row r="291" hidden="1" outlineLevel="1">
      <c r="B291" s="2">
        <f>B290+1</f>
        <v/>
      </c>
      <c r="D291" s="279">
        <f>IF(B291&lt;$D$24,(+'CALCULETTE (2)'!G688/'CALCULETTE (2)'!$B$612),0)</f>
        <v/>
      </c>
      <c r="E291" s="279">
        <f>IF(E$1=0,"",IF($B291&lt;E$23,E290+PPMT(E$26/12,$B291,E$23,E$235,-E$27,0),IF($B291=E$23,E290+PPMT(E$26/12,$B291,E$23,E$235,-E$27,0)-E$27,0)))</f>
        <v/>
      </c>
      <c r="F291" s="279">
        <f>IF(F$1=0,"",IF($B291&lt;F$23,F290+PPMT(F$26/12,$B291,F$23,F$235,-F$27,0),IF($B291=F$23,F290+PPMT(F$26/12,$B291,F$23,F$235,-F$27,0)-F$27,0)))</f>
        <v/>
      </c>
      <c r="G291" s="279">
        <f>IF(G$1=0,"",IF($B291&lt;G$23,G290+PPMT(G$26/12,$B291,G$23,G$235,-G$27,0),IF($B291=G$23,G290+PPMT(G$26/12,$B291,G$23,G$235,-G$27,0)-G$27,0)))</f>
        <v/>
      </c>
      <c r="H291" s="279">
        <f>IF(H$1=0,"",IF($B291&lt;H$23,H290+PPMT(H$26/12,$B291,H$23,H$235,-H$27,0),IF($B291=H$23,H290+PPMT(H$26/12,$B291,H$23,H$235,-H$27,0)-H$27,0)))</f>
        <v/>
      </c>
      <c r="I291" s="279">
        <f>IF(I$1=0,"",IF($B291&lt;I$23,I290+PPMT(I$26/12,$B291,I$23,I$235,-I$27,0),IF($B291=I$23,I290+PPMT(I$26/12,$B291,I$23,I$235,-I$27,0)-I$27,0)))</f>
        <v/>
      </c>
      <c r="J291" s="279">
        <f>IF(J$1=0,"",IF($B291&lt;J$23,J290+PPMT(J$26/12,$B291,J$23,J$235,-J$27,0),IF($B291=J$23,J290+PPMT(J$26/12,$B291,J$23,J$235,-J$27,0)-J$27,0)))</f>
        <v/>
      </c>
      <c r="K291" s="279">
        <f>IF(K$1=0,"",IF($B291&lt;K$23,K290+PPMT(K$26/12,$B291,K$23,K$235,-K$27,0),IF($B291=K$23,K290+PPMT(K$26/12,$B291,K$23,K$235,-K$27,0)-K$27,0)))</f>
        <v/>
      </c>
      <c r="L291" s="279">
        <f>IF(L$1=0,"",IF($B291&lt;L$23,L290+PPMT(L$26/12,$B291,L$23,L$235,-L$27,0),IF($B291=L$23,L290+PPMT(L$26/12,$B291,L$23,L$235,-L$27,0)-L$27,0)))</f>
        <v/>
      </c>
      <c r="M291" s="279">
        <f>IF(M$1=0,"",IF($B291&lt;M$23,M290+PPMT(M$26/12,$B291,M$23,M$235,-M$27,0),IF($B291=M$23,M290+PPMT(M$26/12,$B291,M$23,M$235,-M$27,0)-M$27,0)))</f>
        <v/>
      </c>
      <c r="N291" s="280" t="n"/>
      <c r="O291" s="281" t="n"/>
    </row>
    <row r="292" hidden="1" outlineLevel="1">
      <c r="B292" s="2">
        <f>B291+1</f>
        <v/>
      </c>
      <c r="D292" s="279">
        <f>IF(B292&lt;$D$24,(+'CALCULETTE (2)'!G689/'CALCULETTE (2)'!$B$612),0)</f>
        <v/>
      </c>
      <c r="E292" s="279">
        <f>IF(E$1=0,"",IF($B292&lt;E$23,E291+PPMT(E$26/12,$B292,E$23,E$235,-E$27,0),IF($B292=E$23,E291+PPMT(E$26/12,$B292,E$23,E$235,-E$27,0)-E$27,0)))</f>
        <v/>
      </c>
      <c r="F292" s="279">
        <f>IF(F$1=0,"",IF($B292&lt;F$23,F291+PPMT(F$26/12,$B292,F$23,F$235,-F$27,0),IF($B292=F$23,F291+PPMT(F$26/12,$B292,F$23,F$235,-F$27,0)-F$27,0)))</f>
        <v/>
      </c>
      <c r="G292" s="279">
        <f>IF(G$1=0,"",IF($B292&lt;G$23,G291+PPMT(G$26/12,$B292,G$23,G$235,-G$27,0),IF($B292=G$23,G291+PPMT(G$26/12,$B292,G$23,G$235,-G$27,0)-G$27,0)))</f>
        <v/>
      </c>
      <c r="H292" s="279">
        <f>IF(H$1=0,"",IF($B292&lt;H$23,H291+PPMT(H$26/12,$B292,H$23,H$235,-H$27,0),IF($B292=H$23,H291+PPMT(H$26/12,$B292,H$23,H$235,-H$27,0)-H$27,0)))</f>
        <v/>
      </c>
      <c r="I292" s="279">
        <f>IF(I$1=0,"",IF($B292&lt;I$23,I291+PPMT(I$26/12,$B292,I$23,I$235,-I$27,0),IF($B292=I$23,I291+PPMT(I$26/12,$B292,I$23,I$235,-I$27,0)-I$27,0)))</f>
        <v/>
      </c>
      <c r="J292" s="279">
        <f>IF(J$1=0,"",IF($B292&lt;J$23,J291+PPMT(J$26/12,$B292,J$23,J$235,-J$27,0),IF($B292=J$23,J291+PPMT(J$26/12,$B292,J$23,J$235,-J$27,0)-J$27,0)))</f>
        <v/>
      </c>
      <c r="K292" s="279">
        <f>IF(K$1=0,"",IF($B292&lt;K$23,K291+PPMT(K$26/12,$B292,K$23,K$235,-K$27,0),IF($B292=K$23,K291+PPMT(K$26/12,$B292,K$23,K$235,-K$27,0)-K$27,0)))</f>
        <v/>
      </c>
      <c r="L292" s="279">
        <f>IF(L$1=0,"",IF($B292&lt;L$23,L291+PPMT(L$26/12,$B292,L$23,L$235,-L$27,0),IF($B292=L$23,L291+PPMT(L$26/12,$B292,L$23,L$235,-L$27,0)-L$27,0)))</f>
        <v/>
      </c>
      <c r="M292" s="279">
        <f>IF(M$1=0,"",IF($B292&lt;M$23,M291+PPMT(M$26/12,$B292,M$23,M$235,-M$27,0),IF($B292=M$23,M291+PPMT(M$26/12,$B292,M$23,M$235,-M$27,0)-M$27,0)))</f>
        <v/>
      </c>
      <c r="N292" s="280" t="n"/>
      <c r="O292" s="281" t="n"/>
    </row>
    <row r="293" hidden="1" outlineLevel="1">
      <c r="B293" s="2">
        <f>B292+1</f>
        <v/>
      </c>
      <c r="D293" s="279">
        <f>IF(B293&lt;$D$24,(+'CALCULETTE (2)'!G690/'CALCULETTE (2)'!$B$612),0)</f>
        <v/>
      </c>
      <c r="E293" s="279">
        <f>IF(E$1=0,"",IF($B293&lt;E$23,E292+PPMT(E$26/12,$B293,E$23,E$235,-E$27,0),IF($B293=E$23,E292+PPMT(E$26/12,$B293,E$23,E$235,-E$27,0)-E$27,0)))</f>
        <v/>
      </c>
      <c r="F293" s="279">
        <f>IF(F$1=0,"",IF($B293&lt;F$23,F292+PPMT(F$26/12,$B293,F$23,F$235,-F$27,0),IF($B293=F$23,F292+PPMT(F$26/12,$B293,F$23,F$235,-F$27,0)-F$27,0)))</f>
        <v/>
      </c>
      <c r="G293" s="279">
        <f>IF(G$1=0,"",IF($B293&lt;G$23,G292+PPMT(G$26/12,$B293,G$23,G$235,-G$27,0),IF($B293=G$23,G292+PPMT(G$26/12,$B293,G$23,G$235,-G$27,0)-G$27,0)))</f>
        <v/>
      </c>
      <c r="H293" s="279">
        <f>IF(H$1=0,"",IF($B293&lt;H$23,H292+PPMT(H$26/12,$B293,H$23,H$235,-H$27,0),IF($B293=H$23,H292+PPMT(H$26/12,$B293,H$23,H$235,-H$27,0)-H$27,0)))</f>
        <v/>
      </c>
      <c r="I293" s="279">
        <f>IF(I$1=0,"",IF($B293&lt;I$23,I292+PPMT(I$26/12,$B293,I$23,I$235,-I$27,0),IF($B293=I$23,I292+PPMT(I$26/12,$B293,I$23,I$235,-I$27,0)-I$27,0)))</f>
        <v/>
      </c>
      <c r="J293" s="279">
        <f>IF(J$1=0,"",IF($B293&lt;J$23,J292+PPMT(J$26/12,$B293,J$23,J$235,-J$27,0),IF($B293=J$23,J292+PPMT(J$26/12,$B293,J$23,J$235,-J$27,0)-J$27,0)))</f>
        <v/>
      </c>
      <c r="K293" s="279">
        <f>IF(K$1=0,"",IF($B293&lt;K$23,K292+PPMT(K$26/12,$B293,K$23,K$235,-K$27,0),IF($B293=K$23,K292+PPMT(K$26/12,$B293,K$23,K$235,-K$27,0)-K$27,0)))</f>
        <v/>
      </c>
      <c r="L293" s="279">
        <f>IF(L$1=0,"",IF($B293&lt;L$23,L292+PPMT(L$26/12,$B293,L$23,L$235,-L$27,0),IF($B293=L$23,L292+PPMT(L$26/12,$B293,L$23,L$235,-L$27,0)-L$27,0)))</f>
        <v/>
      </c>
      <c r="M293" s="279">
        <f>IF(M$1=0,"",IF($B293&lt;M$23,M292+PPMT(M$26/12,$B293,M$23,M$235,-M$27,0),IF($B293=M$23,M292+PPMT(M$26/12,$B293,M$23,M$235,-M$27,0)-M$27,0)))</f>
        <v/>
      </c>
      <c r="N293" s="280" t="n"/>
      <c r="O293" s="281" t="n"/>
    </row>
    <row r="294" hidden="1" outlineLevel="1">
      <c r="B294" s="2">
        <f>B293+1</f>
        <v/>
      </c>
      <c r="D294" s="279">
        <f>IF(B294&lt;$D$24,(+'CALCULETTE (2)'!G691/'CALCULETTE (2)'!$B$612),0)</f>
        <v/>
      </c>
      <c r="E294" s="279">
        <f>IF(E$1=0,"",IF($B294&lt;E$23,E293+PPMT(E$26/12,$B294,E$23,E$235,-E$27,0),IF($B294=E$23,E293+PPMT(E$26/12,$B294,E$23,E$235,-E$27,0)-E$27,0)))</f>
        <v/>
      </c>
      <c r="F294" s="279">
        <f>IF(F$1=0,"",IF($B294&lt;F$23,F293+PPMT(F$26/12,$B294,F$23,F$235,-F$27,0),IF($B294=F$23,F293+PPMT(F$26/12,$B294,F$23,F$235,-F$27,0)-F$27,0)))</f>
        <v/>
      </c>
      <c r="G294" s="279">
        <f>IF(G$1=0,"",IF($B294&lt;G$23,G293+PPMT(G$26/12,$B294,G$23,G$235,-G$27,0),IF($B294=G$23,G293+PPMT(G$26/12,$B294,G$23,G$235,-G$27,0)-G$27,0)))</f>
        <v/>
      </c>
      <c r="H294" s="279">
        <f>IF(H$1=0,"",IF($B294&lt;H$23,H293+PPMT(H$26/12,$B294,H$23,H$235,-H$27,0),IF($B294=H$23,H293+PPMT(H$26/12,$B294,H$23,H$235,-H$27,0)-H$27,0)))</f>
        <v/>
      </c>
      <c r="I294" s="279">
        <f>IF(I$1=0,"",IF($B294&lt;I$23,I293+PPMT(I$26/12,$B294,I$23,I$235,-I$27,0),IF($B294=I$23,I293+PPMT(I$26/12,$B294,I$23,I$235,-I$27,0)-I$27,0)))</f>
        <v/>
      </c>
      <c r="J294" s="279">
        <f>IF(J$1=0,"",IF($B294&lt;J$23,J293+PPMT(J$26/12,$B294,J$23,J$235,-J$27,0),IF($B294=J$23,J293+PPMT(J$26/12,$B294,J$23,J$235,-J$27,0)-J$27,0)))</f>
        <v/>
      </c>
      <c r="K294" s="279">
        <f>IF(K$1=0,"",IF($B294&lt;K$23,K293+PPMT(K$26/12,$B294,K$23,K$235,-K$27,0),IF($B294=K$23,K293+PPMT(K$26/12,$B294,K$23,K$235,-K$27,0)-K$27,0)))</f>
        <v/>
      </c>
      <c r="L294" s="279">
        <f>IF(L$1=0,"",IF($B294&lt;L$23,L293+PPMT(L$26/12,$B294,L$23,L$235,-L$27,0),IF($B294=L$23,L293+PPMT(L$26/12,$B294,L$23,L$235,-L$27,0)-L$27,0)))</f>
        <v/>
      </c>
      <c r="M294" s="279">
        <f>IF(M$1=0,"",IF($B294&lt;M$23,M293+PPMT(M$26/12,$B294,M$23,M$235,-M$27,0),IF($B294=M$23,M293+PPMT(M$26/12,$B294,M$23,M$235,-M$27,0)-M$27,0)))</f>
        <v/>
      </c>
      <c r="N294" s="280" t="n"/>
      <c r="O294" s="281" t="n"/>
    </row>
    <row r="295" hidden="1" outlineLevel="1">
      <c r="B295" s="2">
        <f>B294+1</f>
        <v/>
      </c>
      <c r="D295" s="279">
        <f>IF(B295&lt;$D$24,(+'CALCULETTE (2)'!G692/'CALCULETTE (2)'!$B$612),0)</f>
        <v/>
      </c>
      <c r="E295" s="279">
        <f>IF(E$1=0,"",IF($B295&lt;E$23,E294+PPMT(E$26/12,$B295,E$23,E$235,-E$27,0),IF($B295=E$23,E294+PPMT(E$26/12,$B295,E$23,E$235,-E$27,0)-E$27,0)))</f>
        <v/>
      </c>
      <c r="F295" s="279">
        <f>IF(F$1=0,"",IF($B295&lt;F$23,F294+PPMT(F$26/12,$B295,F$23,F$235,-F$27,0),IF($B295=F$23,F294+PPMT(F$26/12,$B295,F$23,F$235,-F$27,0)-F$27,0)))</f>
        <v/>
      </c>
      <c r="G295" s="279">
        <f>IF(G$1=0,"",IF($B295&lt;G$23,G294+PPMT(G$26/12,$B295,G$23,G$235,-G$27,0),IF($B295=G$23,G294+PPMT(G$26/12,$B295,G$23,G$235,-G$27,0)-G$27,0)))</f>
        <v/>
      </c>
      <c r="H295" s="279">
        <f>IF(H$1=0,"",IF($B295&lt;H$23,H294+PPMT(H$26/12,$B295,H$23,H$235,-H$27,0),IF($B295=H$23,H294+PPMT(H$26/12,$B295,H$23,H$235,-H$27,0)-H$27,0)))</f>
        <v/>
      </c>
      <c r="I295" s="279">
        <f>IF(I$1=0,"",IF($B295&lt;I$23,I294+PPMT(I$26/12,$B295,I$23,I$235,-I$27,0),IF($B295=I$23,I294+PPMT(I$26/12,$B295,I$23,I$235,-I$27,0)-I$27,0)))</f>
        <v/>
      </c>
      <c r="J295" s="279">
        <f>IF(J$1=0,"",IF($B295&lt;J$23,J294+PPMT(J$26/12,$B295,J$23,J$235,-J$27,0),IF($B295=J$23,J294+PPMT(J$26/12,$B295,J$23,J$235,-J$27,0)-J$27,0)))</f>
        <v/>
      </c>
      <c r="K295" s="279">
        <f>IF(K$1=0,"",IF($B295&lt;K$23,K294+PPMT(K$26/12,$B295,K$23,K$235,-K$27,0),IF($B295=K$23,K294+PPMT(K$26/12,$B295,K$23,K$235,-K$27,0)-K$27,0)))</f>
        <v/>
      </c>
      <c r="L295" s="279">
        <f>IF(L$1=0,"",IF($B295&lt;L$23,L294+PPMT(L$26/12,$B295,L$23,L$235,-L$27,0),IF($B295=L$23,L294+PPMT(L$26/12,$B295,L$23,L$235,-L$27,0)-L$27,0)))</f>
        <v/>
      </c>
      <c r="M295" s="279">
        <f>IF(M$1=0,"",IF($B295&lt;M$23,M294+PPMT(M$26/12,$B295,M$23,M$235,-M$27,0),IF($B295=M$23,M294+PPMT(M$26/12,$B295,M$23,M$235,-M$27,0)-M$27,0)))</f>
        <v/>
      </c>
      <c r="N295" s="280" t="n"/>
      <c r="O295" s="281" t="n"/>
    </row>
    <row r="296" hidden="1" outlineLevel="1">
      <c r="B296" s="2">
        <f>B295+1</f>
        <v/>
      </c>
      <c r="D296" s="279">
        <f>IF(B296&lt;$D$24,(+'CALCULETTE (2)'!G693/'CALCULETTE (2)'!$B$612),0)</f>
        <v/>
      </c>
      <c r="E296" s="279">
        <f>IF(E$1=0,"",IF($B296&lt;E$23,E295+PPMT(E$26/12,$B296,E$23,E$235,-E$27,0),IF($B296=E$23,E295+PPMT(E$26/12,$B296,E$23,E$235,-E$27,0)-E$27,0)))</f>
        <v/>
      </c>
      <c r="F296" s="279">
        <f>IF(F$1=0,"",IF($B296&lt;F$23,F295+PPMT(F$26/12,$B296,F$23,F$235,-F$27,0),IF($B296=F$23,F295+PPMT(F$26/12,$B296,F$23,F$235,-F$27,0)-F$27,0)))</f>
        <v/>
      </c>
      <c r="G296" s="279">
        <f>IF(G$1=0,"",IF($B296&lt;G$23,G295+PPMT(G$26/12,$B296,G$23,G$235,-G$27,0),IF($B296=G$23,G295+PPMT(G$26/12,$B296,G$23,G$235,-G$27,0)-G$27,0)))</f>
        <v/>
      </c>
      <c r="H296" s="279">
        <f>IF(H$1=0,"",IF($B296&lt;H$23,H295+PPMT(H$26/12,$B296,H$23,H$235,-H$27,0),IF($B296=H$23,H295+PPMT(H$26/12,$B296,H$23,H$235,-H$27,0)-H$27,0)))</f>
        <v/>
      </c>
      <c r="I296" s="279">
        <f>IF(I$1=0,"",IF($B296&lt;I$23,I295+PPMT(I$26/12,$B296,I$23,I$235,-I$27,0),IF($B296=I$23,I295+PPMT(I$26/12,$B296,I$23,I$235,-I$27,0)-I$27,0)))</f>
        <v/>
      </c>
      <c r="J296" s="279">
        <f>IF(J$1=0,"",IF($B296&lt;J$23,J295+PPMT(J$26/12,$B296,J$23,J$235,-J$27,0),IF($B296=J$23,J295+PPMT(J$26/12,$B296,J$23,J$235,-J$27,0)-J$27,0)))</f>
        <v/>
      </c>
      <c r="K296" s="279">
        <f>IF(K$1=0,"",IF($B296&lt;K$23,K295+PPMT(K$26/12,$B296,K$23,K$235,-K$27,0),IF($B296=K$23,K295+PPMT(K$26/12,$B296,K$23,K$235,-K$27,0)-K$27,0)))</f>
        <v/>
      </c>
      <c r="L296" s="279">
        <f>IF(L$1=0,"",IF($B296&lt;L$23,L295+PPMT(L$26/12,$B296,L$23,L$235,-L$27,0),IF($B296=L$23,L295+PPMT(L$26/12,$B296,L$23,L$235,-L$27,0)-L$27,0)))</f>
        <v/>
      </c>
      <c r="M296" s="279">
        <f>IF(M$1=0,"",IF($B296&lt;M$23,M295+PPMT(M$26/12,$B296,M$23,M$235,-M$27,0),IF($B296=M$23,M295+PPMT(M$26/12,$B296,M$23,M$235,-M$27,0)-M$27,0)))</f>
        <v/>
      </c>
      <c r="N296" s="280" t="n"/>
      <c r="O296" s="281" t="n"/>
    </row>
    <row r="297" hidden="1" outlineLevel="1">
      <c r="B297" s="2">
        <f>B296+1</f>
        <v/>
      </c>
      <c r="D297" s="279">
        <f>IF(B297&lt;$D$24,(+'CALCULETTE (2)'!G694/'CALCULETTE (2)'!$B$612),0)</f>
        <v/>
      </c>
      <c r="E297" s="279">
        <f>IF(E$1=0,"",IF($B297&lt;E$23,E296+PPMT(E$26/12,$B297,E$23,E$235,-E$27,0),IF($B297=E$23,E296+PPMT(E$26/12,$B297,E$23,E$235,-E$27,0)-E$27,0)))</f>
        <v/>
      </c>
      <c r="F297" s="279">
        <f>IF(F$1=0,"",IF($B297&lt;F$23,F296+PPMT(F$26/12,$B297,F$23,F$235,-F$27,0),IF($B297=F$23,F296+PPMT(F$26/12,$B297,F$23,F$235,-F$27,0)-F$27,0)))</f>
        <v/>
      </c>
      <c r="G297" s="279">
        <f>IF(G$1=0,"",IF($B297&lt;G$23,G296+PPMT(G$26/12,$B297,G$23,G$235,-G$27,0),IF($B297=G$23,G296+PPMT(G$26/12,$B297,G$23,G$235,-G$27,0)-G$27,0)))</f>
        <v/>
      </c>
      <c r="H297" s="279">
        <f>IF(H$1=0,"",IF($B297&lt;H$23,H296+PPMT(H$26/12,$B297,H$23,H$235,-H$27,0),IF($B297=H$23,H296+PPMT(H$26/12,$B297,H$23,H$235,-H$27,0)-H$27,0)))</f>
        <v/>
      </c>
      <c r="I297" s="279">
        <f>IF(I$1=0,"",IF($B297&lt;I$23,I296+PPMT(I$26/12,$B297,I$23,I$235,-I$27,0),IF($B297=I$23,I296+PPMT(I$26/12,$B297,I$23,I$235,-I$27,0)-I$27,0)))</f>
        <v/>
      </c>
      <c r="J297" s="279">
        <f>IF(J$1=0,"",IF($B297&lt;J$23,J296+PPMT(J$26/12,$B297,J$23,J$235,-J$27,0),IF($B297=J$23,J296+PPMT(J$26/12,$B297,J$23,J$235,-J$27,0)-J$27,0)))</f>
        <v/>
      </c>
      <c r="K297" s="279">
        <f>IF(K$1=0,"",IF($B297&lt;K$23,K296+PPMT(K$26/12,$B297,K$23,K$235,-K$27,0),IF($B297=K$23,K296+PPMT(K$26/12,$B297,K$23,K$235,-K$27,0)-K$27,0)))</f>
        <v/>
      </c>
      <c r="L297" s="279">
        <f>IF(L$1=0,"",IF($B297&lt;L$23,L296+PPMT(L$26/12,$B297,L$23,L$235,-L$27,0),IF($B297=L$23,L296+PPMT(L$26/12,$B297,L$23,L$235,-L$27,0)-L$27,0)))</f>
        <v/>
      </c>
      <c r="M297" s="279">
        <f>IF(M$1=0,"",IF($B297&lt;M$23,M296+PPMT(M$26/12,$B297,M$23,M$235,-M$27,0),IF($B297=M$23,M296+PPMT(M$26/12,$B297,M$23,M$235,-M$27,0)-M$27,0)))</f>
        <v/>
      </c>
      <c r="N297" s="280" t="n"/>
      <c r="O297" s="281" t="n"/>
    </row>
    <row r="298" hidden="1" outlineLevel="1">
      <c r="B298" s="2">
        <f>B297+1</f>
        <v/>
      </c>
      <c r="D298" s="279">
        <f>IF(B298&lt;$D$24,(+'CALCULETTE (2)'!G695/'CALCULETTE (2)'!$B$612),0)</f>
        <v/>
      </c>
      <c r="E298" s="279">
        <f>IF(E$1=0,"",IF($B298&lt;E$23,E297+PPMT(E$26/12,$B298,E$23,E$235,-E$27,0),IF($B298=E$23,E297+PPMT(E$26/12,$B298,E$23,E$235,-E$27,0)-E$27,0)))</f>
        <v/>
      </c>
      <c r="F298" s="279">
        <f>IF(F$1=0,"",IF($B298&lt;F$23,F297+PPMT(F$26/12,$B298,F$23,F$235,-F$27,0),IF($B298=F$23,F297+PPMT(F$26/12,$B298,F$23,F$235,-F$27,0)-F$27,0)))</f>
        <v/>
      </c>
      <c r="G298" s="279">
        <f>IF(G$1=0,"",IF($B298&lt;G$23,G297+PPMT(G$26/12,$B298,G$23,G$235,-G$27,0),IF($B298=G$23,G297+PPMT(G$26/12,$B298,G$23,G$235,-G$27,0)-G$27,0)))</f>
        <v/>
      </c>
      <c r="H298" s="279">
        <f>IF(H$1=0,"",IF($B298&lt;H$23,H297+PPMT(H$26/12,$B298,H$23,H$235,-H$27,0),IF($B298=H$23,H297+PPMT(H$26/12,$B298,H$23,H$235,-H$27,0)-H$27,0)))</f>
        <v/>
      </c>
      <c r="I298" s="279">
        <f>IF(I$1=0,"",IF($B298&lt;I$23,I297+PPMT(I$26/12,$B298,I$23,I$235,-I$27,0),IF($B298=I$23,I297+PPMT(I$26/12,$B298,I$23,I$235,-I$27,0)-I$27,0)))</f>
        <v/>
      </c>
      <c r="J298" s="279">
        <f>IF(J$1=0,"",IF($B298&lt;J$23,J297+PPMT(J$26/12,$B298,J$23,J$235,-J$27,0),IF($B298=J$23,J297+PPMT(J$26/12,$B298,J$23,J$235,-J$27,0)-J$27,0)))</f>
        <v/>
      </c>
      <c r="K298" s="279">
        <f>IF(K$1=0,"",IF($B298&lt;K$23,K297+PPMT(K$26/12,$B298,K$23,K$235,-K$27,0),IF($B298=K$23,K297+PPMT(K$26/12,$B298,K$23,K$235,-K$27,0)-K$27,0)))</f>
        <v/>
      </c>
      <c r="L298" s="279">
        <f>IF(L$1=0,"",IF($B298&lt;L$23,L297+PPMT(L$26/12,$B298,L$23,L$235,-L$27,0),IF($B298=L$23,L297+PPMT(L$26/12,$B298,L$23,L$235,-L$27,0)-L$27,0)))</f>
        <v/>
      </c>
      <c r="M298" s="279">
        <f>IF(M$1=0,"",IF($B298&lt;M$23,M297+PPMT(M$26/12,$B298,M$23,M$235,-M$27,0),IF($B298=M$23,M297+PPMT(M$26/12,$B298,M$23,M$235,-M$27,0)-M$27,0)))</f>
        <v/>
      </c>
      <c r="N298" s="280" t="n"/>
      <c r="O298" s="281" t="n"/>
    </row>
    <row r="299" hidden="1" outlineLevel="1">
      <c r="B299" s="2">
        <f>B298+1</f>
        <v/>
      </c>
      <c r="D299" s="279">
        <f>IF(B299&lt;$D$24,(+'CALCULETTE (2)'!G696/'CALCULETTE (2)'!$B$612),0)</f>
        <v/>
      </c>
      <c r="E299" s="279">
        <f>IF(E$1=0,"",IF($B299&lt;E$23,E298+PPMT(E$26/12,$B299,E$23,E$235,-E$27,0),IF($B299=E$23,E298+PPMT(E$26/12,$B299,E$23,E$235,-E$27,0)-E$27,0)))</f>
        <v/>
      </c>
      <c r="F299" s="279">
        <f>IF(F$1=0,"",IF($B299&lt;F$23,F298+PPMT(F$26/12,$B299,F$23,F$235,-F$27,0),IF($B299=F$23,F298+PPMT(F$26/12,$B299,F$23,F$235,-F$27,0)-F$27,0)))</f>
        <v/>
      </c>
      <c r="G299" s="279">
        <f>IF(G$1=0,"",IF($B299&lt;G$23,G298+PPMT(G$26/12,$B299,G$23,G$235,-G$27,0),IF($B299=G$23,G298+PPMT(G$26/12,$B299,G$23,G$235,-G$27,0)-G$27,0)))</f>
        <v/>
      </c>
      <c r="H299" s="279">
        <f>IF(H$1=0,"",IF($B299&lt;H$23,H298+PPMT(H$26/12,$B299,H$23,H$235,-H$27,0),IF($B299=H$23,H298+PPMT(H$26/12,$B299,H$23,H$235,-H$27,0)-H$27,0)))</f>
        <v/>
      </c>
      <c r="I299" s="279">
        <f>IF(I$1=0,"",IF($B299&lt;I$23,I298+PPMT(I$26/12,$B299,I$23,I$235,-I$27,0),IF($B299=I$23,I298+PPMT(I$26/12,$B299,I$23,I$235,-I$27,0)-I$27,0)))</f>
        <v/>
      </c>
      <c r="J299" s="279">
        <f>IF(J$1=0,"",IF($B299&lt;J$23,J298+PPMT(J$26/12,$B299,J$23,J$235,-J$27,0),IF($B299=J$23,J298+PPMT(J$26/12,$B299,J$23,J$235,-J$27,0)-J$27,0)))</f>
        <v/>
      </c>
      <c r="K299" s="279">
        <f>IF(K$1=0,"",IF($B299&lt;K$23,K298+PPMT(K$26/12,$B299,K$23,K$235,-K$27,0),IF($B299=K$23,K298+PPMT(K$26/12,$B299,K$23,K$235,-K$27,0)-K$27,0)))</f>
        <v/>
      </c>
      <c r="L299" s="279">
        <f>IF(L$1=0,"",IF($B299&lt;L$23,L298+PPMT(L$26/12,$B299,L$23,L$235,-L$27,0),IF($B299=L$23,L298+PPMT(L$26/12,$B299,L$23,L$235,-L$27,0)-L$27,0)))</f>
        <v/>
      </c>
      <c r="M299" s="279">
        <f>IF(M$1=0,"",IF($B299&lt;M$23,M298+PPMT(M$26/12,$B299,M$23,M$235,-M$27,0),IF($B299=M$23,M298+PPMT(M$26/12,$B299,M$23,M$235,-M$27,0)-M$27,0)))</f>
        <v/>
      </c>
      <c r="N299" s="280" t="n"/>
      <c r="O299" s="281" t="n"/>
    </row>
    <row r="300" hidden="1" outlineLevel="1">
      <c r="B300" s="2">
        <f>B299+1</f>
        <v/>
      </c>
      <c r="D300" s="279">
        <f>IF(B300&lt;$D$24,(+'CALCULETTE (2)'!G697/'CALCULETTE (2)'!$B$612),0)</f>
        <v/>
      </c>
      <c r="E300" s="279">
        <f>IF(E$1=0,"",IF($B300&lt;E$23,E299+PPMT(E$26/12,$B300,E$23,E$235,-E$27,0),IF($B300=E$23,E299+PPMT(E$26/12,$B300,E$23,E$235,-E$27,0)-E$27,0)))</f>
        <v/>
      </c>
      <c r="F300" s="279">
        <f>IF(F$1=0,"",IF($B300&lt;F$23,F299+PPMT(F$26/12,$B300,F$23,F$235,-F$27,0),IF($B300=F$23,F299+PPMT(F$26/12,$B300,F$23,F$235,-F$27,0)-F$27,0)))</f>
        <v/>
      </c>
      <c r="G300" s="279">
        <f>IF(G$1=0,"",IF($B300&lt;G$23,G299+PPMT(G$26/12,$B300,G$23,G$235,-G$27,0),IF($B300=G$23,G299+PPMT(G$26/12,$B300,G$23,G$235,-G$27,0)-G$27,0)))</f>
        <v/>
      </c>
      <c r="H300" s="279">
        <f>IF(H$1=0,"",IF($B300&lt;H$23,H299+PPMT(H$26/12,$B300,H$23,H$235,-H$27,0),IF($B300=H$23,H299+PPMT(H$26/12,$B300,H$23,H$235,-H$27,0)-H$27,0)))</f>
        <v/>
      </c>
      <c r="I300" s="279">
        <f>IF(I$1=0,"",IF($B300&lt;I$23,I299+PPMT(I$26/12,$B300,I$23,I$235,-I$27,0),IF($B300=I$23,I299+PPMT(I$26/12,$B300,I$23,I$235,-I$27,0)-I$27,0)))</f>
        <v/>
      </c>
      <c r="J300" s="279">
        <f>IF(J$1=0,"",IF($B300&lt;J$23,J299+PPMT(J$26/12,$B300,J$23,J$235,-J$27,0),IF($B300=J$23,J299+PPMT(J$26/12,$B300,J$23,J$235,-J$27,0)-J$27,0)))</f>
        <v/>
      </c>
      <c r="K300" s="279">
        <f>IF(K$1=0,"",IF($B300&lt;K$23,K299+PPMT(K$26/12,$B300,K$23,K$235,-K$27,0),IF($B300=K$23,K299+PPMT(K$26/12,$B300,K$23,K$235,-K$27,0)-K$27,0)))</f>
        <v/>
      </c>
      <c r="L300" s="279">
        <f>IF(L$1=0,"",IF($B300&lt;L$23,L299+PPMT(L$26/12,$B300,L$23,L$235,-L$27,0),IF($B300=L$23,L299+PPMT(L$26/12,$B300,L$23,L$235,-L$27,0)-L$27,0)))</f>
        <v/>
      </c>
      <c r="M300" s="279">
        <f>IF(M$1=0,"",IF($B300&lt;M$23,M299+PPMT(M$26/12,$B300,M$23,M$235,-M$27,0),IF($B300=M$23,M299+PPMT(M$26/12,$B300,M$23,M$235,-M$27,0)-M$27,0)))</f>
        <v/>
      </c>
      <c r="N300" s="280" t="n"/>
      <c r="O300" s="281" t="n"/>
    </row>
    <row r="301" hidden="1" outlineLevel="1">
      <c r="B301" s="2">
        <f>B300+1</f>
        <v/>
      </c>
      <c r="D301" s="279">
        <f>IF(B301&lt;$D$24,(+'CALCULETTE (2)'!G698/'CALCULETTE (2)'!$B$612),0)</f>
        <v/>
      </c>
      <c r="E301" s="279">
        <f>IF(E$1=0,"",IF($B301&lt;E$23,E300+PPMT(E$26/12,$B301,E$23,E$235,-E$27,0),IF($B301=E$23,E300+PPMT(E$26/12,$B301,E$23,E$235,-E$27,0)-E$27,0)))</f>
        <v/>
      </c>
      <c r="F301" s="279">
        <f>IF(F$1=0,"",IF($B301&lt;F$23,F300+PPMT(F$26/12,$B301,F$23,F$235,-F$27,0),IF($B301=F$23,F300+PPMT(F$26/12,$B301,F$23,F$235,-F$27,0)-F$27,0)))</f>
        <v/>
      </c>
      <c r="G301" s="279">
        <f>IF(G$1=0,"",IF($B301&lt;G$23,G300+PPMT(G$26/12,$B301,G$23,G$235,-G$27,0),IF($B301=G$23,G300+PPMT(G$26/12,$B301,G$23,G$235,-G$27,0)-G$27,0)))</f>
        <v/>
      </c>
      <c r="H301" s="279">
        <f>IF(H$1=0,"",IF($B301&lt;H$23,H300+PPMT(H$26/12,$B301,H$23,H$235,-H$27,0),IF($B301=H$23,H300+PPMT(H$26/12,$B301,H$23,H$235,-H$27,0)-H$27,0)))</f>
        <v/>
      </c>
      <c r="I301" s="279">
        <f>IF(I$1=0,"",IF($B301&lt;I$23,I300+PPMT(I$26/12,$B301,I$23,I$235,-I$27,0),IF($B301=I$23,I300+PPMT(I$26/12,$B301,I$23,I$235,-I$27,0)-I$27,0)))</f>
        <v/>
      </c>
      <c r="J301" s="279">
        <f>IF(J$1=0,"",IF($B301&lt;J$23,J300+PPMT(J$26/12,$B301,J$23,J$235,-J$27,0),IF($B301=J$23,J300+PPMT(J$26/12,$B301,J$23,J$235,-J$27,0)-J$27,0)))</f>
        <v/>
      </c>
      <c r="K301" s="279">
        <f>IF(K$1=0,"",IF($B301&lt;K$23,K300+PPMT(K$26/12,$B301,K$23,K$235,-K$27,0),IF($B301=K$23,K300+PPMT(K$26/12,$B301,K$23,K$235,-K$27,0)-K$27,0)))</f>
        <v/>
      </c>
      <c r="L301" s="279">
        <f>IF(L$1=0,"",IF($B301&lt;L$23,L300+PPMT(L$26/12,$B301,L$23,L$235,-L$27,0),IF($B301=L$23,L300+PPMT(L$26/12,$B301,L$23,L$235,-L$27,0)-L$27,0)))</f>
        <v/>
      </c>
      <c r="M301" s="279">
        <f>IF(M$1=0,"",IF($B301&lt;M$23,M300+PPMT(M$26/12,$B301,M$23,M$235,-M$27,0),IF($B301=M$23,M300+PPMT(M$26/12,$B301,M$23,M$235,-M$27,0)-M$27,0)))</f>
        <v/>
      </c>
      <c r="N301" s="280" t="n"/>
      <c r="O301" s="281" t="n"/>
    </row>
    <row r="302" hidden="1" outlineLevel="1">
      <c r="B302" s="2">
        <f>B301+1</f>
        <v/>
      </c>
      <c r="D302" s="279">
        <f>IF(B302&lt;$D$24,(+'CALCULETTE (2)'!G699/'CALCULETTE (2)'!$B$612),0)</f>
        <v/>
      </c>
      <c r="E302" s="279">
        <f>IF(E$1=0,"",IF($B302&lt;E$23,E301+PPMT(E$26/12,$B302,E$23,E$235,-E$27,0),IF($B302=E$23,E301+PPMT(E$26/12,$B302,E$23,E$235,-E$27,0)-E$27,0)))</f>
        <v/>
      </c>
      <c r="F302" s="279">
        <f>IF(F$1=0,"",IF($B302&lt;F$23,F301+PPMT(F$26/12,$B302,F$23,F$235,-F$27,0),IF($B302=F$23,F301+PPMT(F$26/12,$B302,F$23,F$235,-F$27,0)-F$27,0)))</f>
        <v/>
      </c>
      <c r="G302" s="279">
        <f>IF(G$1=0,"",IF($B302&lt;G$23,G301+PPMT(G$26/12,$B302,G$23,G$235,-G$27,0),IF($B302=G$23,G301+PPMT(G$26/12,$B302,G$23,G$235,-G$27,0)-G$27,0)))</f>
        <v/>
      </c>
      <c r="H302" s="279">
        <f>IF(H$1=0,"",IF($B302&lt;H$23,H301+PPMT(H$26/12,$B302,H$23,H$235,-H$27,0),IF($B302=H$23,H301+PPMT(H$26/12,$B302,H$23,H$235,-H$27,0)-H$27,0)))</f>
        <v/>
      </c>
      <c r="I302" s="279">
        <f>IF(I$1=0,"",IF($B302&lt;I$23,I301+PPMT(I$26/12,$B302,I$23,I$235,-I$27,0),IF($B302=I$23,I301+PPMT(I$26/12,$B302,I$23,I$235,-I$27,0)-I$27,0)))</f>
        <v/>
      </c>
      <c r="J302" s="279">
        <f>IF(J$1=0,"",IF($B302&lt;J$23,J301+PPMT(J$26/12,$B302,J$23,J$235,-J$27,0),IF($B302=J$23,J301+PPMT(J$26/12,$B302,J$23,J$235,-J$27,0)-J$27,0)))</f>
        <v/>
      </c>
      <c r="K302" s="279">
        <f>IF(K$1=0,"",IF($B302&lt;K$23,K301+PPMT(K$26/12,$B302,K$23,K$235,-K$27,0),IF($B302=K$23,K301+PPMT(K$26/12,$B302,K$23,K$235,-K$27,0)-K$27,0)))</f>
        <v/>
      </c>
      <c r="L302" s="279">
        <f>IF(L$1=0,"",IF($B302&lt;L$23,L301+PPMT(L$26/12,$B302,L$23,L$235,-L$27,0),IF($B302=L$23,L301+PPMT(L$26/12,$B302,L$23,L$235,-L$27,0)-L$27,0)))</f>
        <v/>
      </c>
      <c r="M302" s="279">
        <f>IF(M$1=0,"",IF($B302&lt;M$23,M301+PPMT(M$26/12,$B302,M$23,M$235,-M$27,0),IF($B302=M$23,M301+PPMT(M$26/12,$B302,M$23,M$235,-M$27,0)-M$27,0)))</f>
        <v/>
      </c>
      <c r="N302" s="280" t="n"/>
      <c r="O302" s="281" t="n"/>
    </row>
    <row r="303" hidden="1" outlineLevel="1">
      <c r="B303" s="2">
        <f>B302+1</f>
        <v/>
      </c>
      <c r="D303" s="279">
        <f>IF(B303&lt;$D$24,(+'CALCULETTE (2)'!G700/'CALCULETTE (2)'!$B$612),0)</f>
        <v/>
      </c>
      <c r="E303" s="279">
        <f>IF(E$1=0,"",IF($B303&lt;E$23,E302+PPMT(E$26/12,$B303,E$23,E$235,-E$27,0),IF($B303=E$23,E302+PPMT(E$26/12,$B303,E$23,E$235,-E$27,0)-E$27,0)))</f>
        <v/>
      </c>
      <c r="F303" s="279">
        <f>IF(F$1=0,"",IF($B303&lt;F$23,F302+PPMT(F$26/12,$B303,F$23,F$235,-F$27,0),IF($B303=F$23,F302+PPMT(F$26/12,$B303,F$23,F$235,-F$27,0)-F$27,0)))</f>
        <v/>
      </c>
      <c r="G303" s="279">
        <f>IF(G$1=0,"",IF($B303&lt;G$23,G302+PPMT(G$26/12,$B303,G$23,G$235,-G$27,0),IF($B303=G$23,G302+PPMT(G$26/12,$B303,G$23,G$235,-G$27,0)-G$27,0)))</f>
        <v/>
      </c>
      <c r="H303" s="279">
        <f>IF(H$1=0,"",IF($B303&lt;H$23,H302+PPMT(H$26/12,$B303,H$23,H$235,-H$27,0),IF($B303=H$23,H302+PPMT(H$26/12,$B303,H$23,H$235,-H$27,0)-H$27,0)))</f>
        <v/>
      </c>
      <c r="I303" s="279">
        <f>IF(I$1=0,"",IF($B303&lt;I$23,I302+PPMT(I$26/12,$B303,I$23,I$235,-I$27,0),IF($B303=I$23,I302+PPMT(I$26/12,$B303,I$23,I$235,-I$27,0)-I$27,0)))</f>
        <v/>
      </c>
      <c r="J303" s="279">
        <f>IF(J$1=0,"",IF($B303&lt;J$23,J302+PPMT(J$26/12,$B303,J$23,J$235,-J$27,0),IF($B303=J$23,J302+PPMT(J$26/12,$B303,J$23,J$235,-J$27,0)-J$27,0)))</f>
        <v/>
      </c>
      <c r="K303" s="279">
        <f>IF(K$1=0,"",IF($B303&lt;K$23,K302+PPMT(K$26/12,$B303,K$23,K$235,-K$27,0),IF($B303=K$23,K302+PPMT(K$26/12,$B303,K$23,K$235,-K$27,0)-K$27,0)))</f>
        <v/>
      </c>
      <c r="L303" s="279">
        <f>IF(L$1=0,"",IF($B303&lt;L$23,L302+PPMT(L$26/12,$B303,L$23,L$235,-L$27,0),IF($B303=L$23,L302+PPMT(L$26/12,$B303,L$23,L$235,-L$27,0)-L$27,0)))</f>
        <v/>
      </c>
      <c r="M303" s="279">
        <f>IF(M$1=0,"",IF($B303&lt;M$23,M302+PPMT(M$26/12,$B303,M$23,M$235,-M$27,0),IF($B303=M$23,M302+PPMT(M$26/12,$B303,M$23,M$235,-M$27,0)-M$27,0)))</f>
        <v/>
      </c>
      <c r="N303" s="280" t="n"/>
      <c r="O303" s="281" t="n"/>
    </row>
    <row r="304" hidden="1" outlineLevel="1">
      <c r="B304" s="2">
        <f>B303+1</f>
        <v/>
      </c>
      <c r="D304" s="279">
        <f>IF(B304&lt;$D$24,(+'CALCULETTE (2)'!G701/'CALCULETTE (2)'!$B$612),0)</f>
        <v/>
      </c>
      <c r="E304" s="279">
        <f>IF(E$1=0,"",IF($B304&lt;E$23,E303+PPMT(E$26/12,$B304,E$23,E$235,-E$27,0),IF($B304=E$23,E303+PPMT(E$26/12,$B304,E$23,E$235,-E$27,0)-E$27,0)))</f>
        <v/>
      </c>
      <c r="F304" s="279">
        <f>IF(F$1=0,"",IF($B304&lt;F$23,F303+PPMT(F$26/12,$B304,F$23,F$235,-F$27,0),IF($B304=F$23,F303+PPMT(F$26/12,$B304,F$23,F$235,-F$27,0)-F$27,0)))</f>
        <v/>
      </c>
      <c r="G304" s="279">
        <f>IF(G$1=0,"",IF($B304&lt;G$23,G303+PPMT(G$26/12,$B304,G$23,G$235,-G$27,0),IF($B304=G$23,G303+PPMT(G$26/12,$B304,G$23,G$235,-G$27,0)-G$27,0)))</f>
        <v/>
      </c>
      <c r="H304" s="279">
        <f>IF(H$1=0,"",IF($B304&lt;H$23,H303+PPMT(H$26/12,$B304,H$23,H$235,-H$27,0),IF($B304=H$23,H303+PPMT(H$26/12,$B304,H$23,H$235,-H$27,0)-H$27,0)))</f>
        <v/>
      </c>
      <c r="I304" s="279">
        <f>IF(I$1=0,"",IF($B304&lt;I$23,I303+PPMT(I$26/12,$B304,I$23,I$235,-I$27,0),IF($B304=I$23,I303+PPMT(I$26/12,$B304,I$23,I$235,-I$27,0)-I$27,0)))</f>
        <v/>
      </c>
      <c r="J304" s="279">
        <f>IF(J$1=0,"",IF($B304&lt;J$23,J303+PPMT(J$26/12,$B304,J$23,J$235,-J$27,0),IF($B304=J$23,J303+PPMT(J$26/12,$B304,J$23,J$235,-J$27,0)-J$27,0)))</f>
        <v/>
      </c>
      <c r="K304" s="279">
        <f>IF(K$1=0,"",IF($B304&lt;K$23,K303+PPMT(K$26/12,$B304,K$23,K$235,-K$27,0),IF($B304=K$23,K303+PPMT(K$26/12,$B304,K$23,K$235,-K$27,0)-K$27,0)))</f>
        <v/>
      </c>
      <c r="L304" s="279">
        <f>IF(L$1=0,"",IF($B304&lt;L$23,L303+PPMT(L$26/12,$B304,L$23,L$235,-L$27,0),IF($B304=L$23,L303+PPMT(L$26/12,$B304,L$23,L$235,-L$27,0)-L$27,0)))</f>
        <v/>
      </c>
      <c r="M304" s="279">
        <f>IF(M$1=0,"",IF($B304&lt;M$23,M303+PPMT(M$26/12,$B304,M$23,M$235,-M$27,0),IF($B304=M$23,M303+PPMT(M$26/12,$B304,M$23,M$235,-M$27,0)-M$27,0)))</f>
        <v/>
      </c>
      <c r="N304" s="280" t="n"/>
      <c r="O304" s="281" t="n"/>
    </row>
    <row r="305" hidden="1" outlineLevel="1">
      <c r="B305" s="2">
        <f>B304+1</f>
        <v/>
      </c>
      <c r="D305" s="279">
        <f>IF(B305&lt;$D$24,(+'CALCULETTE (2)'!G702/'CALCULETTE (2)'!$B$612),0)</f>
        <v/>
      </c>
      <c r="E305" s="279">
        <f>IF(E$1=0,"",IF($B305&lt;E$23,E304+PPMT(E$26/12,$B305,E$23,E$235,-E$27,0),IF($B305=E$23,E304+PPMT(E$26/12,$B305,E$23,E$235,-E$27,0)-E$27,0)))</f>
        <v/>
      </c>
      <c r="F305" s="279">
        <f>IF(F$1=0,"",IF($B305&lt;F$23,F304+PPMT(F$26/12,$B305,F$23,F$235,-F$27,0),IF($B305=F$23,F304+PPMT(F$26/12,$B305,F$23,F$235,-F$27,0)-F$27,0)))</f>
        <v/>
      </c>
      <c r="G305" s="279">
        <f>IF(G$1=0,"",IF($B305&lt;G$23,G304+PPMT(G$26/12,$B305,G$23,G$235,-G$27,0),IF($B305=G$23,G304+PPMT(G$26/12,$B305,G$23,G$235,-G$27,0)-G$27,0)))</f>
        <v/>
      </c>
      <c r="H305" s="279">
        <f>IF(H$1=0,"",IF($B305&lt;H$23,H304+PPMT(H$26/12,$B305,H$23,H$235,-H$27,0),IF($B305=H$23,H304+PPMT(H$26/12,$B305,H$23,H$235,-H$27,0)-H$27,0)))</f>
        <v/>
      </c>
      <c r="I305" s="279">
        <f>IF(I$1=0,"",IF($B305&lt;I$23,I304+PPMT(I$26/12,$B305,I$23,I$235,-I$27,0),IF($B305=I$23,I304+PPMT(I$26/12,$B305,I$23,I$235,-I$27,0)-I$27,0)))</f>
        <v/>
      </c>
      <c r="J305" s="279">
        <f>IF(J$1=0,"",IF($B305&lt;J$23,J304+PPMT(J$26/12,$B305,J$23,J$235,-J$27,0),IF($B305=J$23,J304+PPMT(J$26/12,$B305,J$23,J$235,-J$27,0)-J$27,0)))</f>
        <v/>
      </c>
      <c r="K305" s="279">
        <f>IF(K$1=0,"",IF($B305&lt;K$23,K304+PPMT(K$26/12,$B305,K$23,K$235,-K$27,0),IF($B305=K$23,K304+PPMT(K$26/12,$B305,K$23,K$235,-K$27,0)-K$27,0)))</f>
        <v/>
      </c>
      <c r="L305" s="279">
        <f>IF(L$1=0,"",IF($B305&lt;L$23,L304+PPMT(L$26/12,$B305,L$23,L$235,-L$27,0),IF($B305=L$23,L304+PPMT(L$26/12,$B305,L$23,L$235,-L$27,0)-L$27,0)))</f>
        <v/>
      </c>
      <c r="M305" s="279">
        <f>IF(M$1=0,"",IF($B305&lt;M$23,M304+PPMT(M$26/12,$B305,M$23,M$235,-M$27,0),IF($B305=M$23,M304+PPMT(M$26/12,$B305,M$23,M$235,-M$27,0)-M$27,0)))</f>
        <v/>
      </c>
      <c r="N305" s="280" t="n"/>
      <c r="O305" s="281" t="n"/>
    </row>
    <row r="306" hidden="1" outlineLevel="1">
      <c r="B306" s="2">
        <f>B305+1</f>
        <v/>
      </c>
      <c r="D306" s="279">
        <f>IF(B306&lt;$D$24,(+'CALCULETTE (2)'!G703/'CALCULETTE (2)'!$B$612),0)</f>
        <v/>
      </c>
      <c r="E306" s="279">
        <f>IF(E$1=0,"",IF($B306&lt;E$23,E305+PPMT(E$26/12,$B306,E$23,E$235,-E$27,0),IF($B306=E$23,E305+PPMT(E$26/12,$B306,E$23,E$235,-E$27,0)-E$27,0)))</f>
        <v/>
      </c>
      <c r="F306" s="279">
        <f>IF(F$1=0,"",IF($B306&lt;F$23,F305+PPMT(F$26/12,$B306,F$23,F$235,-F$27,0),IF($B306=F$23,F305+PPMT(F$26/12,$B306,F$23,F$235,-F$27,0)-F$27,0)))</f>
        <v/>
      </c>
      <c r="G306" s="279">
        <f>IF(G$1=0,"",IF($B306&lt;G$23,G305+PPMT(G$26/12,$B306,G$23,G$235,-G$27,0),IF($B306=G$23,G305+PPMT(G$26/12,$B306,G$23,G$235,-G$27,0)-G$27,0)))</f>
        <v/>
      </c>
      <c r="H306" s="279">
        <f>IF(H$1=0,"",IF($B306&lt;H$23,H305+PPMT(H$26/12,$B306,H$23,H$235,-H$27,0),IF($B306=H$23,H305+PPMT(H$26/12,$B306,H$23,H$235,-H$27,0)-H$27,0)))</f>
        <v/>
      </c>
      <c r="I306" s="279">
        <f>IF(I$1=0,"",IF($B306&lt;I$23,I305+PPMT(I$26/12,$B306,I$23,I$235,-I$27,0),IF($B306=I$23,I305+PPMT(I$26/12,$B306,I$23,I$235,-I$27,0)-I$27,0)))</f>
        <v/>
      </c>
      <c r="J306" s="279">
        <f>IF(J$1=0,"",IF($B306&lt;J$23,J305+PPMT(J$26/12,$B306,J$23,J$235,-J$27,0),IF($B306=J$23,J305+PPMT(J$26/12,$B306,J$23,J$235,-J$27,0)-J$27,0)))</f>
        <v/>
      </c>
      <c r="K306" s="279">
        <f>IF(K$1=0,"",IF($B306&lt;K$23,K305+PPMT(K$26/12,$B306,K$23,K$235,-K$27,0),IF($B306=K$23,K305+PPMT(K$26/12,$B306,K$23,K$235,-K$27,0)-K$27,0)))</f>
        <v/>
      </c>
      <c r="L306" s="279">
        <f>IF(L$1=0,"",IF($B306&lt;L$23,L305+PPMT(L$26/12,$B306,L$23,L$235,-L$27,0),IF($B306=L$23,L305+PPMT(L$26/12,$B306,L$23,L$235,-L$27,0)-L$27,0)))</f>
        <v/>
      </c>
      <c r="M306" s="279">
        <f>IF(M$1=0,"",IF($B306&lt;M$23,M305+PPMT(M$26/12,$B306,M$23,M$235,-M$27,0),IF($B306=M$23,M305+PPMT(M$26/12,$B306,M$23,M$235,-M$27,0)-M$27,0)))</f>
        <v/>
      </c>
      <c r="N306" s="280" t="n"/>
      <c r="O306" s="281" t="n"/>
    </row>
    <row r="307" hidden="1" outlineLevel="1">
      <c r="B307" s="2">
        <f>B306+1</f>
        <v/>
      </c>
      <c r="D307" s="279">
        <f>IF(B307&lt;$D$24,(+'CALCULETTE (2)'!G704/'CALCULETTE (2)'!$B$612),0)</f>
        <v/>
      </c>
      <c r="E307" s="279">
        <f>IF(E$1=0,"",IF($B307&lt;E$23,E306+PPMT(E$26/12,$B307,E$23,E$235,-E$27,0),IF($B307=E$23,E306+PPMT(E$26/12,$B307,E$23,E$235,-E$27,0)-E$27,0)))</f>
        <v/>
      </c>
      <c r="F307" s="279">
        <f>IF(F$1=0,"",IF($B307&lt;F$23,F306+PPMT(F$26/12,$B307,F$23,F$235,-F$27,0),IF($B307=F$23,F306+PPMT(F$26/12,$B307,F$23,F$235,-F$27,0)-F$27,0)))</f>
        <v/>
      </c>
      <c r="G307" s="279">
        <f>IF(G$1=0,"",IF($B307&lt;G$23,G306+PPMT(G$26/12,$B307,G$23,G$235,-G$27,0),IF($B307=G$23,G306+PPMT(G$26/12,$B307,G$23,G$235,-G$27,0)-G$27,0)))</f>
        <v/>
      </c>
      <c r="H307" s="279">
        <f>IF(H$1=0,"",IF($B307&lt;H$23,H306+PPMT(H$26/12,$B307,H$23,H$235,-H$27,0),IF($B307=H$23,H306+PPMT(H$26/12,$B307,H$23,H$235,-H$27,0)-H$27,0)))</f>
        <v/>
      </c>
      <c r="I307" s="279">
        <f>IF(I$1=0,"",IF($B307&lt;I$23,I306+PPMT(I$26/12,$B307,I$23,I$235,-I$27,0),IF($B307=I$23,I306+PPMT(I$26/12,$B307,I$23,I$235,-I$27,0)-I$27,0)))</f>
        <v/>
      </c>
      <c r="J307" s="279">
        <f>IF(J$1=0,"",IF($B307&lt;J$23,J306+PPMT(J$26/12,$B307,J$23,J$235,-J$27,0),IF($B307=J$23,J306+PPMT(J$26/12,$B307,J$23,J$235,-J$27,0)-J$27,0)))</f>
        <v/>
      </c>
      <c r="K307" s="279">
        <f>IF(K$1=0,"",IF($B307&lt;K$23,K306+PPMT(K$26/12,$B307,K$23,K$235,-K$27,0),IF($B307=K$23,K306+PPMT(K$26/12,$B307,K$23,K$235,-K$27,0)-K$27,0)))</f>
        <v/>
      </c>
      <c r="L307" s="279">
        <f>IF(L$1=0,"",IF($B307&lt;L$23,L306+PPMT(L$26/12,$B307,L$23,L$235,-L$27,0),IF($B307=L$23,L306+PPMT(L$26/12,$B307,L$23,L$235,-L$27,0)-L$27,0)))</f>
        <v/>
      </c>
      <c r="M307" s="279">
        <f>IF(M$1=0,"",IF($B307&lt;M$23,M306+PPMT(M$26/12,$B307,M$23,M$235,-M$27,0),IF($B307=M$23,M306+PPMT(M$26/12,$B307,M$23,M$235,-M$27,0)-M$27,0)))</f>
        <v/>
      </c>
      <c r="N307" s="280" t="n"/>
      <c r="O307" s="281" t="n"/>
    </row>
    <row r="308" hidden="1" outlineLevel="1">
      <c r="B308" s="2">
        <f>B307+1</f>
        <v/>
      </c>
      <c r="D308" s="279">
        <f>IF(B308&lt;$D$24,(+'CALCULETTE (2)'!G705/'CALCULETTE (2)'!$B$612),0)</f>
        <v/>
      </c>
      <c r="E308" s="279">
        <f>IF(E$1=0,"",IF($B308&lt;E$23,E307+PPMT(E$26/12,$B308,E$23,E$235,-E$27,0),IF($B308=E$23,E307+PPMT(E$26/12,$B308,E$23,E$235,-E$27,0)-E$27,0)))</f>
        <v/>
      </c>
      <c r="F308" s="279">
        <f>IF(F$1=0,"",IF($B308&lt;F$23,F307+PPMT(F$26/12,$B308,F$23,F$235,-F$27,0),IF($B308=F$23,F307+PPMT(F$26/12,$B308,F$23,F$235,-F$27,0)-F$27,0)))</f>
        <v/>
      </c>
      <c r="G308" s="279">
        <f>IF(G$1=0,"",IF($B308&lt;G$23,G307+PPMT(G$26/12,$B308,G$23,G$235,-G$27,0),IF($B308=G$23,G307+PPMT(G$26/12,$B308,G$23,G$235,-G$27,0)-G$27,0)))</f>
        <v/>
      </c>
      <c r="H308" s="279">
        <f>IF(H$1=0,"",IF($B308&lt;H$23,H307+PPMT(H$26/12,$B308,H$23,H$235,-H$27,0),IF($B308=H$23,H307+PPMT(H$26/12,$B308,H$23,H$235,-H$27,0)-H$27,0)))</f>
        <v/>
      </c>
      <c r="I308" s="279">
        <f>IF(I$1=0,"",IF($B308&lt;I$23,I307+PPMT(I$26/12,$B308,I$23,I$235,-I$27,0),IF($B308=I$23,I307+PPMT(I$26/12,$B308,I$23,I$235,-I$27,0)-I$27,0)))</f>
        <v/>
      </c>
      <c r="J308" s="279">
        <f>IF(J$1=0,"",IF($B308&lt;J$23,J307+PPMT(J$26/12,$B308,J$23,J$235,-J$27,0),IF($B308=J$23,J307+PPMT(J$26/12,$B308,J$23,J$235,-J$27,0)-J$27,0)))</f>
        <v/>
      </c>
      <c r="K308" s="279">
        <f>IF(K$1=0,"",IF($B308&lt;K$23,K307+PPMT(K$26/12,$B308,K$23,K$235,-K$27,0),IF($B308=K$23,K307+PPMT(K$26/12,$B308,K$23,K$235,-K$27,0)-K$27,0)))</f>
        <v/>
      </c>
      <c r="L308" s="279">
        <f>IF(L$1=0,"",IF($B308&lt;L$23,L307+PPMT(L$26/12,$B308,L$23,L$235,-L$27,0),IF($B308=L$23,L307+PPMT(L$26/12,$B308,L$23,L$235,-L$27,0)-L$27,0)))</f>
        <v/>
      </c>
      <c r="M308" s="279">
        <f>IF(M$1=0,"",IF($B308&lt;M$23,M307+PPMT(M$26/12,$B308,M$23,M$235,-M$27,0),IF($B308=M$23,M307+PPMT(M$26/12,$B308,M$23,M$235,-M$27,0)-M$27,0)))</f>
        <v/>
      </c>
      <c r="N308" s="280" t="n"/>
      <c r="O308" s="281" t="n"/>
    </row>
    <row r="309" hidden="1" outlineLevel="1">
      <c r="B309" s="2">
        <f>B308+1</f>
        <v/>
      </c>
      <c r="D309" s="279">
        <f>IF(B309&lt;$D$24,(+'CALCULETTE (2)'!G706/'CALCULETTE (2)'!$B$612),0)</f>
        <v/>
      </c>
      <c r="E309" s="279">
        <f>IF(E$1=0,"",IF($B309&lt;E$23,E308+PPMT(E$26/12,$B309,E$23,E$235,-E$27,0),IF($B309=E$23,E308+PPMT(E$26/12,$B309,E$23,E$235,-E$27,0)-E$27,0)))</f>
        <v/>
      </c>
      <c r="F309" s="279">
        <f>IF(F$1=0,"",IF($B309&lt;F$23,F308+PPMT(F$26/12,$B309,F$23,F$235,-F$27,0),IF($B309=F$23,F308+PPMT(F$26/12,$B309,F$23,F$235,-F$27,0)-F$27,0)))</f>
        <v/>
      </c>
      <c r="G309" s="279">
        <f>IF(G$1=0,"",IF($B309&lt;G$23,G308+PPMT(G$26/12,$B309,G$23,G$235,-G$27,0),IF($B309=G$23,G308+PPMT(G$26/12,$B309,G$23,G$235,-G$27,0)-G$27,0)))</f>
        <v/>
      </c>
      <c r="H309" s="279">
        <f>IF(H$1=0,"",IF($B309&lt;H$23,H308+PPMT(H$26/12,$B309,H$23,H$235,-H$27,0),IF($B309=H$23,H308+PPMT(H$26/12,$B309,H$23,H$235,-H$27,0)-H$27,0)))</f>
        <v/>
      </c>
      <c r="I309" s="279">
        <f>IF(I$1=0,"",IF($B309&lt;I$23,I308+PPMT(I$26/12,$B309,I$23,I$235,-I$27,0),IF($B309=I$23,I308+PPMT(I$26/12,$B309,I$23,I$235,-I$27,0)-I$27,0)))</f>
        <v/>
      </c>
      <c r="J309" s="279">
        <f>IF(J$1=0,"",IF($B309&lt;J$23,J308+PPMT(J$26/12,$B309,J$23,J$235,-J$27,0),IF($B309=J$23,J308+PPMT(J$26/12,$B309,J$23,J$235,-J$27,0)-J$27,0)))</f>
        <v/>
      </c>
      <c r="K309" s="279">
        <f>IF(K$1=0,"",IF($B309&lt;K$23,K308+PPMT(K$26/12,$B309,K$23,K$235,-K$27,0),IF($B309=K$23,K308+PPMT(K$26/12,$B309,K$23,K$235,-K$27,0)-K$27,0)))</f>
        <v/>
      </c>
      <c r="L309" s="279">
        <f>IF(L$1=0,"",IF($B309&lt;L$23,L308+PPMT(L$26/12,$B309,L$23,L$235,-L$27,0),IF($B309=L$23,L308+PPMT(L$26/12,$B309,L$23,L$235,-L$27,0)-L$27,0)))</f>
        <v/>
      </c>
      <c r="M309" s="279">
        <f>IF(M$1=0,"",IF($B309&lt;M$23,M308+PPMT(M$26/12,$B309,M$23,M$235,-M$27,0),IF($B309=M$23,M308+PPMT(M$26/12,$B309,M$23,M$235,-M$27,0)-M$27,0)))</f>
        <v/>
      </c>
      <c r="N309" s="280" t="n"/>
      <c r="O309" s="281" t="n"/>
    </row>
    <row r="310" hidden="1" outlineLevel="1">
      <c r="B310" s="2">
        <f>B309+1</f>
        <v/>
      </c>
      <c r="D310" s="279">
        <f>IF(B310&lt;$D$24,(+'CALCULETTE (2)'!G707/'CALCULETTE (2)'!$B$612),0)</f>
        <v/>
      </c>
      <c r="E310" s="279">
        <f>IF(E$1=0,"",IF($B310&lt;E$23,E309+PPMT(E$26/12,$B310,E$23,E$235,-E$27,0),IF($B310=E$23,E309+PPMT(E$26/12,$B310,E$23,E$235,-E$27,0)-E$27,0)))</f>
        <v/>
      </c>
      <c r="F310" s="279">
        <f>IF(F$1=0,"",IF($B310&lt;F$23,F309+PPMT(F$26/12,$B310,F$23,F$235,-F$27,0),IF($B310=F$23,F309+PPMT(F$26/12,$B310,F$23,F$235,-F$27,0)-F$27,0)))</f>
        <v/>
      </c>
      <c r="G310" s="279">
        <f>IF(G$1=0,"",IF($B310&lt;G$23,G309+PPMT(G$26/12,$B310,G$23,G$235,-G$27,0),IF($B310=G$23,G309+PPMT(G$26/12,$B310,G$23,G$235,-G$27,0)-G$27,0)))</f>
        <v/>
      </c>
      <c r="H310" s="279">
        <f>IF(H$1=0,"",IF($B310&lt;H$23,H309+PPMT(H$26/12,$B310,H$23,H$235,-H$27,0),IF($B310=H$23,H309+PPMT(H$26/12,$B310,H$23,H$235,-H$27,0)-H$27,0)))</f>
        <v/>
      </c>
      <c r="I310" s="279">
        <f>IF(I$1=0,"",IF($B310&lt;I$23,I309+PPMT(I$26/12,$B310,I$23,I$235,-I$27,0),IF($B310=I$23,I309+PPMT(I$26/12,$B310,I$23,I$235,-I$27,0)-I$27,0)))</f>
        <v/>
      </c>
      <c r="J310" s="279">
        <f>IF(J$1=0,"",IF($B310&lt;J$23,J309+PPMT(J$26/12,$B310,J$23,J$235,-J$27,0),IF($B310=J$23,J309+PPMT(J$26/12,$B310,J$23,J$235,-J$27,0)-J$27,0)))</f>
        <v/>
      </c>
      <c r="K310" s="279">
        <f>IF(K$1=0,"",IF($B310&lt;K$23,K309+PPMT(K$26/12,$B310,K$23,K$235,-K$27,0),IF($B310=K$23,K309+PPMT(K$26/12,$B310,K$23,K$235,-K$27,0)-K$27,0)))</f>
        <v/>
      </c>
      <c r="L310" s="279">
        <f>IF(L$1=0,"",IF($B310&lt;L$23,L309+PPMT(L$26/12,$B310,L$23,L$235,-L$27,0),IF($B310=L$23,L309+PPMT(L$26/12,$B310,L$23,L$235,-L$27,0)-L$27,0)))</f>
        <v/>
      </c>
      <c r="M310" s="279">
        <f>IF(M$1=0,"",IF($B310&lt;M$23,M309+PPMT(M$26/12,$B310,M$23,M$235,-M$27,0),IF($B310=M$23,M309+PPMT(M$26/12,$B310,M$23,M$235,-M$27,0)-M$27,0)))</f>
        <v/>
      </c>
      <c r="N310" s="280" t="n"/>
      <c r="O310" s="281" t="n"/>
    </row>
    <row r="311" hidden="1" outlineLevel="1">
      <c r="B311" s="2">
        <f>B310+1</f>
        <v/>
      </c>
      <c r="D311" s="279">
        <f>IF(B311&lt;$D$24,(+'CALCULETTE (2)'!G708/'CALCULETTE (2)'!$B$612),0)</f>
        <v/>
      </c>
      <c r="E311" s="279">
        <f>IF(E$1=0,"",IF($B311&lt;E$23,E310+PPMT(E$26/12,$B311,E$23,E$235,-E$27,0),IF($B311=E$23,E310+PPMT(E$26/12,$B311,E$23,E$235,-E$27,0)-E$27,0)))</f>
        <v/>
      </c>
      <c r="F311" s="279">
        <f>IF(F$1=0,"",IF($B311&lt;F$23,F310+PPMT(F$26/12,$B311,F$23,F$235,-F$27,0),IF($B311=F$23,F310+PPMT(F$26/12,$B311,F$23,F$235,-F$27,0)-F$27,0)))</f>
        <v/>
      </c>
      <c r="G311" s="279">
        <f>IF(G$1=0,"",IF($B311&lt;G$23,G310+PPMT(G$26/12,$B311,G$23,G$235,-G$27,0),IF($B311=G$23,G310+PPMT(G$26/12,$B311,G$23,G$235,-G$27,0)-G$27,0)))</f>
        <v/>
      </c>
      <c r="H311" s="279">
        <f>IF(H$1=0,"",IF($B311&lt;H$23,H310+PPMT(H$26/12,$B311,H$23,H$235,-H$27,0),IF($B311=H$23,H310+PPMT(H$26/12,$B311,H$23,H$235,-H$27,0)-H$27,0)))</f>
        <v/>
      </c>
      <c r="I311" s="279">
        <f>IF(I$1=0,"",IF($B311&lt;I$23,I310+PPMT(I$26/12,$B311,I$23,I$235,-I$27,0),IF($B311=I$23,I310+PPMT(I$26/12,$B311,I$23,I$235,-I$27,0)-I$27,0)))</f>
        <v/>
      </c>
      <c r="J311" s="279">
        <f>IF(J$1=0,"",IF($B311&lt;J$23,J310+PPMT(J$26/12,$B311,J$23,J$235,-J$27,0),IF($B311=J$23,J310+PPMT(J$26/12,$B311,J$23,J$235,-J$27,0)-J$27,0)))</f>
        <v/>
      </c>
      <c r="K311" s="279">
        <f>IF(K$1=0,"",IF($B311&lt;K$23,K310+PPMT(K$26/12,$B311,K$23,K$235,-K$27,0),IF($B311=K$23,K310+PPMT(K$26/12,$B311,K$23,K$235,-K$27,0)-K$27,0)))</f>
        <v/>
      </c>
      <c r="L311" s="279">
        <f>IF(L$1=0,"",IF($B311&lt;L$23,L310+PPMT(L$26/12,$B311,L$23,L$235,-L$27,0),IF($B311=L$23,L310+PPMT(L$26/12,$B311,L$23,L$235,-L$27,0)-L$27,0)))</f>
        <v/>
      </c>
      <c r="M311" s="279">
        <f>IF(M$1=0,"",IF($B311&lt;M$23,M310+PPMT(M$26/12,$B311,M$23,M$235,-M$27,0),IF($B311=M$23,M310+PPMT(M$26/12,$B311,M$23,M$235,-M$27,0)-M$27,0)))</f>
        <v/>
      </c>
      <c r="N311" s="280" t="n"/>
      <c r="O311" s="281" t="n"/>
    </row>
    <row r="312" hidden="1" outlineLevel="1">
      <c r="B312" s="2">
        <f>B311+1</f>
        <v/>
      </c>
      <c r="D312" s="279">
        <f>IF(B312&lt;$D$24,(+'CALCULETTE (2)'!G709/'CALCULETTE (2)'!$B$612),0)</f>
        <v/>
      </c>
      <c r="E312" s="279">
        <f>IF(E$1=0,"",IF($B312&lt;E$23,E311+PPMT(E$26/12,$B312,E$23,E$235,-E$27,0),IF($B312=E$23,E311+PPMT(E$26/12,$B312,E$23,E$235,-E$27,0)-E$27,0)))</f>
        <v/>
      </c>
      <c r="F312" s="279">
        <f>IF(F$1=0,"",IF($B312&lt;F$23,F311+PPMT(F$26/12,$B312,F$23,F$235,-F$27,0),IF($B312=F$23,F311+PPMT(F$26/12,$B312,F$23,F$235,-F$27,0)-F$27,0)))</f>
        <v/>
      </c>
      <c r="G312" s="279">
        <f>IF(G$1=0,"",IF($B312&lt;G$23,G311+PPMT(G$26/12,$B312,G$23,G$235,-G$27,0),IF($B312=G$23,G311+PPMT(G$26/12,$B312,G$23,G$235,-G$27,0)-G$27,0)))</f>
        <v/>
      </c>
      <c r="H312" s="279">
        <f>IF(H$1=0,"",IF($B312&lt;H$23,H311+PPMT(H$26/12,$B312,H$23,H$235,-H$27,0),IF($B312=H$23,H311+PPMT(H$26/12,$B312,H$23,H$235,-H$27,0)-H$27,0)))</f>
        <v/>
      </c>
      <c r="I312" s="279">
        <f>IF(I$1=0,"",IF($B312&lt;I$23,I311+PPMT(I$26/12,$B312,I$23,I$235,-I$27,0),IF($B312=I$23,I311+PPMT(I$26/12,$B312,I$23,I$235,-I$27,0)-I$27,0)))</f>
        <v/>
      </c>
      <c r="J312" s="279">
        <f>IF(J$1=0,"",IF($B312&lt;J$23,J311+PPMT(J$26/12,$B312,J$23,J$235,-J$27,0),IF($B312=J$23,J311+PPMT(J$26/12,$B312,J$23,J$235,-J$27,0)-J$27,0)))</f>
        <v/>
      </c>
      <c r="K312" s="279">
        <f>IF(K$1=0,"",IF($B312&lt;K$23,K311+PPMT(K$26/12,$B312,K$23,K$235,-K$27,0),IF($B312=K$23,K311+PPMT(K$26/12,$B312,K$23,K$235,-K$27,0)-K$27,0)))</f>
        <v/>
      </c>
      <c r="L312" s="279">
        <f>IF(L$1=0,"",IF($B312&lt;L$23,L311+PPMT(L$26/12,$B312,L$23,L$235,-L$27,0),IF($B312=L$23,L311+PPMT(L$26/12,$B312,L$23,L$235,-L$27,0)-L$27,0)))</f>
        <v/>
      </c>
      <c r="M312" s="279">
        <f>IF(M$1=0,"",IF($B312&lt;M$23,M311+PPMT(M$26/12,$B312,M$23,M$235,-M$27,0),IF($B312=M$23,M311+PPMT(M$26/12,$B312,M$23,M$235,-M$27,0)-M$27,0)))</f>
        <v/>
      </c>
      <c r="N312" s="280" t="n"/>
      <c r="O312" s="281" t="n"/>
    </row>
    <row r="313" hidden="1" outlineLevel="1">
      <c r="B313" s="2">
        <f>B312+1</f>
        <v/>
      </c>
      <c r="D313" s="279">
        <f>IF(B313&lt;$D$24,(+'CALCULETTE (2)'!G710/'CALCULETTE (2)'!$B$612),0)</f>
        <v/>
      </c>
      <c r="E313" s="279">
        <f>IF(E$1=0,"",IF($B313&lt;E$23,E312+PPMT(E$26/12,$B313,E$23,E$235,-E$27,0),IF($B313=E$23,E312+PPMT(E$26/12,$B313,E$23,E$235,-E$27,0)-E$27,0)))</f>
        <v/>
      </c>
      <c r="F313" s="279">
        <f>IF(F$1=0,"",IF($B313&lt;F$23,F312+PPMT(F$26/12,$B313,F$23,F$235,-F$27,0),IF($B313=F$23,F312+PPMT(F$26/12,$B313,F$23,F$235,-F$27,0)-F$27,0)))</f>
        <v/>
      </c>
      <c r="G313" s="279">
        <f>IF(G$1=0,"",IF($B313&lt;G$23,G312+PPMT(G$26/12,$B313,G$23,G$235,-G$27,0),IF($B313=G$23,G312+PPMT(G$26/12,$B313,G$23,G$235,-G$27,0)-G$27,0)))</f>
        <v/>
      </c>
      <c r="H313" s="279">
        <f>IF(H$1=0,"",IF($B313&lt;H$23,H312+PPMT(H$26/12,$B313,H$23,H$235,-H$27,0),IF($B313=H$23,H312+PPMT(H$26/12,$B313,H$23,H$235,-H$27,0)-H$27,0)))</f>
        <v/>
      </c>
      <c r="I313" s="279">
        <f>IF(I$1=0,"",IF($B313&lt;I$23,I312+PPMT(I$26/12,$B313,I$23,I$235,-I$27,0),IF($B313=I$23,I312+PPMT(I$26/12,$B313,I$23,I$235,-I$27,0)-I$27,0)))</f>
        <v/>
      </c>
      <c r="J313" s="279">
        <f>IF(J$1=0,"",IF($B313&lt;J$23,J312+PPMT(J$26/12,$B313,J$23,J$235,-J$27,0),IF($B313=J$23,J312+PPMT(J$26/12,$B313,J$23,J$235,-J$27,0)-J$27,0)))</f>
        <v/>
      </c>
      <c r="K313" s="279">
        <f>IF(K$1=0,"",IF($B313&lt;K$23,K312+PPMT(K$26/12,$B313,K$23,K$235,-K$27,0),IF($B313=K$23,K312+PPMT(K$26/12,$B313,K$23,K$235,-K$27,0)-K$27,0)))</f>
        <v/>
      </c>
      <c r="L313" s="279">
        <f>IF(L$1=0,"",IF($B313&lt;L$23,L312+PPMT(L$26/12,$B313,L$23,L$235,-L$27,0),IF($B313=L$23,L312+PPMT(L$26/12,$B313,L$23,L$235,-L$27,0)-L$27,0)))</f>
        <v/>
      </c>
      <c r="M313" s="279">
        <f>IF(M$1=0,"",IF($B313&lt;M$23,M312+PPMT(M$26/12,$B313,M$23,M$235,-M$27,0),IF($B313=M$23,M312+PPMT(M$26/12,$B313,M$23,M$235,-M$27,0)-M$27,0)))</f>
        <v/>
      </c>
      <c r="N313" s="280" t="n"/>
      <c r="O313" s="281" t="n"/>
    </row>
    <row r="314" hidden="1" outlineLevel="1">
      <c r="B314" s="2">
        <f>B313+1</f>
        <v/>
      </c>
      <c r="D314" s="279">
        <f>IF(B314&lt;$D$24,(+'CALCULETTE (2)'!G711/'CALCULETTE (2)'!$B$612),0)</f>
        <v/>
      </c>
      <c r="E314" s="279">
        <f>IF(E$1=0,"",IF($B314&lt;E$23,E313+PPMT(E$26/12,$B314,E$23,E$235,-E$27,0),IF($B314=E$23,E313+PPMT(E$26/12,$B314,E$23,E$235,-E$27,0)-E$27,0)))</f>
        <v/>
      </c>
      <c r="F314" s="279">
        <f>IF(F$1=0,"",IF($B314&lt;F$23,F313+PPMT(F$26/12,$B314,F$23,F$235,-F$27,0),IF($B314=F$23,F313+PPMT(F$26/12,$B314,F$23,F$235,-F$27,0)-F$27,0)))</f>
        <v/>
      </c>
      <c r="G314" s="279">
        <f>IF(G$1=0,"",IF($B314&lt;G$23,G313+PPMT(G$26/12,$B314,G$23,G$235,-G$27,0),IF($B314=G$23,G313+PPMT(G$26/12,$B314,G$23,G$235,-G$27,0)-G$27,0)))</f>
        <v/>
      </c>
      <c r="H314" s="279">
        <f>IF(H$1=0,"",IF($B314&lt;H$23,H313+PPMT(H$26/12,$B314,H$23,H$235,-H$27,0),IF($B314=H$23,H313+PPMT(H$26/12,$B314,H$23,H$235,-H$27,0)-H$27,0)))</f>
        <v/>
      </c>
      <c r="I314" s="279">
        <f>IF(I$1=0,"",IF($B314&lt;I$23,I313+PPMT(I$26/12,$B314,I$23,I$235,-I$27,0),IF($B314=I$23,I313+PPMT(I$26/12,$B314,I$23,I$235,-I$27,0)-I$27,0)))</f>
        <v/>
      </c>
      <c r="J314" s="279">
        <f>IF(J$1=0,"",IF($B314&lt;J$23,J313+PPMT(J$26/12,$B314,J$23,J$235,-J$27,0),IF($B314=J$23,J313+PPMT(J$26/12,$B314,J$23,J$235,-J$27,0)-J$27,0)))</f>
        <v/>
      </c>
      <c r="K314" s="279">
        <f>IF(K$1=0,"",IF($B314&lt;K$23,K313+PPMT(K$26/12,$B314,K$23,K$235,-K$27,0),IF($B314=K$23,K313+PPMT(K$26/12,$B314,K$23,K$235,-K$27,0)-K$27,0)))</f>
        <v/>
      </c>
      <c r="L314" s="279">
        <f>IF(L$1=0,"",IF($B314&lt;L$23,L313+PPMT(L$26/12,$B314,L$23,L$235,-L$27,0),IF($B314=L$23,L313+PPMT(L$26/12,$B314,L$23,L$235,-L$27,0)-L$27,0)))</f>
        <v/>
      </c>
      <c r="M314" s="279">
        <f>IF(M$1=0,"",IF($B314&lt;M$23,M313+PPMT(M$26/12,$B314,M$23,M$235,-M$27,0),IF($B314=M$23,M313+PPMT(M$26/12,$B314,M$23,M$235,-M$27,0)-M$27,0)))</f>
        <v/>
      </c>
      <c r="N314" s="280" t="n"/>
      <c r="O314" s="281" t="n"/>
    </row>
    <row r="315" hidden="1" outlineLevel="1">
      <c r="B315" s="2">
        <f>B314+1</f>
        <v/>
      </c>
      <c r="D315" s="279">
        <f>IF(B315&lt;$D$24,(+'CALCULETTE (2)'!G712/'CALCULETTE (2)'!$B$612),0)</f>
        <v/>
      </c>
      <c r="E315" s="279">
        <f>IF(E$1=0,"",IF($B315&lt;E$23,E314+PPMT(E$26/12,$B315,E$23,E$235,-E$27,0),IF($B315=E$23,E314+PPMT(E$26/12,$B315,E$23,E$235,-E$27,0)-E$27,0)))</f>
        <v/>
      </c>
      <c r="F315" s="279">
        <f>IF(F$1=0,"",IF($B315&lt;F$23,F314+PPMT(F$26/12,$B315,F$23,F$235,-F$27,0),IF($B315=F$23,F314+PPMT(F$26/12,$B315,F$23,F$235,-F$27,0)-F$27,0)))</f>
        <v/>
      </c>
      <c r="G315" s="279">
        <f>IF(G$1=0,"",IF($B315&lt;G$23,G314+PPMT(G$26/12,$B315,G$23,G$235,-G$27,0),IF($B315=G$23,G314+PPMT(G$26/12,$B315,G$23,G$235,-G$27,0)-G$27,0)))</f>
        <v/>
      </c>
      <c r="H315" s="279">
        <f>IF(H$1=0,"",IF($B315&lt;H$23,H314+PPMT(H$26/12,$B315,H$23,H$235,-H$27,0),IF($B315=H$23,H314+PPMT(H$26/12,$B315,H$23,H$235,-H$27,0)-H$27,0)))</f>
        <v/>
      </c>
      <c r="I315" s="279">
        <f>IF(I$1=0,"",IF($B315&lt;I$23,I314+PPMT(I$26/12,$B315,I$23,I$235,-I$27,0),IF($B315=I$23,I314+PPMT(I$26/12,$B315,I$23,I$235,-I$27,0)-I$27,0)))</f>
        <v/>
      </c>
      <c r="J315" s="279">
        <f>IF(J$1=0,"",IF($B315&lt;J$23,J314+PPMT(J$26/12,$B315,J$23,J$235,-J$27,0),IF($B315=J$23,J314+PPMT(J$26/12,$B315,J$23,J$235,-J$27,0)-J$27,0)))</f>
        <v/>
      </c>
      <c r="K315" s="279">
        <f>IF(K$1=0,"",IF($B315&lt;K$23,K314+PPMT(K$26/12,$B315,K$23,K$235,-K$27,0),IF($B315=K$23,K314+PPMT(K$26/12,$B315,K$23,K$235,-K$27,0)-K$27,0)))</f>
        <v/>
      </c>
      <c r="L315" s="279">
        <f>IF(L$1=0,"",IF($B315&lt;L$23,L314+PPMT(L$26/12,$B315,L$23,L$235,-L$27,0),IF($B315=L$23,L314+PPMT(L$26/12,$B315,L$23,L$235,-L$27,0)-L$27,0)))</f>
        <v/>
      </c>
      <c r="M315" s="279">
        <f>IF(M$1=0,"",IF($B315&lt;M$23,M314+PPMT(M$26/12,$B315,M$23,M$235,-M$27,0),IF($B315=M$23,M314+PPMT(M$26/12,$B315,M$23,M$235,-M$27,0)-M$27,0)))</f>
        <v/>
      </c>
      <c r="N315" s="280" t="n"/>
      <c r="O315" s="281" t="n"/>
    </row>
    <row r="316" hidden="1" outlineLevel="1">
      <c r="B316" s="2">
        <f>B315+1</f>
        <v/>
      </c>
      <c r="D316" s="279">
        <f>IF(B316&lt;$D$24,(+'CALCULETTE (2)'!G713/'CALCULETTE (2)'!$B$612),0)</f>
        <v/>
      </c>
      <c r="E316" s="279">
        <f>IF(E$1=0,"",IF($B316&lt;E$23,E315+PPMT(E$26/12,$B316,E$23,E$235,-E$27,0),IF($B316=E$23,E315+PPMT(E$26/12,$B316,E$23,E$235,-E$27,0)-E$27,0)))</f>
        <v/>
      </c>
      <c r="F316" s="279">
        <f>IF(F$1=0,"",IF($B316&lt;F$23,F315+PPMT(F$26/12,$B316,F$23,F$235,-F$27,0),IF($B316=F$23,F315+PPMT(F$26/12,$B316,F$23,F$235,-F$27,0)-F$27,0)))</f>
        <v/>
      </c>
      <c r="G316" s="279">
        <f>IF(G$1=0,"",IF($B316&lt;G$23,G315+PPMT(G$26/12,$B316,G$23,G$235,-G$27,0),IF($B316=G$23,G315+PPMT(G$26/12,$B316,G$23,G$235,-G$27,0)-G$27,0)))</f>
        <v/>
      </c>
      <c r="H316" s="279">
        <f>IF(H$1=0,"",IF($B316&lt;H$23,H315+PPMT(H$26/12,$B316,H$23,H$235,-H$27,0),IF($B316=H$23,H315+PPMT(H$26/12,$B316,H$23,H$235,-H$27,0)-H$27,0)))</f>
        <v/>
      </c>
      <c r="I316" s="279">
        <f>IF(I$1=0,"",IF($B316&lt;I$23,I315+PPMT(I$26/12,$B316,I$23,I$235,-I$27,0),IF($B316=I$23,I315+PPMT(I$26/12,$B316,I$23,I$235,-I$27,0)-I$27,0)))</f>
        <v/>
      </c>
      <c r="J316" s="279">
        <f>IF(J$1=0,"",IF($B316&lt;J$23,J315+PPMT(J$26/12,$B316,J$23,J$235,-J$27,0),IF($B316=J$23,J315+PPMT(J$26/12,$B316,J$23,J$235,-J$27,0)-J$27,0)))</f>
        <v/>
      </c>
      <c r="K316" s="279">
        <f>IF(K$1=0,"",IF($B316&lt;K$23,K315+PPMT(K$26/12,$B316,K$23,K$235,-K$27,0),IF($B316=K$23,K315+PPMT(K$26/12,$B316,K$23,K$235,-K$27,0)-K$27,0)))</f>
        <v/>
      </c>
      <c r="L316" s="279">
        <f>IF(L$1=0,"",IF($B316&lt;L$23,L315+PPMT(L$26/12,$B316,L$23,L$235,-L$27,0),IF($B316=L$23,L315+PPMT(L$26/12,$B316,L$23,L$235,-L$27,0)-L$27,0)))</f>
        <v/>
      </c>
      <c r="M316" s="279">
        <f>IF(M$1=0,"",IF($B316&lt;M$23,M315+PPMT(M$26/12,$B316,M$23,M$235,-M$27,0),IF($B316=M$23,M315+PPMT(M$26/12,$B316,M$23,M$235,-M$27,0)-M$27,0)))</f>
        <v/>
      </c>
      <c r="N316" s="280" t="n"/>
      <c r="O316" s="281" t="n"/>
    </row>
    <row r="317" hidden="1" outlineLevel="1">
      <c r="B317" s="2">
        <f>B316+1</f>
        <v/>
      </c>
      <c r="D317" s="279">
        <f>IF(B317&lt;$D$24,(+'CALCULETTE (2)'!G714/'CALCULETTE (2)'!$B$612),0)</f>
        <v/>
      </c>
      <c r="E317" s="279">
        <f>IF(E$1=0,"",IF($B317&lt;E$23,E316+PPMT(E$26/12,$B317,E$23,E$235,-E$27,0),IF($B317=E$23,E316+PPMT(E$26/12,$B317,E$23,E$235,-E$27,0)-E$27,0)))</f>
        <v/>
      </c>
      <c r="F317" s="279">
        <f>IF(F$1=0,"",IF($B317&lt;F$23,F316+PPMT(F$26/12,$B317,F$23,F$235,-F$27,0),IF($B317=F$23,F316+PPMT(F$26/12,$B317,F$23,F$235,-F$27,0)-F$27,0)))</f>
        <v/>
      </c>
      <c r="G317" s="279">
        <f>IF(G$1=0,"",IF($B317&lt;G$23,G316+PPMT(G$26/12,$B317,G$23,G$235,-G$27,0),IF($B317=G$23,G316+PPMT(G$26/12,$B317,G$23,G$235,-G$27,0)-G$27,0)))</f>
        <v/>
      </c>
      <c r="H317" s="279">
        <f>IF(H$1=0,"",IF($B317&lt;H$23,H316+PPMT(H$26/12,$B317,H$23,H$235,-H$27,0),IF($B317=H$23,H316+PPMT(H$26/12,$B317,H$23,H$235,-H$27,0)-H$27,0)))</f>
        <v/>
      </c>
      <c r="I317" s="279">
        <f>IF(I$1=0,"",IF($B317&lt;I$23,I316+PPMT(I$26/12,$B317,I$23,I$235,-I$27,0),IF($B317=I$23,I316+PPMT(I$26/12,$B317,I$23,I$235,-I$27,0)-I$27,0)))</f>
        <v/>
      </c>
      <c r="J317" s="279">
        <f>IF(J$1=0,"",IF($B317&lt;J$23,J316+PPMT(J$26/12,$B317,J$23,J$235,-J$27,0),IF($B317=J$23,J316+PPMT(J$26/12,$B317,J$23,J$235,-J$27,0)-J$27,0)))</f>
        <v/>
      </c>
      <c r="K317" s="279">
        <f>IF(K$1=0,"",IF($B317&lt;K$23,K316+PPMT(K$26/12,$B317,K$23,K$235,-K$27,0),IF($B317=K$23,K316+PPMT(K$26/12,$B317,K$23,K$235,-K$27,0)-K$27,0)))</f>
        <v/>
      </c>
      <c r="L317" s="279">
        <f>IF(L$1=0,"",IF($B317&lt;L$23,L316+PPMT(L$26/12,$B317,L$23,L$235,-L$27,0),IF($B317=L$23,L316+PPMT(L$26/12,$B317,L$23,L$235,-L$27,0)-L$27,0)))</f>
        <v/>
      </c>
      <c r="M317" s="279">
        <f>IF(M$1=0,"",IF($B317&lt;M$23,M316+PPMT(M$26/12,$B317,M$23,M$235,-M$27,0),IF($B317=M$23,M316+PPMT(M$26/12,$B317,M$23,M$235,-M$27,0)-M$27,0)))</f>
        <v/>
      </c>
      <c r="N317" s="280" t="n"/>
      <c r="O317" s="281" t="n"/>
    </row>
    <row r="318" hidden="1" outlineLevel="1">
      <c r="B318" s="2">
        <f>B317+1</f>
        <v/>
      </c>
      <c r="D318" s="279">
        <f>IF(B318&lt;$D$24,(+'CALCULETTE (2)'!G715/'CALCULETTE (2)'!$B$612),0)</f>
        <v/>
      </c>
      <c r="E318" s="279">
        <f>IF(E$1=0,"",IF($B318&lt;E$23,E317+PPMT(E$26/12,$B318,E$23,E$235,-E$27,0),IF($B318=E$23,E317+PPMT(E$26/12,$B318,E$23,E$235,-E$27,0)-E$27,0)))</f>
        <v/>
      </c>
      <c r="F318" s="279">
        <f>IF(F$1=0,"",IF($B318&lt;F$23,F317+PPMT(F$26/12,$B318,F$23,F$235,-F$27,0),IF($B318=F$23,F317+PPMT(F$26/12,$B318,F$23,F$235,-F$27,0)-F$27,0)))</f>
        <v/>
      </c>
      <c r="G318" s="279">
        <f>IF(G$1=0,"",IF($B318&lt;G$23,G317+PPMT(G$26/12,$B318,G$23,G$235,-G$27,0),IF($B318=G$23,G317+PPMT(G$26/12,$B318,G$23,G$235,-G$27,0)-G$27,0)))</f>
        <v/>
      </c>
      <c r="H318" s="279">
        <f>IF(H$1=0,"",IF($B318&lt;H$23,H317+PPMT(H$26/12,$B318,H$23,H$235,-H$27,0),IF($B318=H$23,H317+PPMT(H$26/12,$B318,H$23,H$235,-H$27,0)-H$27,0)))</f>
        <v/>
      </c>
      <c r="I318" s="279">
        <f>IF(I$1=0,"",IF($B318&lt;I$23,I317+PPMT(I$26/12,$B318,I$23,I$235,-I$27,0),IF($B318=I$23,I317+PPMT(I$26/12,$B318,I$23,I$235,-I$27,0)-I$27,0)))</f>
        <v/>
      </c>
      <c r="J318" s="279">
        <f>IF(J$1=0,"",IF($B318&lt;J$23,J317+PPMT(J$26/12,$B318,J$23,J$235,-J$27,0),IF($B318=J$23,J317+PPMT(J$26/12,$B318,J$23,J$235,-J$27,0)-J$27,0)))</f>
        <v/>
      </c>
      <c r="K318" s="279">
        <f>IF(K$1=0,"",IF($B318&lt;K$23,K317+PPMT(K$26/12,$B318,K$23,K$235,-K$27,0),IF($B318=K$23,K317+PPMT(K$26/12,$B318,K$23,K$235,-K$27,0)-K$27,0)))</f>
        <v/>
      </c>
      <c r="L318" s="279">
        <f>IF(L$1=0,"",IF($B318&lt;L$23,L317+PPMT(L$26/12,$B318,L$23,L$235,-L$27,0),IF($B318=L$23,L317+PPMT(L$26/12,$B318,L$23,L$235,-L$27,0)-L$27,0)))</f>
        <v/>
      </c>
      <c r="M318" s="279">
        <f>IF(M$1=0,"",IF($B318&lt;M$23,M317+PPMT(M$26/12,$B318,M$23,M$235,-M$27,0),IF($B318=M$23,M317+PPMT(M$26/12,$B318,M$23,M$235,-M$27,0)-M$27,0)))</f>
        <v/>
      </c>
      <c r="N318" s="280" t="n"/>
      <c r="O318" s="281" t="n"/>
    </row>
    <row r="319" hidden="1" outlineLevel="1">
      <c r="B319" s="2">
        <f>B318+1</f>
        <v/>
      </c>
      <c r="D319" s="279">
        <f>IF(B319&lt;$D$24,(+'CALCULETTE (2)'!G716/'CALCULETTE (2)'!$B$612),0)</f>
        <v/>
      </c>
      <c r="E319" s="279">
        <f>IF(E$1=0,"",IF($B319&lt;E$23,E318+PPMT(E$26/12,$B319,E$23,E$235,-E$27,0),IF($B319=E$23,E318+PPMT(E$26/12,$B319,E$23,E$235,-E$27,0)-E$27,0)))</f>
        <v/>
      </c>
      <c r="F319" s="279">
        <f>IF(F$1=0,"",IF($B319&lt;F$23,F318+PPMT(F$26/12,$B319,F$23,F$235,-F$27,0),IF($B319=F$23,F318+PPMT(F$26/12,$B319,F$23,F$235,-F$27,0)-F$27,0)))</f>
        <v/>
      </c>
      <c r="G319" s="279">
        <f>IF(G$1=0,"",IF($B319&lt;G$23,G318+PPMT(G$26/12,$B319,G$23,G$235,-G$27,0),IF($B319=G$23,G318+PPMT(G$26/12,$B319,G$23,G$235,-G$27,0)-G$27,0)))</f>
        <v/>
      </c>
      <c r="H319" s="279">
        <f>IF(H$1=0,"",IF($B319&lt;H$23,H318+PPMT(H$26/12,$B319,H$23,H$235,-H$27,0),IF($B319=H$23,H318+PPMT(H$26/12,$B319,H$23,H$235,-H$27,0)-H$27,0)))</f>
        <v/>
      </c>
      <c r="I319" s="279">
        <f>IF(I$1=0,"",IF($B319&lt;I$23,I318+PPMT(I$26/12,$B319,I$23,I$235,-I$27,0),IF($B319=I$23,I318+PPMT(I$26/12,$B319,I$23,I$235,-I$27,0)-I$27,0)))</f>
        <v/>
      </c>
      <c r="J319" s="279">
        <f>IF(J$1=0,"",IF($B319&lt;J$23,J318+PPMT(J$26/12,$B319,J$23,J$235,-J$27,0),IF($B319=J$23,J318+PPMT(J$26/12,$B319,J$23,J$235,-J$27,0)-J$27,0)))</f>
        <v/>
      </c>
      <c r="K319" s="279">
        <f>IF(K$1=0,"",IF($B319&lt;K$23,K318+PPMT(K$26/12,$B319,K$23,K$235,-K$27,0),IF($B319=K$23,K318+PPMT(K$26/12,$B319,K$23,K$235,-K$27,0)-K$27,0)))</f>
        <v/>
      </c>
      <c r="L319" s="279">
        <f>IF(L$1=0,"",IF($B319&lt;L$23,L318+PPMT(L$26/12,$B319,L$23,L$235,-L$27,0),IF($B319=L$23,L318+PPMT(L$26/12,$B319,L$23,L$235,-L$27,0)-L$27,0)))</f>
        <v/>
      </c>
      <c r="M319" s="279">
        <f>IF(M$1=0,"",IF($B319&lt;M$23,M318+PPMT(M$26/12,$B319,M$23,M$235,-M$27,0),IF($B319=M$23,M318+PPMT(M$26/12,$B319,M$23,M$235,-M$27,0)-M$27,0)))</f>
        <v/>
      </c>
      <c r="N319" s="280" t="n"/>
      <c r="O319" s="281" t="n"/>
    </row>
    <row r="320" hidden="1" outlineLevel="1">
      <c r="B320" s="2">
        <f>B319+1</f>
        <v/>
      </c>
      <c r="D320" s="279">
        <f>IF(B320&lt;$D$24,(+'CALCULETTE (2)'!G717/'CALCULETTE (2)'!$B$612),0)</f>
        <v/>
      </c>
      <c r="E320" s="279">
        <f>IF(E$1=0,"",IF($B320&lt;E$23,E319+PPMT(E$26/12,$B320,E$23,E$235,-E$27,0),IF($B320=E$23,E319+PPMT(E$26/12,$B320,E$23,E$235,-E$27,0)-E$27,0)))</f>
        <v/>
      </c>
      <c r="F320" s="279">
        <f>IF(F$1=0,"",IF($B320&lt;F$23,F319+PPMT(F$26/12,$B320,F$23,F$235,-F$27,0),IF($B320=F$23,F319+PPMT(F$26/12,$B320,F$23,F$235,-F$27,0)-F$27,0)))</f>
        <v/>
      </c>
      <c r="G320" s="279">
        <f>IF(G$1=0,"",IF($B320&lt;G$23,G319+PPMT(G$26/12,$B320,G$23,G$235,-G$27,0),IF($B320=G$23,G319+PPMT(G$26/12,$B320,G$23,G$235,-G$27,0)-G$27,0)))</f>
        <v/>
      </c>
      <c r="H320" s="279">
        <f>IF(H$1=0,"",IF($B320&lt;H$23,H319+PPMT(H$26/12,$B320,H$23,H$235,-H$27,0),IF($B320=H$23,H319+PPMT(H$26/12,$B320,H$23,H$235,-H$27,0)-H$27,0)))</f>
        <v/>
      </c>
      <c r="I320" s="279">
        <f>IF(I$1=0,"",IF($B320&lt;I$23,I319+PPMT(I$26/12,$B320,I$23,I$235,-I$27,0),IF($B320=I$23,I319+PPMT(I$26/12,$B320,I$23,I$235,-I$27,0)-I$27,0)))</f>
        <v/>
      </c>
      <c r="J320" s="279">
        <f>IF(J$1=0,"",IF($B320&lt;J$23,J319+PPMT(J$26/12,$B320,J$23,J$235,-J$27,0),IF($B320=J$23,J319+PPMT(J$26/12,$B320,J$23,J$235,-J$27,0)-J$27,0)))</f>
        <v/>
      </c>
      <c r="K320" s="279">
        <f>IF(K$1=0,"",IF($B320&lt;K$23,K319+PPMT(K$26/12,$B320,K$23,K$235,-K$27,0),IF($B320=K$23,K319+PPMT(K$26/12,$B320,K$23,K$235,-K$27,0)-K$27,0)))</f>
        <v/>
      </c>
      <c r="L320" s="279">
        <f>IF(L$1=0,"",IF($B320&lt;L$23,L319+PPMT(L$26/12,$B320,L$23,L$235,-L$27,0),IF($B320=L$23,L319+PPMT(L$26/12,$B320,L$23,L$235,-L$27,0)-L$27,0)))</f>
        <v/>
      </c>
      <c r="M320" s="279">
        <f>IF(M$1=0,"",IF($B320&lt;M$23,M319+PPMT(M$26/12,$B320,M$23,M$235,-M$27,0),IF($B320=M$23,M319+PPMT(M$26/12,$B320,M$23,M$235,-M$27,0)-M$27,0)))</f>
        <v/>
      </c>
      <c r="N320" s="280" t="n"/>
      <c r="O320" s="281" t="n"/>
    </row>
    <row r="321" hidden="1" outlineLevel="1">
      <c r="B321" s="2">
        <f>B320+1</f>
        <v/>
      </c>
      <c r="D321" s="279">
        <f>IF(B321&lt;$D$24,(+'CALCULETTE (2)'!G718/'CALCULETTE (2)'!$B$612),0)</f>
        <v/>
      </c>
      <c r="E321" s="279">
        <f>IF(E$1=0,"",IF($B321&lt;E$23,E320+PPMT(E$26/12,$B321,E$23,E$235,-E$27,0),IF($B321=E$23,E320+PPMT(E$26/12,$B321,E$23,E$235,-E$27,0)-E$27,0)))</f>
        <v/>
      </c>
      <c r="F321" s="279">
        <f>IF(F$1=0,"",IF($B321&lt;F$23,F320+PPMT(F$26/12,$B321,F$23,F$235,-F$27,0),IF($B321=F$23,F320+PPMT(F$26/12,$B321,F$23,F$235,-F$27,0)-F$27,0)))</f>
        <v/>
      </c>
      <c r="G321" s="279">
        <f>IF(G$1=0,"",IF($B321&lt;G$23,G320+PPMT(G$26/12,$B321,G$23,G$235,-G$27,0),IF($B321=G$23,G320+PPMT(G$26/12,$B321,G$23,G$235,-G$27,0)-G$27,0)))</f>
        <v/>
      </c>
      <c r="H321" s="279">
        <f>IF(H$1=0,"",IF($B321&lt;H$23,H320+PPMT(H$26/12,$B321,H$23,H$235,-H$27,0),IF($B321=H$23,H320+PPMT(H$26/12,$B321,H$23,H$235,-H$27,0)-H$27,0)))</f>
        <v/>
      </c>
      <c r="I321" s="279">
        <f>IF(I$1=0,"",IF($B321&lt;I$23,I320+PPMT(I$26/12,$B321,I$23,I$235,-I$27,0),IF($B321=I$23,I320+PPMT(I$26/12,$B321,I$23,I$235,-I$27,0)-I$27,0)))</f>
        <v/>
      </c>
      <c r="J321" s="279">
        <f>IF(J$1=0,"",IF($B321&lt;J$23,J320+PPMT(J$26/12,$B321,J$23,J$235,-J$27,0),IF($B321=J$23,J320+PPMT(J$26/12,$B321,J$23,J$235,-J$27,0)-J$27,0)))</f>
        <v/>
      </c>
      <c r="K321" s="279">
        <f>IF(K$1=0,"",IF($B321&lt;K$23,K320+PPMT(K$26/12,$B321,K$23,K$235,-K$27,0),IF($B321=K$23,K320+PPMT(K$26/12,$B321,K$23,K$235,-K$27,0)-K$27,0)))</f>
        <v/>
      </c>
      <c r="L321" s="279">
        <f>IF(L$1=0,"",IF($B321&lt;L$23,L320+PPMT(L$26/12,$B321,L$23,L$235,-L$27,0),IF($B321=L$23,L320+PPMT(L$26/12,$B321,L$23,L$235,-L$27,0)-L$27,0)))</f>
        <v/>
      </c>
      <c r="M321" s="279">
        <f>IF(M$1=0,"",IF($B321&lt;M$23,M320+PPMT(M$26/12,$B321,M$23,M$235,-M$27,0),IF($B321=M$23,M320+PPMT(M$26/12,$B321,M$23,M$235,-M$27,0)-M$27,0)))</f>
        <v/>
      </c>
      <c r="N321" s="280" t="n"/>
      <c r="O321" s="281" t="n"/>
    </row>
    <row r="322" hidden="1" outlineLevel="1">
      <c r="B322" s="2">
        <f>B321+1</f>
        <v/>
      </c>
      <c r="D322" s="279">
        <f>IF(B322&lt;$D$24,(+'CALCULETTE (2)'!G719/'CALCULETTE (2)'!$B$612),0)</f>
        <v/>
      </c>
      <c r="E322" s="279">
        <f>IF(E$1=0,"",IF($B322&lt;E$23,E321+PPMT(E$26/12,$B322,E$23,E$235,-E$27,0),IF($B322=E$23,E321+PPMT(E$26/12,$B322,E$23,E$235,-E$27,0)-E$27,0)))</f>
        <v/>
      </c>
      <c r="F322" s="279">
        <f>IF(F$1=0,"",IF($B322&lt;F$23,F321+PPMT(F$26/12,$B322,F$23,F$235,-F$27,0),IF($B322=F$23,F321+PPMT(F$26/12,$B322,F$23,F$235,-F$27,0)-F$27,0)))</f>
        <v/>
      </c>
      <c r="G322" s="279">
        <f>IF(G$1=0,"",IF($B322&lt;G$23,G321+PPMT(G$26/12,$B322,G$23,G$235,-G$27,0),IF($B322=G$23,G321+PPMT(G$26/12,$B322,G$23,G$235,-G$27,0)-G$27,0)))</f>
        <v/>
      </c>
      <c r="H322" s="279">
        <f>IF(H$1=0,"",IF($B322&lt;H$23,H321+PPMT(H$26/12,$B322,H$23,H$235,-H$27,0),IF($B322=H$23,H321+PPMT(H$26/12,$B322,H$23,H$235,-H$27,0)-H$27,0)))</f>
        <v/>
      </c>
      <c r="I322" s="279">
        <f>IF(I$1=0,"",IF($B322&lt;I$23,I321+PPMT(I$26/12,$B322,I$23,I$235,-I$27,0),IF($B322=I$23,I321+PPMT(I$26/12,$B322,I$23,I$235,-I$27,0)-I$27,0)))</f>
        <v/>
      </c>
      <c r="J322" s="279">
        <f>IF(J$1=0,"",IF($B322&lt;J$23,J321+PPMT(J$26/12,$B322,J$23,J$235,-J$27,0),IF($B322=J$23,J321+PPMT(J$26/12,$B322,J$23,J$235,-J$27,0)-J$27,0)))</f>
        <v/>
      </c>
      <c r="K322" s="279">
        <f>IF(K$1=0,"",IF($B322&lt;K$23,K321+PPMT(K$26/12,$B322,K$23,K$235,-K$27,0),IF($B322=K$23,K321+PPMT(K$26/12,$B322,K$23,K$235,-K$27,0)-K$27,0)))</f>
        <v/>
      </c>
      <c r="L322" s="279">
        <f>IF(L$1=0,"",IF($B322&lt;L$23,L321+PPMT(L$26/12,$B322,L$23,L$235,-L$27,0),IF($B322=L$23,L321+PPMT(L$26/12,$B322,L$23,L$235,-L$27,0)-L$27,0)))</f>
        <v/>
      </c>
      <c r="M322" s="279">
        <f>IF(M$1=0,"",IF($B322&lt;M$23,M321+PPMT(M$26/12,$B322,M$23,M$235,-M$27,0),IF($B322=M$23,M321+PPMT(M$26/12,$B322,M$23,M$235,-M$27,0)-M$27,0)))</f>
        <v/>
      </c>
      <c r="N322" s="280" t="n"/>
      <c r="O322" s="281" t="n"/>
    </row>
    <row r="323" hidden="1" outlineLevel="1">
      <c r="B323" s="2">
        <f>B322+1</f>
        <v/>
      </c>
      <c r="D323" s="279">
        <f>IF(B323&lt;$D$24,(+'CALCULETTE (2)'!G720/'CALCULETTE (2)'!$B$612),0)</f>
        <v/>
      </c>
      <c r="E323" s="279">
        <f>IF(E$1=0,"",IF($B323&lt;E$23,E322+PPMT(E$26/12,$B323,E$23,E$235,-E$27,0),IF($B323=E$23,E322+PPMT(E$26/12,$B323,E$23,E$235,-E$27,0)-E$27,0)))</f>
        <v/>
      </c>
      <c r="F323" s="279">
        <f>IF(F$1=0,"",IF($B323&lt;F$23,F322+PPMT(F$26/12,$B323,F$23,F$235,-F$27,0),IF($B323=F$23,F322+PPMT(F$26/12,$B323,F$23,F$235,-F$27,0)-F$27,0)))</f>
        <v/>
      </c>
      <c r="G323" s="279">
        <f>IF(G$1=0,"",IF($B323&lt;G$23,G322+PPMT(G$26/12,$B323,G$23,G$235,-G$27,0),IF($B323=G$23,G322+PPMT(G$26/12,$B323,G$23,G$235,-G$27,0)-G$27,0)))</f>
        <v/>
      </c>
      <c r="H323" s="279">
        <f>IF(H$1=0,"",IF($B323&lt;H$23,H322+PPMT(H$26/12,$B323,H$23,H$235,-H$27,0),IF($B323=H$23,H322+PPMT(H$26/12,$B323,H$23,H$235,-H$27,0)-H$27,0)))</f>
        <v/>
      </c>
      <c r="I323" s="279">
        <f>IF(I$1=0,"",IF($B323&lt;I$23,I322+PPMT(I$26/12,$B323,I$23,I$235,-I$27,0),IF($B323=I$23,I322+PPMT(I$26/12,$B323,I$23,I$235,-I$27,0)-I$27,0)))</f>
        <v/>
      </c>
      <c r="J323" s="279">
        <f>IF(J$1=0,"",IF($B323&lt;J$23,J322+PPMT(J$26/12,$B323,J$23,J$235,-J$27,0),IF($B323=J$23,J322+PPMT(J$26/12,$B323,J$23,J$235,-J$27,0)-J$27,0)))</f>
        <v/>
      </c>
      <c r="K323" s="279">
        <f>IF(K$1=0,"",IF($B323&lt;K$23,K322+PPMT(K$26/12,$B323,K$23,K$235,-K$27,0),IF($B323=K$23,K322+PPMT(K$26/12,$B323,K$23,K$235,-K$27,0)-K$27,0)))</f>
        <v/>
      </c>
      <c r="L323" s="279">
        <f>IF(L$1=0,"",IF($B323&lt;L$23,L322+PPMT(L$26/12,$B323,L$23,L$235,-L$27,0),IF($B323=L$23,L322+PPMT(L$26/12,$B323,L$23,L$235,-L$27,0)-L$27,0)))</f>
        <v/>
      </c>
      <c r="M323" s="279">
        <f>IF(M$1=0,"",IF($B323&lt;M$23,M322+PPMT(M$26/12,$B323,M$23,M$235,-M$27,0),IF($B323=M$23,M322+PPMT(M$26/12,$B323,M$23,M$235,-M$27,0)-M$27,0)))</f>
        <v/>
      </c>
      <c r="N323" s="280" t="n"/>
      <c r="O323" s="281" t="n"/>
    </row>
    <row r="324" hidden="1" outlineLevel="1">
      <c r="B324" s="2">
        <f>B323+1</f>
        <v/>
      </c>
      <c r="D324" s="279">
        <f>IF(B324&lt;$D$24,(+'CALCULETTE (2)'!G721/'CALCULETTE (2)'!$B$612),0)</f>
        <v/>
      </c>
      <c r="E324" s="279">
        <f>IF(E$1=0,"",IF($B324&lt;E$23,E323+PPMT(E$26/12,$B324,E$23,E$235,-E$27,0),IF($B324=E$23,E323+PPMT(E$26/12,$B324,E$23,E$235,-E$27,0)-E$27,0)))</f>
        <v/>
      </c>
      <c r="F324" s="279">
        <f>IF(F$1=0,"",IF($B324&lt;F$23,F323+PPMT(F$26/12,$B324,F$23,F$235,-F$27,0),IF($B324=F$23,F323+PPMT(F$26/12,$B324,F$23,F$235,-F$27,0)-F$27,0)))</f>
        <v/>
      </c>
      <c r="G324" s="279">
        <f>IF(G$1=0,"",IF($B324&lt;G$23,G323+PPMT(G$26/12,$B324,G$23,G$235,-G$27,0),IF($B324=G$23,G323+PPMT(G$26/12,$B324,G$23,G$235,-G$27,0)-G$27,0)))</f>
        <v/>
      </c>
      <c r="H324" s="279">
        <f>IF(H$1=0,"",IF($B324&lt;H$23,H323+PPMT(H$26/12,$B324,H$23,H$235,-H$27,0),IF($B324=H$23,H323+PPMT(H$26/12,$B324,H$23,H$235,-H$27,0)-H$27,0)))</f>
        <v/>
      </c>
      <c r="I324" s="279">
        <f>IF(I$1=0,"",IF($B324&lt;I$23,I323+PPMT(I$26/12,$B324,I$23,I$235,-I$27,0),IF($B324=I$23,I323+PPMT(I$26/12,$B324,I$23,I$235,-I$27,0)-I$27,0)))</f>
        <v/>
      </c>
      <c r="J324" s="279">
        <f>IF(J$1=0,"",IF($B324&lt;J$23,J323+PPMT(J$26/12,$B324,J$23,J$235,-J$27,0),IF($B324=J$23,J323+PPMT(J$26/12,$B324,J$23,J$235,-J$27,0)-J$27,0)))</f>
        <v/>
      </c>
      <c r="K324" s="279">
        <f>IF(K$1=0,"",IF($B324&lt;K$23,K323+PPMT(K$26/12,$B324,K$23,K$235,-K$27,0),IF($B324=K$23,K323+PPMT(K$26/12,$B324,K$23,K$235,-K$27,0)-K$27,0)))</f>
        <v/>
      </c>
      <c r="L324" s="279">
        <f>IF(L$1=0,"",IF($B324&lt;L$23,L323+PPMT(L$26/12,$B324,L$23,L$235,-L$27,0),IF($B324=L$23,L323+PPMT(L$26/12,$B324,L$23,L$235,-L$27,0)-L$27,0)))</f>
        <v/>
      </c>
      <c r="M324" s="279">
        <f>IF(M$1=0,"",IF($B324&lt;M$23,M323+PPMT(M$26/12,$B324,M$23,M$235,-M$27,0),IF($B324=M$23,M323+PPMT(M$26/12,$B324,M$23,M$235,-M$27,0)-M$27,0)))</f>
        <v/>
      </c>
      <c r="N324" s="280" t="n"/>
      <c r="O324" s="281" t="n"/>
    </row>
    <row r="325" hidden="1" outlineLevel="1">
      <c r="B325" s="2">
        <f>B324+1</f>
        <v/>
      </c>
      <c r="D325" s="279">
        <f>IF(B325&lt;$D$24,(+'CALCULETTE (2)'!G722/'CALCULETTE (2)'!$B$612),0)</f>
        <v/>
      </c>
      <c r="E325" s="279">
        <f>IF(E$1=0,"",IF($B325&lt;E$23,E324+PPMT(E$26/12,$B325,E$23,E$235,-E$27,0),IF($B325=E$23,E324+PPMT(E$26/12,$B325,E$23,E$235,-E$27,0)-E$27,0)))</f>
        <v/>
      </c>
      <c r="F325" s="279">
        <f>IF(F$1=0,"",IF($B325&lt;F$23,F324+PPMT(F$26/12,$B325,F$23,F$235,-F$27,0),IF($B325=F$23,F324+PPMT(F$26/12,$B325,F$23,F$235,-F$27,0)-F$27,0)))</f>
        <v/>
      </c>
      <c r="G325" s="279">
        <f>IF(G$1=0,"",IF($B325&lt;G$23,G324+PPMT(G$26/12,$B325,G$23,G$235,-G$27,0),IF($B325=G$23,G324+PPMT(G$26/12,$B325,G$23,G$235,-G$27,0)-G$27,0)))</f>
        <v/>
      </c>
      <c r="H325" s="279">
        <f>IF(H$1=0,"",IF($B325&lt;H$23,H324+PPMT(H$26/12,$B325,H$23,H$235,-H$27,0),IF($B325=H$23,H324+PPMT(H$26/12,$B325,H$23,H$235,-H$27,0)-H$27,0)))</f>
        <v/>
      </c>
      <c r="I325" s="279">
        <f>IF(I$1=0,"",IF($B325&lt;I$23,I324+PPMT(I$26/12,$B325,I$23,I$235,-I$27,0),IF($B325=I$23,I324+PPMT(I$26/12,$B325,I$23,I$235,-I$27,0)-I$27,0)))</f>
        <v/>
      </c>
      <c r="J325" s="279">
        <f>IF(J$1=0,"",IF($B325&lt;J$23,J324+PPMT(J$26/12,$B325,J$23,J$235,-J$27,0),IF($B325=J$23,J324+PPMT(J$26/12,$B325,J$23,J$235,-J$27,0)-J$27,0)))</f>
        <v/>
      </c>
      <c r="K325" s="279">
        <f>IF(K$1=0,"",IF($B325&lt;K$23,K324+PPMT(K$26/12,$B325,K$23,K$235,-K$27,0),IF($B325=K$23,K324+PPMT(K$26/12,$B325,K$23,K$235,-K$27,0)-K$27,0)))</f>
        <v/>
      </c>
      <c r="L325" s="279">
        <f>IF(L$1=0,"",IF($B325&lt;L$23,L324+PPMT(L$26/12,$B325,L$23,L$235,-L$27,0),IF($B325=L$23,L324+PPMT(L$26/12,$B325,L$23,L$235,-L$27,0)-L$27,0)))</f>
        <v/>
      </c>
      <c r="M325" s="279">
        <f>IF(M$1=0,"",IF($B325&lt;M$23,M324+PPMT(M$26/12,$B325,M$23,M$235,-M$27,0),IF($B325=M$23,M324+PPMT(M$26/12,$B325,M$23,M$235,-M$27,0)-M$27,0)))</f>
        <v/>
      </c>
      <c r="N325" s="280" t="n"/>
      <c r="O325" s="281" t="n"/>
    </row>
    <row r="326" hidden="1" outlineLevel="1">
      <c r="B326" s="2">
        <f>B325+1</f>
        <v/>
      </c>
      <c r="D326" s="279">
        <f>IF(B326&lt;$D$24,(+'CALCULETTE (2)'!G723/'CALCULETTE (2)'!$B$612),0)</f>
        <v/>
      </c>
      <c r="E326" s="279">
        <f>IF(E$1=0,"",IF($B326&lt;E$23,E325+PPMT(E$26/12,$B326,E$23,E$235,-E$27,0),IF($B326=E$23,E325+PPMT(E$26/12,$B326,E$23,E$235,-E$27,0)-E$27,0)))</f>
        <v/>
      </c>
      <c r="F326" s="279">
        <f>IF(F$1=0,"",IF($B326&lt;F$23,F325+PPMT(F$26/12,$B326,F$23,F$235,-F$27,0),IF($B326=F$23,F325+PPMT(F$26/12,$B326,F$23,F$235,-F$27,0)-F$27,0)))</f>
        <v/>
      </c>
      <c r="G326" s="279">
        <f>IF(G$1=0,"",IF($B326&lt;G$23,G325+PPMT(G$26/12,$B326,G$23,G$235,-G$27,0),IF($B326=G$23,G325+PPMT(G$26/12,$B326,G$23,G$235,-G$27,0)-G$27,0)))</f>
        <v/>
      </c>
      <c r="H326" s="279">
        <f>IF(H$1=0,"",IF($B326&lt;H$23,H325+PPMT(H$26/12,$B326,H$23,H$235,-H$27,0),IF($B326=H$23,H325+PPMT(H$26/12,$B326,H$23,H$235,-H$27,0)-H$27,0)))</f>
        <v/>
      </c>
      <c r="I326" s="279">
        <f>IF(I$1=0,"",IF($B326&lt;I$23,I325+PPMT(I$26/12,$B326,I$23,I$235,-I$27,0),IF($B326=I$23,I325+PPMT(I$26/12,$B326,I$23,I$235,-I$27,0)-I$27,0)))</f>
        <v/>
      </c>
      <c r="J326" s="279">
        <f>IF(J$1=0,"",IF($B326&lt;J$23,J325+PPMT(J$26/12,$B326,J$23,J$235,-J$27,0),IF($B326=J$23,J325+PPMT(J$26/12,$B326,J$23,J$235,-J$27,0)-J$27,0)))</f>
        <v/>
      </c>
      <c r="K326" s="279">
        <f>IF(K$1=0,"",IF($B326&lt;K$23,K325+PPMT(K$26/12,$B326,K$23,K$235,-K$27,0),IF($B326=K$23,K325+PPMT(K$26/12,$B326,K$23,K$235,-K$27,0)-K$27,0)))</f>
        <v/>
      </c>
      <c r="L326" s="279">
        <f>IF(L$1=0,"",IF($B326&lt;L$23,L325+PPMT(L$26/12,$B326,L$23,L$235,-L$27,0),IF($B326=L$23,L325+PPMT(L$26/12,$B326,L$23,L$235,-L$27,0)-L$27,0)))</f>
        <v/>
      </c>
      <c r="M326" s="279">
        <f>IF(M$1=0,"",IF($B326&lt;M$23,M325+PPMT(M$26/12,$B326,M$23,M$235,-M$27,0),IF($B326=M$23,M325+PPMT(M$26/12,$B326,M$23,M$235,-M$27,0)-M$27,0)))</f>
        <v/>
      </c>
      <c r="N326" s="280" t="n"/>
      <c r="O326" s="281" t="n"/>
    </row>
    <row r="327" hidden="1" outlineLevel="1">
      <c r="B327" s="2">
        <f>B326+1</f>
        <v/>
      </c>
      <c r="D327" s="279">
        <f>IF(B327&lt;$D$24,(+'CALCULETTE (2)'!G724/'CALCULETTE (2)'!$B$612),0)</f>
        <v/>
      </c>
      <c r="E327" s="279">
        <f>IF(E$1=0,"",IF($B327&lt;E$23,E326+PPMT(E$26/12,$B327,E$23,E$235,-E$27,0),IF($B327=E$23,E326+PPMT(E$26/12,$B327,E$23,E$235,-E$27,0)-E$27,0)))</f>
        <v/>
      </c>
      <c r="F327" s="279">
        <f>IF(F$1=0,"",IF($B327&lt;F$23,F326+PPMT(F$26/12,$B327,F$23,F$235,-F$27,0),IF($B327=F$23,F326+PPMT(F$26/12,$B327,F$23,F$235,-F$27,0)-F$27,0)))</f>
        <v/>
      </c>
      <c r="G327" s="279">
        <f>IF(G$1=0,"",IF($B327&lt;G$23,G326+PPMT(G$26/12,$B327,G$23,G$235,-G$27,0),IF($B327=G$23,G326+PPMT(G$26/12,$B327,G$23,G$235,-G$27,0)-G$27,0)))</f>
        <v/>
      </c>
      <c r="H327" s="279">
        <f>IF(H$1=0,"",IF($B327&lt;H$23,H326+PPMT(H$26/12,$B327,H$23,H$235,-H$27,0),IF($B327=H$23,H326+PPMT(H$26/12,$B327,H$23,H$235,-H$27,0)-H$27,0)))</f>
        <v/>
      </c>
      <c r="I327" s="279">
        <f>IF(I$1=0,"",IF($B327&lt;I$23,I326+PPMT(I$26/12,$B327,I$23,I$235,-I$27,0),IF($B327=I$23,I326+PPMT(I$26/12,$B327,I$23,I$235,-I$27,0)-I$27,0)))</f>
        <v/>
      </c>
      <c r="J327" s="279">
        <f>IF(J$1=0,"",IF($B327&lt;J$23,J326+PPMT(J$26/12,$B327,J$23,J$235,-J$27,0),IF($B327=J$23,J326+PPMT(J$26/12,$B327,J$23,J$235,-J$27,0)-J$27,0)))</f>
        <v/>
      </c>
      <c r="K327" s="279">
        <f>IF(K$1=0,"",IF($B327&lt;K$23,K326+PPMT(K$26/12,$B327,K$23,K$235,-K$27,0),IF($B327=K$23,K326+PPMT(K$26/12,$B327,K$23,K$235,-K$27,0)-K$27,0)))</f>
        <v/>
      </c>
      <c r="L327" s="279">
        <f>IF(L$1=0,"",IF($B327&lt;L$23,L326+PPMT(L$26/12,$B327,L$23,L$235,-L$27,0),IF($B327=L$23,L326+PPMT(L$26/12,$B327,L$23,L$235,-L$27,0)-L$27,0)))</f>
        <v/>
      </c>
      <c r="M327" s="279">
        <f>IF(M$1=0,"",IF($B327&lt;M$23,M326+PPMT(M$26/12,$B327,M$23,M$235,-M$27,0),IF($B327=M$23,M326+PPMT(M$26/12,$B327,M$23,M$235,-M$27,0)-M$27,0)))</f>
        <v/>
      </c>
      <c r="N327" s="280" t="n"/>
      <c r="O327" s="281" t="n"/>
    </row>
    <row r="328" hidden="1" outlineLevel="1">
      <c r="B328" s="2">
        <f>B327+1</f>
        <v/>
      </c>
      <c r="D328" s="279">
        <f>IF(B328&lt;$D$24,(+'CALCULETTE (2)'!G725/'CALCULETTE (2)'!$B$612),0)</f>
        <v/>
      </c>
      <c r="E328" s="279">
        <f>IF(E$1=0,"",IF($B328&lt;E$23,E327+PPMT(E$26/12,$B328,E$23,E$235,-E$27,0),IF($B328=E$23,E327+PPMT(E$26/12,$B328,E$23,E$235,-E$27,0)-E$27,0)))</f>
        <v/>
      </c>
      <c r="F328" s="279">
        <f>IF(F$1=0,"",IF($B328&lt;F$23,F327+PPMT(F$26/12,$B328,F$23,F$235,-F$27,0),IF($B328=F$23,F327+PPMT(F$26/12,$B328,F$23,F$235,-F$27,0)-F$27,0)))</f>
        <v/>
      </c>
      <c r="G328" s="279">
        <f>IF(G$1=0,"",IF($B328&lt;G$23,G327+PPMT(G$26/12,$B328,G$23,G$235,-G$27,0),IF($B328=G$23,G327+PPMT(G$26/12,$B328,G$23,G$235,-G$27,0)-G$27,0)))</f>
        <v/>
      </c>
      <c r="H328" s="279">
        <f>IF(H$1=0,"",IF($B328&lt;H$23,H327+PPMT(H$26/12,$B328,H$23,H$235,-H$27,0),IF($B328=H$23,H327+PPMT(H$26/12,$B328,H$23,H$235,-H$27,0)-H$27,0)))</f>
        <v/>
      </c>
      <c r="I328" s="279">
        <f>IF(I$1=0,"",IF($B328&lt;I$23,I327+PPMT(I$26/12,$B328,I$23,I$235,-I$27,0),IF($B328=I$23,I327+PPMT(I$26/12,$B328,I$23,I$235,-I$27,0)-I$27,0)))</f>
        <v/>
      </c>
      <c r="J328" s="279">
        <f>IF(J$1=0,"",IF($B328&lt;J$23,J327+PPMT(J$26/12,$B328,J$23,J$235,-J$27,0),IF($B328=J$23,J327+PPMT(J$26/12,$B328,J$23,J$235,-J$27,0)-J$27,0)))</f>
        <v/>
      </c>
      <c r="K328" s="279">
        <f>IF(K$1=0,"",IF($B328&lt;K$23,K327+PPMT(K$26/12,$B328,K$23,K$235,-K$27,0),IF($B328=K$23,K327+PPMT(K$26/12,$B328,K$23,K$235,-K$27,0)-K$27,0)))</f>
        <v/>
      </c>
      <c r="L328" s="279">
        <f>IF(L$1=0,"",IF($B328&lt;L$23,L327+PPMT(L$26/12,$B328,L$23,L$235,-L$27,0),IF($B328=L$23,L327+PPMT(L$26/12,$B328,L$23,L$235,-L$27,0)-L$27,0)))</f>
        <v/>
      </c>
      <c r="M328" s="279">
        <f>IF(M$1=0,"",IF($B328&lt;M$23,M327+PPMT(M$26/12,$B328,M$23,M$235,-M$27,0),IF($B328=M$23,M327+PPMT(M$26/12,$B328,M$23,M$235,-M$27,0)-M$27,0)))</f>
        <v/>
      </c>
      <c r="N328" s="280" t="n"/>
      <c r="O328" s="281" t="n"/>
    </row>
    <row r="329" hidden="1" outlineLevel="1">
      <c r="B329" s="2">
        <f>B328+1</f>
        <v/>
      </c>
      <c r="D329" s="279">
        <f>IF(B329&lt;$D$24,(+'CALCULETTE (2)'!G726/'CALCULETTE (2)'!$B$612),0)</f>
        <v/>
      </c>
      <c r="E329" s="279">
        <f>IF(E$1=0,"",IF($B329&lt;E$23,E328+PPMT(E$26/12,$B329,E$23,E$235,-E$27,0),IF($B329=E$23,E328+PPMT(E$26/12,$B329,E$23,E$235,-E$27,0)-E$27,0)))</f>
        <v/>
      </c>
      <c r="F329" s="279">
        <f>IF(F$1=0,"",IF($B329&lt;F$23,F328+PPMT(F$26/12,$B329,F$23,F$235,-F$27,0),IF($B329=F$23,F328+PPMT(F$26/12,$B329,F$23,F$235,-F$27,0)-F$27,0)))</f>
        <v/>
      </c>
      <c r="G329" s="279">
        <f>IF(G$1=0,"",IF($B329&lt;G$23,G328+PPMT(G$26/12,$B329,G$23,G$235,-G$27,0),IF($B329=G$23,G328+PPMT(G$26/12,$B329,G$23,G$235,-G$27,0)-G$27,0)))</f>
        <v/>
      </c>
      <c r="H329" s="279">
        <f>IF(H$1=0,"",IF($B329&lt;H$23,H328+PPMT(H$26/12,$B329,H$23,H$235,-H$27,0),IF($B329=H$23,H328+PPMT(H$26/12,$B329,H$23,H$235,-H$27,0)-H$27,0)))</f>
        <v/>
      </c>
      <c r="I329" s="279">
        <f>IF(I$1=0,"",IF($B329&lt;I$23,I328+PPMT(I$26/12,$B329,I$23,I$235,-I$27,0),IF($B329=I$23,I328+PPMT(I$26/12,$B329,I$23,I$235,-I$27,0)-I$27,0)))</f>
        <v/>
      </c>
      <c r="J329" s="279">
        <f>IF(J$1=0,"",IF($B329&lt;J$23,J328+PPMT(J$26/12,$B329,J$23,J$235,-J$27,0),IF($B329=J$23,J328+PPMT(J$26/12,$B329,J$23,J$235,-J$27,0)-J$27,0)))</f>
        <v/>
      </c>
      <c r="K329" s="279">
        <f>IF(K$1=0,"",IF($B329&lt;K$23,K328+PPMT(K$26/12,$B329,K$23,K$235,-K$27,0),IF($B329=K$23,K328+PPMT(K$26/12,$B329,K$23,K$235,-K$27,0)-K$27,0)))</f>
        <v/>
      </c>
      <c r="L329" s="279">
        <f>IF(L$1=0,"",IF($B329&lt;L$23,L328+PPMT(L$26/12,$B329,L$23,L$235,-L$27,0),IF($B329=L$23,L328+PPMT(L$26/12,$B329,L$23,L$235,-L$27,0)-L$27,0)))</f>
        <v/>
      </c>
      <c r="M329" s="279">
        <f>IF(M$1=0,"",IF($B329&lt;M$23,M328+PPMT(M$26/12,$B329,M$23,M$235,-M$27,0),IF($B329=M$23,M328+PPMT(M$26/12,$B329,M$23,M$235,-M$27,0)-M$27,0)))</f>
        <v/>
      </c>
      <c r="N329" s="280" t="n"/>
      <c r="O329" s="281" t="n"/>
    </row>
    <row r="330" hidden="1" outlineLevel="1">
      <c r="B330" s="2">
        <f>B329+1</f>
        <v/>
      </c>
      <c r="D330" s="279">
        <f>IF(B330&lt;$D$24,(+'CALCULETTE (2)'!G727/'CALCULETTE (2)'!$B$612),0)</f>
        <v/>
      </c>
      <c r="E330" s="279">
        <f>IF(E$1=0,"",IF($B330&lt;E$23,E329+PPMT(E$26/12,$B330,E$23,E$235,-E$27,0),IF($B330=E$23,E329+PPMT(E$26/12,$B330,E$23,E$235,-E$27,0)-E$27,0)))</f>
        <v/>
      </c>
      <c r="F330" s="279">
        <f>IF(F$1=0,"",IF($B330&lt;F$23,F329+PPMT(F$26/12,$B330,F$23,F$235,-F$27,0),IF($B330=F$23,F329+PPMT(F$26/12,$B330,F$23,F$235,-F$27,0)-F$27,0)))</f>
        <v/>
      </c>
      <c r="G330" s="279">
        <f>IF(G$1=0,"",IF($B330&lt;G$23,G329+PPMT(G$26/12,$B330,G$23,G$235,-G$27,0),IF($B330=G$23,G329+PPMT(G$26/12,$B330,G$23,G$235,-G$27,0)-G$27,0)))</f>
        <v/>
      </c>
      <c r="H330" s="279">
        <f>IF(H$1=0,"",IF($B330&lt;H$23,H329+PPMT(H$26/12,$B330,H$23,H$235,-H$27,0),IF($B330=H$23,H329+PPMT(H$26/12,$B330,H$23,H$235,-H$27,0)-H$27,0)))</f>
        <v/>
      </c>
      <c r="I330" s="279">
        <f>IF(I$1=0,"",IF($B330&lt;I$23,I329+PPMT(I$26/12,$B330,I$23,I$235,-I$27,0),IF($B330=I$23,I329+PPMT(I$26/12,$B330,I$23,I$235,-I$27,0)-I$27,0)))</f>
        <v/>
      </c>
      <c r="J330" s="279">
        <f>IF(J$1=0,"",IF($B330&lt;J$23,J329+PPMT(J$26/12,$B330,J$23,J$235,-J$27,0),IF($B330=J$23,J329+PPMT(J$26/12,$B330,J$23,J$235,-J$27,0)-J$27,0)))</f>
        <v/>
      </c>
      <c r="K330" s="279">
        <f>IF(K$1=0,"",IF($B330&lt;K$23,K329+PPMT(K$26/12,$B330,K$23,K$235,-K$27,0),IF($B330=K$23,K329+PPMT(K$26/12,$B330,K$23,K$235,-K$27,0)-K$27,0)))</f>
        <v/>
      </c>
      <c r="L330" s="279">
        <f>IF(L$1=0,"",IF($B330&lt;L$23,L329+PPMT(L$26/12,$B330,L$23,L$235,-L$27,0),IF($B330=L$23,L329+PPMT(L$26/12,$B330,L$23,L$235,-L$27,0)-L$27,0)))</f>
        <v/>
      </c>
      <c r="M330" s="279">
        <f>IF(M$1=0,"",IF($B330&lt;M$23,M329+PPMT(M$26/12,$B330,M$23,M$235,-M$27,0),IF($B330=M$23,M329+PPMT(M$26/12,$B330,M$23,M$235,-M$27,0)-M$27,0)))</f>
        <v/>
      </c>
      <c r="N330" s="280" t="n"/>
      <c r="O330" s="281" t="n"/>
    </row>
    <row r="331" hidden="1" outlineLevel="1">
      <c r="B331" s="2">
        <f>B330+1</f>
        <v/>
      </c>
      <c r="D331" s="279">
        <f>IF(B331&lt;$D$24,(+'CALCULETTE (2)'!G728/'CALCULETTE (2)'!$B$612),0)</f>
        <v/>
      </c>
      <c r="E331" s="279">
        <f>IF(E$1=0,"",IF($B331&lt;E$23,E330+PPMT(E$26/12,$B331,E$23,E$235,-E$27,0),IF($B331=E$23,E330+PPMT(E$26/12,$B331,E$23,E$235,-E$27,0)-E$27,0)))</f>
        <v/>
      </c>
      <c r="F331" s="279">
        <f>IF(F$1=0,"",IF($B331&lt;F$23,F330+PPMT(F$26/12,$B331,F$23,F$235,-F$27,0),IF($B331=F$23,F330+PPMT(F$26/12,$B331,F$23,F$235,-F$27,0)-F$27,0)))</f>
        <v/>
      </c>
      <c r="G331" s="279">
        <f>IF(G$1=0,"",IF($B331&lt;G$23,G330+PPMT(G$26/12,$B331,G$23,G$235,-G$27,0),IF($B331=G$23,G330+PPMT(G$26/12,$B331,G$23,G$235,-G$27,0)-G$27,0)))</f>
        <v/>
      </c>
      <c r="H331" s="279">
        <f>IF(H$1=0,"",IF($B331&lt;H$23,H330+PPMT(H$26/12,$B331,H$23,H$235,-H$27,0),IF($B331=H$23,H330+PPMT(H$26/12,$B331,H$23,H$235,-H$27,0)-H$27,0)))</f>
        <v/>
      </c>
      <c r="I331" s="279">
        <f>IF(I$1=0,"",IF($B331&lt;I$23,I330+PPMT(I$26/12,$B331,I$23,I$235,-I$27,0),IF($B331=I$23,I330+PPMT(I$26/12,$B331,I$23,I$235,-I$27,0)-I$27,0)))</f>
        <v/>
      </c>
      <c r="J331" s="279">
        <f>IF(J$1=0,"",IF($B331&lt;J$23,J330+PPMT(J$26/12,$B331,J$23,J$235,-J$27,0),IF($B331=J$23,J330+PPMT(J$26/12,$B331,J$23,J$235,-J$27,0)-J$27,0)))</f>
        <v/>
      </c>
      <c r="K331" s="279">
        <f>IF(K$1=0,"",IF($B331&lt;K$23,K330+PPMT(K$26/12,$B331,K$23,K$235,-K$27,0),IF($B331=K$23,K330+PPMT(K$26/12,$B331,K$23,K$235,-K$27,0)-K$27,0)))</f>
        <v/>
      </c>
      <c r="L331" s="279">
        <f>IF(L$1=0,"",IF($B331&lt;L$23,L330+PPMT(L$26/12,$B331,L$23,L$235,-L$27,0),IF($B331=L$23,L330+PPMT(L$26/12,$B331,L$23,L$235,-L$27,0)-L$27,0)))</f>
        <v/>
      </c>
      <c r="M331" s="279">
        <f>IF(M$1=0,"",IF($B331&lt;M$23,M330+PPMT(M$26/12,$B331,M$23,M$235,-M$27,0),IF($B331=M$23,M330+PPMT(M$26/12,$B331,M$23,M$235,-M$27,0)-M$27,0)))</f>
        <v/>
      </c>
      <c r="N331" s="280" t="n"/>
      <c r="O331" s="281" t="n"/>
    </row>
    <row r="332" hidden="1" outlineLevel="1">
      <c r="B332" s="2">
        <f>B331+1</f>
        <v/>
      </c>
      <c r="D332" s="279">
        <f>IF(B332&lt;$D$24,(+'CALCULETTE (2)'!G729/'CALCULETTE (2)'!$B$612),0)</f>
        <v/>
      </c>
      <c r="E332" s="279">
        <f>IF(E$1=0,"",IF($B332&lt;E$23,E331+PPMT(E$26/12,$B332,E$23,E$235,-E$27,0),IF($B332=E$23,E331+PPMT(E$26/12,$B332,E$23,E$235,-E$27,0)-E$27,0)))</f>
        <v/>
      </c>
      <c r="F332" s="279">
        <f>IF(F$1=0,"",IF($B332&lt;F$23,F331+PPMT(F$26/12,$B332,F$23,F$235,-F$27,0),IF($B332=F$23,F331+PPMT(F$26/12,$B332,F$23,F$235,-F$27,0)-F$27,0)))</f>
        <v/>
      </c>
      <c r="G332" s="279">
        <f>IF(G$1=0,"",IF($B332&lt;G$23,G331+PPMT(G$26/12,$B332,G$23,G$235,-G$27,0),IF($B332=G$23,G331+PPMT(G$26/12,$B332,G$23,G$235,-G$27,0)-G$27,0)))</f>
        <v/>
      </c>
      <c r="H332" s="279">
        <f>IF(H$1=0,"",IF($B332&lt;H$23,H331+PPMT(H$26/12,$B332,H$23,H$235,-H$27,0),IF($B332=H$23,H331+PPMT(H$26/12,$B332,H$23,H$235,-H$27,0)-H$27,0)))</f>
        <v/>
      </c>
      <c r="I332" s="279">
        <f>IF(I$1=0,"",IF($B332&lt;I$23,I331+PPMT(I$26/12,$B332,I$23,I$235,-I$27,0),IF($B332=I$23,I331+PPMT(I$26/12,$B332,I$23,I$235,-I$27,0)-I$27,0)))</f>
        <v/>
      </c>
      <c r="J332" s="279">
        <f>IF(J$1=0,"",IF($B332&lt;J$23,J331+PPMT(J$26/12,$B332,J$23,J$235,-J$27,0),IF($B332=J$23,J331+PPMT(J$26/12,$B332,J$23,J$235,-J$27,0)-J$27,0)))</f>
        <v/>
      </c>
      <c r="K332" s="279">
        <f>IF(K$1=0,"",IF($B332&lt;K$23,K331+PPMT(K$26/12,$B332,K$23,K$235,-K$27,0),IF($B332=K$23,K331+PPMT(K$26/12,$B332,K$23,K$235,-K$27,0)-K$27,0)))</f>
        <v/>
      </c>
      <c r="L332" s="279">
        <f>IF(L$1=0,"",IF($B332&lt;L$23,L331+PPMT(L$26/12,$B332,L$23,L$235,-L$27,0),IF($B332=L$23,L331+PPMT(L$26/12,$B332,L$23,L$235,-L$27,0)-L$27,0)))</f>
        <v/>
      </c>
      <c r="M332" s="279">
        <f>IF(M$1=0,"",IF($B332&lt;M$23,M331+PPMT(M$26/12,$B332,M$23,M$235,-M$27,0),IF($B332=M$23,M331+PPMT(M$26/12,$B332,M$23,M$235,-M$27,0)-M$27,0)))</f>
        <v/>
      </c>
      <c r="N332" s="280" t="n"/>
      <c r="O332" s="281" t="n"/>
    </row>
    <row r="333" hidden="1" outlineLevel="1">
      <c r="B333" s="2">
        <f>B332+1</f>
        <v/>
      </c>
      <c r="D333" s="279">
        <f>IF(B333&lt;$D$24,(+'CALCULETTE (2)'!G730/'CALCULETTE (2)'!$B$612),0)</f>
        <v/>
      </c>
      <c r="E333" s="279">
        <f>IF(E$1=0,"",IF($B333&lt;E$23,E332+PPMT(E$26/12,$B333,E$23,E$235,-E$27,0),IF($B333=E$23,E332+PPMT(E$26/12,$B333,E$23,E$235,-E$27,0)-E$27,0)))</f>
        <v/>
      </c>
      <c r="F333" s="279">
        <f>IF(F$1=0,"",IF($B333&lt;F$23,F332+PPMT(F$26/12,$B333,F$23,F$235,-F$27,0),IF($B333=F$23,F332+PPMT(F$26/12,$B333,F$23,F$235,-F$27,0)-F$27,0)))</f>
        <v/>
      </c>
      <c r="G333" s="279">
        <f>IF(G$1=0,"",IF($B333&lt;G$23,G332+PPMT(G$26/12,$B333,G$23,G$235,-G$27,0),IF($B333=G$23,G332+PPMT(G$26/12,$B333,G$23,G$235,-G$27,0)-G$27,0)))</f>
        <v/>
      </c>
      <c r="H333" s="279">
        <f>IF(H$1=0,"",IF($B333&lt;H$23,H332+PPMT(H$26/12,$B333,H$23,H$235,-H$27,0),IF($B333=H$23,H332+PPMT(H$26/12,$B333,H$23,H$235,-H$27,0)-H$27,0)))</f>
        <v/>
      </c>
      <c r="I333" s="279">
        <f>IF(I$1=0,"",IF($B333&lt;I$23,I332+PPMT(I$26/12,$B333,I$23,I$235,-I$27,0),IF($B333=I$23,I332+PPMT(I$26/12,$B333,I$23,I$235,-I$27,0)-I$27,0)))</f>
        <v/>
      </c>
      <c r="J333" s="279">
        <f>IF(J$1=0,"",IF($B333&lt;J$23,J332+PPMT(J$26/12,$B333,J$23,J$235,-J$27,0),IF($B333=J$23,J332+PPMT(J$26/12,$B333,J$23,J$235,-J$27,0)-J$27,0)))</f>
        <v/>
      </c>
      <c r="K333" s="279">
        <f>IF(K$1=0,"",IF($B333&lt;K$23,K332+PPMT(K$26/12,$B333,K$23,K$235,-K$27,0),IF($B333=K$23,K332+PPMT(K$26/12,$B333,K$23,K$235,-K$27,0)-K$27,0)))</f>
        <v/>
      </c>
      <c r="L333" s="279">
        <f>IF(L$1=0,"",IF($B333&lt;L$23,L332+PPMT(L$26/12,$B333,L$23,L$235,-L$27,0),IF($B333=L$23,L332+PPMT(L$26/12,$B333,L$23,L$235,-L$27,0)-L$27,0)))</f>
        <v/>
      </c>
      <c r="M333" s="279">
        <f>IF(M$1=0,"",IF($B333&lt;M$23,M332+PPMT(M$26/12,$B333,M$23,M$235,-M$27,0),IF($B333=M$23,M332+PPMT(M$26/12,$B333,M$23,M$235,-M$27,0)-M$27,0)))</f>
        <v/>
      </c>
      <c r="N333" s="280" t="n"/>
      <c r="O333" s="281" t="n"/>
    </row>
    <row r="334" hidden="1" outlineLevel="1">
      <c r="B334" s="2">
        <f>B333+1</f>
        <v/>
      </c>
      <c r="D334" s="279">
        <f>IF(B334&lt;$D$24,(+'CALCULETTE (2)'!G731/'CALCULETTE (2)'!$B$612),0)</f>
        <v/>
      </c>
      <c r="E334" s="279">
        <f>IF(E$1=0,"",IF($B334&lt;E$23,E333+PPMT(E$26/12,$B334,E$23,E$235,-E$27,0),IF($B334=E$23,E333+PPMT(E$26/12,$B334,E$23,E$235,-E$27,0)-E$27,0)))</f>
        <v/>
      </c>
      <c r="F334" s="279">
        <f>IF(F$1=0,"",IF($B334&lt;F$23,F333+PPMT(F$26/12,$B334,F$23,F$235,-F$27,0),IF($B334=F$23,F333+PPMT(F$26/12,$B334,F$23,F$235,-F$27,0)-F$27,0)))</f>
        <v/>
      </c>
      <c r="G334" s="279">
        <f>IF(G$1=0,"",IF($B334&lt;G$23,G333+PPMT(G$26/12,$B334,G$23,G$235,-G$27,0),IF($B334=G$23,G333+PPMT(G$26/12,$B334,G$23,G$235,-G$27,0)-G$27,0)))</f>
        <v/>
      </c>
      <c r="H334" s="279">
        <f>IF(H$1=0,"",IF($B334&lt;H$23,H333+PPMT(H$26/12,$B334,H$23,H$235,-H$27,0),IF($B334=H$23,H333+PPMT(H$26/12,$B334,H$23,H$235,-H$27,0)-H$27,0)))</f>
        <v/>
      </c>
      <c r="I334" s="279">
        <f>IF(I$1=0,"",IF($B334&lt;I$23,I333+PPMT(I$26/12,$B334,I$23,I$235,-I$27,0),IF($B334=I$23,I333+PPMT(I$26/12,$B334,I$23,I$235,-I$27,0)-I$27,0)))</f>
        <v/>
      </c>
      <c r="J334" s="279">
        <f>IF(J$1=0,"",IF($B334&lt;J$23,J333+PPMT(J$26/12,$B334,J$23,J$235,-J$27,0),IF($B334=J$23,J333+PPMT(J$26/12,$B334,J$23,J$235,-J$27,0)-J$27,0)))</f>
        <v/>
      </c>
      <c r="K334" s="279">
        <f>IF(K$1=0,"",IF($B334&lt;K$23,K333+PPMT(K$26/12,$B334,K$23,K$235,-K$27,0),IF($B334=K$23,K333+PPMT(K$26/12,$B334,K$23,K$235,-K$27,0)-K$27,0)))</f>
        <v/>
      </c>
      <c r="L334" s="279">
        <f>IF(L$1=0,"",IF($B334&lt;L$23,L333+PPMT(L$26/12,$B334,L$23,L$235,-L$27,0),IF($B334=L$23,L333+PPMT(L$26/12,$B334,L$23,L$235,-L$27,0)-L$27,0)))</f>
        <v/>
      </c>
      <c r="M334" s="279">
        <f>IF(M$1=0,"",IF($B334&lt;M$23,M333+PPMT(M$26/12,$B334,M$23,M$235,-M$27,0),IF($B334=M$23,M333+PPMT(M$26/12,$B334,M$23,M$235,-M$27,0)-M$27,0)))</f>
        <v/>
      </c>
      <c r="N334" s="280" t="n"/>
      <c r="O334" s="281" t="n"/>
    </row>
    <row r="335" hidden="1" outlineLevel="1">
      <c r="B335" s="2">
        <f>B334+1</f>
        <v/>
      </c>
      <c r="D335" s="279">
        <f>IF(B335&lt;$D$24,(+'CALCULETTE (2)'!G732/'CALCULETTE (2)'!$B$612),0)</f>
        <v/>
      </c>
      <c r="E335" s="279">
        <f>IF(E$1=0,"",IF($B335&lt;E$23,E334+PPMT(E$26/12,$B335,E$23,E$235,-E$27,0),IF($B335=E$23,E334+PPMT(E$26/12,$B335,E$23,E$235,-E$27,0)-E$27,0)))</f>
        <v/>
      </c>
      <c r="F335" s="279">
        <f>IF(F$1=0,"",IF($B335&lt;F$23,F334+PPMT(F$26/12,$B335,F$23,F$235,-F$27,0),IF($B335=F$23,F334+PPMT(F$26/12,$B335,F$23,F$235,-F$27,0)-F$27,0)))</f>
        <v/>
      </c>
      <c r="G335" s="279">
        <f>IF(G$1=0,"",IF($B335&lt;G$23,G334+PPMT(G$26/12,$B335,G$23,G$235,-G$27,0),IF($B335=G$23,G334+PPMT(G$26/12,$B335,G$23,G$235,-G$27,0)-G$27,0)))</f>
        <v/>
      </c>
      <c r="H335" s="279">
        <f>IF(H$1=0,"",IF($B335&lt;H$23,H334+PPMT(H$26/12,$B335,H$23,H$235,-H$27,0),IF($B335=H$23,H334+PPMT(H$26/12,$B335,H$23,H$235,-H$27,0)-H$27,0)))</f>
        <v/>
      </c>
      <c r="I335" s="279">
        <f>IF(I$1=0,"",IF($B335&lt;I$23,I334+PPMT(I$26/12,$B335,I$23,I$235,-I$27,0),IF($B335=I$23,I334+PPMT(I$26/12,$B335,I$23,I$235,-I$27,0)-I$27,0)))</f>
        <v/>
      </c>
      <c r="J335" s="279">
        <f>IF(J$1=0,"",IF($B335&lt;J$23,J334+PPMT(J$26/12,$B335,J$23,J$235,-J$27,0),IF($B335=J$23,J334+PPMT(J$26/12,$B335,J$23,J$235,-J$27,0)-J$27,0)))</f>
        <v/>
      </c>
      <c r="K335" s="279">
        <f>IF(K$1=0,"",IF($B335&lt;K$23,K334+PPMT(K$26/12,$B335,K$23,K$235,-K$27,0),IF($B335=K$23,K334+PPMT(K$26/12,$B335,K$23,K$235,-K$27,0)-K$27,0)))</f>
        <v/>
      </c>
      <c r="L335" s="279">
        <f>IF(L$1=0,"",IF($B335&lt;L$23,L334+PPMT(L$26/12,$B335,L$23,L$235,-L$27,0),IF($B335=L$23,L334+PPMT(L$26/12,$B335,L$23,L$235,-L$27,0)-L$27,0)))</f>
        <v/>
      </c>
      <c r="M335" s="279">
        <f>IF(M$1=0,"",IF($B335&lt;M$23,M334+PPMT(M$26/12,$B335,M$23,M$235,-M$27,0),IF($B335=M$23,M334+PPMT(M$26/12,$B335,M$23,M$235,-M$27,0)-M$27,0)))</f>
        <v/>
      </c>
      <c r="N335" s="280" t="n"/>
      <c r="O335" s="281" t="n"/>
    </row>
    <row r="336" hidden="1" outlineLevel="1">
      <c r="B336" s="2">
        <f>B335+1</f>
        <v/>
      </c>
      <c r="D336" s="279">
        <f>IF(B336&lt;$D$24,(+'CALCULETTE (2)'!G733/'CALCULETTE (2)'!$B$612),0)</f>
        <v/>
      </c>
      <c r="E336" s="279">
        <f>IF(E$1=0,"",IF($B336&lt;E$23,E335+PPMT(E$26/12,$B336,E$23,E$235,-E$27,0),IF($B336=E$23,E335+PPMT(E$26/12,$B336,E$23,E$235,-E$27,0)-E$27,0)))</f>
        <v/>
      </c>
      <c r="F336" s="279">
        <f>IF(F$1=0,"",IF($B336&lt;F$23,F335+PPMT(F$26/12,$B336,F$23,F$235,-F$27,0),IF($B336=F$23,F335+PPMT(F$26/12,$B336,F$23,F$235,-F$27,0)-F$27,0)))</f>
        <v/>
      </c>
      <c r="G336" s="279">
        <f>IF(G$1=0,"",IF($B336&lt;G$23,G335+PPMT(G$26/12,$B336,G$23,G$235,-G$27,0),IF($B336=G$23,G335+PPMT(G$26/12,$B336,G$23,G$235,-G$27,0)-G$27,0)))</f>
        <v/>
      </c>
      <c r="H336" s="279">
        <f>IF(H$1=0,"",IF($B336&lt;H$23,H335+PPMT(H$26/12,$B336,H$23,H$235,-H$27,0),IF($B336=H$23,H335+PPMT(H$26/12,$B336,H$23,H$235,-H$27,0)-H$27,0)))</f>
        <v/>
      </c>
      <c r="I336" s="279">
        <f>IF(I$1=0,"",IF($B336&lt;I$23,I335+PPMT(I$26/12,$B336,I$23,I$235,-I$27,0),IF($B336=I$23,I335+PPMT(I$26/12,$B336,I$23,I$235,-I$27,0)-I$27,0)))</f>
        <v/>
      </c>
      <c r="J336" s="279">
        <f>IF(J$1=0,"",IF($B336&lt;J$23,J335+PPMT(J$26/12,$B336,J$23,J$235,-J$27,0),IF($B336=J$23,J335+PPMT(J$26/12,$B336,J$23,J$235,-J$27,0)-J$27,0)))</f>
        <v/>
      </c>
      <c r="K336" s="279">
        <f>IF(K$1=0,"",IF($B336&lt;K$23,K335+PPMT(K$26/12,$B336,K$23,K$235,-K$27,0),IF($B336=K$23,K335+PPMT(K$26/12,$B336,K$23,K$235,-K$27,0)-K$27,0)))</f>
        <v/>
      </c>
      <c r="L336" s="279">
        <f>IF(L$1=0,"",IF($B336&lt;L$23,L335+PPMT(L$26/12,$B336,L$23,L$235,-L$27,0),IF($B336=L$23,L335+PPMT(L$26/12,$B336,L$23,L$235,-L$27,0)-L$27,0)))</f>
        <v/>
      </c>
      <c r="M336" s="279">
        <f>IF(M$1=0,"",IF($B336&lt;M$23,M335+PPMT(M$26/12,$B336,M$23,M$235,-M$27,0),IF($B336=M$23,M335+PPMT(M$26/12,$B336,M$23,M$235,-M$27,0)-M$27,0)))</f>
        <v/>
      </c>
      <c r="N336" s="280" t="n"/>
      <c r="O336" s="281" t="n"/>
    </row>
    <row r="337" hidden="1" outlineLevel="1">
      <c r="B337" s="2">
        <f>B336+1</f>
        <v/>
      </c>
      <c r="D337" s="279">
        <f>IF(B337&lt;$D$24,(+'CALCULETTE (2)'!G734/'CALCULETTE (2)'!$B$612),0)</f>
        <v/>
      </c>
      <c r="E337" s="279">
        <f>IF(E$1=0,"",IF($B337&lt;E$23,E336+PPMT(E$26/12,$B337,E$23,E$235,-E$27,0),IF($B337=E$23,E336+PPMT(E$26/12,$B337,E$23,E$235,-E$27,0)-E$27,0)))</f>
        <v/>
      </c>
      <c r="F337" s="279">
        <f>IF(F$1=0,"",IF($B337&lt;F$23,F336+PPMT(F$26/12,$B337,F$23,F$235,-F$27,0),IF($B337=F$23,F336+PPMT(F$26/12,$B337,F$23,F$235,-F$27,0)-F$27,0)))</f>
        <v/>
      </c>
      <c r="G337" s="279">
        <f>IF(G$1=0,"",IF($B337&lt;G$23,G336+PPMT(G$26/12,$B337,G$23,G$235,-G$27,0),IF($B337=G$23,G336+PPMT(G$26/12,$B337,G$23,G$235,-G$27,0)-G$27,0)))</f>
        <v/>
      </c>
      <c r="H337" s="279">
        <f>IF(H$1=0,"",IF($B337&lt;H$23,H336+PPMT(H$26/12,$B337,H$23,H$235,-H$27,0),IF($B337=H$23,H336+PPMT(H$26/12,$B337,H$23,H$235,-H$27,0)-H$27,0)))</f>
        <v/>
      </c>
      <c r="I337" s="279">
        <f>IF(I$1=0,"",IF($B337&lt;I$23,I336+PPMT(I$26/12,$B337,I$23,I$235,-I$27,0),IF($B337=I$23,I336+PPMT(I$26/12,$B337,I$23,I$235,-I$27,0)-I$27,0)))</f>
        <v/>
      </c>
      <c r="J337" s="279">
        <f>IF(J$1=0,"",IF($B337&lt;J$23,J336+PPMT(J$26/12,$B337,J$23,J$235,-J$27,0),IF($B337=J$23,J336+PPMT(J$26/12,$B337,J$23,J$235,-J$27,0)-J$27,0)))</f>
        <v/>
      </c>
      <c r="K337" s="279">
        <f>IF(K$1=0,"",IF($B337&lt;K$23,K336+PPMT(K$26/12,$B337,K$23,K$235,-K$27,0),IF($B337=K$23,K336+PPMT(K$26/12,$B337,K$23,K$235,-K$27,0)-K$27,0)))</f>
        <v/>
      </c>
      <c r="L337" s="279">
        <f>IF(L$1=0,"",IF($B337&lt;L$23,L336+PPMT(L$26/12,$B337,L$23,L$235,-L$27,0),IF($B337=L$23,L336+PPMT(L$26/12,$B337,L$23,L$235,-L$27,0)-L$27,0)))</f>
        <v/>
      </c>
      <c r="M337" s="279">
        <f>IF(M$1=0,"",IF($B337&lt;M$23,M336+PPMT(M$26/12,$B337,M$23,M$235,-M$27,0),IF($B337=M$23,M336+PPMT(M$26/12,$B337,M$23,M$235,-M$27,0)-M$27,0)))</f>
        <v/>
      </c>
      <c r="N337" s="280" t="n"/>
      <c r="O337" s="281" t="n"/>
    </row>
    <row r="338" hidden="1" outlineLevel="1">
      <c r="B338" s="2">
        <f>B337+1</f>
        <v/>
      </c>
      <c r="D338" s="279">
        <f>IF(B338&lt;$D$24,(+'CALCULETTE (2)'!G735/'CALCULETTE (2)'!$B$612),0)</f>
        <v/>
      </c>
      <c r="E338" s="279">
        <f>IF(E$1=0,"",IF($B338&lt;E$23,E337+PPMT(E$26/12,$B338,E$23,E$235,-E$27,0),IF($B338=E$23,E337+PPMT(E$26/12,$B338,E$23,E$235,-E$27,0)-E$27,0)))</f>
        <v/>
      </c>
      <c r="F338" s="279">
        <f>IF(F$1=0,"",IF($B338&lt;F$23,F337+PPMT(F$26/12,$B338,F$23,F$235,-F$27,0),IF($B338=F$23,F337+PPMT(F$26/12,$B338,F$23,F$235,-F$27,0)-F$27,0)))</f>
        <v/>
      </c>
      <c r="G338" s="279">
        <f>IF(G$1=0,"",IF($B338&lt;G$23,G337+PPMT(G$26/12,$B338,G$23,G$235,-G$27,0),IF($B338=G$23,G337+PPMT(G$26/12,$B338,G$23,G$235,-G$27,0)-G$27,0)))</f>
        <v/>
      </c>
      <c r="H338" s="279">
        <f>IF(H$1=0,"",IF($B338&lt;H$23,H337+PPMT(H$26/12,$B338,H$23,H$235,-H$27,0),IF($B338=H$23,H337+PPMT(H$26/12,$B338,H$23,H$235,-H$27,0)-H$27,0)))</f>
        <v/>
      </c>
      <c r="I338" s="279">
        <f>IF(I$1=0,"",IF($B338&lt;I$23,I337+PPMT(I$26/12,$B338,I$23,I$235,-I$27,0),IF($B338=I$23,I337+PPMT(I$26/12,$B338,I$23,I$235,-I$27,0)-I$27,0)))</f>
        <v/>
      </c>
      <c r="J338" s="279">
        <f>IF(J$1=0,"",IF($B338&lt;J$23,J337+PPMT(J$26/12,$B338,J$23,J$235,-J$27,0),IF($B338=J$23,J337+PPMT(J$26/12,$B338,J$23,J$235,-J$27,0)-J$27,0)))</f>
        <v/>
      </c>
      <c r="K338" s="279">
        <f>IF(K$1=0,"",IF($B338&lt;K$23,K337+PPMT(K$26/12,$B338,K$23,K$235,-K$27,0),IF($B338=K$23,K337+PPMT(K$26/12,$B338,K$23,K$235,-K$27,0)-K$27,0)))</f>
        <v/>
      </c>
      <c r="L338" s="279">
        <f>IF(L$1=0,"",IF($B338&lt;L$23,L337+PPMT(L$26/12,$B338,L$23,L$235,-L$27,0),IF($B338=L$23,L337+PPMT(L$26/12,$B338,L$23,L$235,-L$27,0)-L$27,0)))</f>
        <v/>
      </c>
      <c r="M338" s="279">
        <f>IF(M$1=0,"",IF($B338&lt;M$23,M337+PPMT(M$26/12,$B338,M$23,M$235,-M$27,0),IF($B338=M$23,M337+PPMT(M$26/12,$B338,M$23,M$235,-M$27,0)-M$27,0)))</f>
        <v/>
      </c>
      <c r="N338" s="280" t="n"/>
      <c r="O338" s="281" t="n"/>
    </row>
    <row r="339" hidden="1" outlineLevel="1">
      <c r="B339" s="2">
        <f>B338+1</f>
        <v/>
      </c>
      <c r="D339" s="279">
        <f>IF(B339&lt;$D$24,(+'CALCULETTE (2)'!G736/'CALCULETTE (2)'!$B$612),0)</f>
        <v/>
      </c>
      <c r="E339" s="279">
        <f>IF(E$1=0,"",IF($B339&lt;E$23,E338+PPMT(E$26/12,$B339,E$23,E$235,-E$27,0),IF($B339=E$23,E338+PPMT(E$26/12,$B339,E$23,E$235,-E$27,0)-E$27,0)))</f>
        <v/>
      </c>
      <c r="F339" s="279">
        <f>IF(F$1=0,"",IF($B339&lt;F$23,F338+PPMT(F$26/12,$B339,F$23,F$235,-F$27,0),IF($B339=F$23,F338+PPMT(F$26/12,$B339,F$23,F$235,-F$27,0)-F$27,0)))</f>
        <v/>
      </c>
      <c r="G339" s="279">
        <f>IF(G$1=0,"",IF($B339&lt;G$23,G338+PPMT(G$26/12,$B339,G$23,G$235,-G$27,0),IF($B339=G$23,G338+PPMT(G$26/12,$B339,G$23,G$235,-G$27,0)-G$27,0)))</f>
        <v/>
      </c>
      <c r="H339" s="279">
        <f>IF(H$1=0,"",IF($B339&lt;H$23,H338+PPMT(H$26/12,$B339,H$23,H$235,-H$27,0),IF($B339=H$23,H338+PPMT(H$26/12,$B339,H$23,H$235,-H$27,0)-H$27,0)))</f>
        <v/>
      </c>
      <c r="I339" s="279">
        <f>IF(I$1=0,"",IF($B339&lt;I$23,I338+PPMT(I$26/12,$B339,I$23,I$235,-I$27,0),IF($B339=I$23,I338+PPMT(I$26/12,$B339,I$23,I$235,-I$27,0)-I$27,0)))</f>
        <v/>
      </c>
      <c r="J339" s="279">
        <f>IF(J$1=0,"",IF($B339&lt;J$23,J338+PPMT(J$26/12,$B339,J$23,J$235,-J$27,0),IF($B339=J$23,J338+PPMT(J$26/12,$B339,J$23,J$235,-J$27,0)-J$27,0)))</f>
        <v/>
      </c>
      <c r="K339" s="279">
        <f>IF(K$1=0,"",IF($B339&lt;K$23,K338+PPMT(K$26/12,$B339,K$23,K$235,-K$27,0),IF($B339=K$23,K338+PPMT(K$26/12,$B339,K$23,K$235,-K$27,0)-K$27,0)))</f>
        <v/>
      </c>
      <c r="L339" s="279">
        <f>IF(L$1=0,"",IF($B339&lt;L$23,L338+PPMT(L$26/12,$B339,L$23,L$235,-L$27,0),IF($B339=L$23,L338+PPMT(L$26/12,$B339,L$23,L$235,-L$27,0)-L$27,0)))</f>
        <v/>
      </c>
      <c r="M339" s="279">
        <f>IF(M$1=0,"",IF($B339&lt;M$23,M338+PPMT(M$26/12,$B339,M$23,M$235,-M$27,0),IF($B339=M$23,M338+PPMT(M$26/12,$B339,M$23,M$235,-M$27,0)-M$27,0)))</f>
        <v/>
      </c>
      <c r="N339" s="280" t="n"/>
      <c r="O339" s="281" t="n"/>
    </row>
    <row r="340" hidden="1" outlineLevel="1">
      <c r="B340" s="2">
        <f>B339+1</f>
        <v/>
      </c>
      <c r="D340" s="279">
        <f>IF(B340&lt;$D$24,(+'CALCULETTE (2)'!G737/'CALCULETTE (2)'!$B$612),0)</f>
        <v/>
      </c>
      <c r="E340" s="279">
        <f>IF(E$1=0,"",IF($B340&lt;E$23,E339+PPMT(E$26/12,$B340,E$23,E$235,-E$27,0),IF($B340=E$23,E339+PPMT(E$26/12,$B340,E$23,E$235,-E$27,0)-E$27,0)))</f>
        <v/>
      </c>
      <c r="F340" s="279">
        <f>IF(F$1=0,"",IF($B340&lt;F$23,F339+PPMT(F$26/12,$B340,F$23,F$235,-F$27,0),IF($B340=F$23,F339+PPMT(F$26/12,$B340,F$23,F$235,-F$27,0)-F$27,0)))</f>
        <v/>
      </c>
      <c r="G340" s="279">
        <f>IF(G$1=0,"",IF($B340&lt;G$23,G339+PPMT(G$26/12,$B340,G$23,G$235,-G$27,0),IF($B340=G$23,G339+PPMT(G$26/12,$B340,G$23,G$235,-G$27,0)-G$27,0)))</f>
        <v/>
      </c>
      <c r="H340" s="279">
        <f>IF(H$1=0,"",IF($B340&lt;H$23,H339+PPMT(H$26/12,$B340,H$23,H$235,-H$27,0),IF($B340=H$23,H339+PPMT(H$26/12,$B340,H$23,H$235,-H$27,0)-H$27,0)))</f>
        <v/>
      </c>
      <c r="I340" s="279">
        <f>IF(I$1=0,"",IF($B340&lt;I$23,I339+PPMT(I$26/12,$B340,I$23,I$235,-I$27,0),IF($B340=I$23,I339+PPMT(I$26/12,$B340,I$23,I$235,-I$27,0)-I$27,0)))</f>
        <v/>
      </c>
      <c r="J340" s="279">
        <f>IF(J$1=0,"",IF($B340&lt;J$23,J339+PPMT(J$26/12,$B340,J$23,J$235,-J$27,0),IF($B340=J$23,J339+PPMT(J$26/12,$B340,J$23,J$235,-J$27,0)-J$27,0)))</f>
        <v/>
      </c>
      <c r="K340" s="279">
        <f>IF(K$1=0,"",IF($B340&lt;K$23,K339+PPMT(K$26/12,$B340,K$23,K$235,-K$27,0),IF($B340=K$23,K339+PPMT(K$26/12,$B340,K$23,K$235,-K$27,0)-K$27,0)))</f>
        <v/>
      </c>
      <c r="L340" s="279">
        <f>IF(L$1=0,"",IF($B340&lt;L$23,L339+PPMT(L$26/12,$B340,L$23,L$235,-L$27,0),IF($B340=L$23,L339+PPMT(L$26/12,$B340,L$23,L$235,-L$27,0)-L$27,0)))</f>
        <v/>
      </c>
      <c r="M340" s="279">
        <f>IF(M$1=0,"",IF($B340&lt;M$23,M339+PPMT(M$26/12,$B340,M$23,M$235,-M$27,0),IF($B340=M$23,M339+PPMT(M$26/12,$B340,M$23,M$235,-M$27,0)-M$27,0)))</f>
        <v/>
      </c>
      <c r="N340" s="280" t="n"/>
      <c r="O340" s="281" t="n"/>
    </row>
    <row r="341" hidden="1" outlineLevel="1">
      <c r="B341" s="2">
        <f>B340+1</f>
        <v/>
      </c>
      <c r="D341" s="279">
        <f>IF(B341&lt;$D$24,(+'CALCULETTE (2)'!G738/'CALCULETTE (2)'!$B$612),0)</f>
        <v/>
      </c>
      <c r="E341" s="279">
        <f>IF(E$1=0,"",IF($B341&lt;E$23,E340+PPMT(E$26/12,$B341,E$23,E$235,-E$27,0),IF($B341=E$23,E340+PPMT(E$26/12,$B341,E$23,E$235,-E$27,0)-E$27,0)))</f>
        <v/>
      </c>
      <c r="F341" s="279">
        <f>IF(F$1=0,"",IF($B341&lt;F$23,F340+PPMT(F$26/12,$B341,F$23,F$235,-F$27,0),IF($B341=F$23,F340+PPMT(F$26/12,$B341,F$23,F$235,-F$27,0)-F$27,0)))</f>
        <v/>
      </c>
      <c r="G341" s="279">
        <f>IF(G$1=0,"",IF($B341&lt;G$23,G340+PPMT(G$26/12,$B341,G$23,G$235,-G$27,0),IF($B341=G$23,G340+PPMT(G$26/12,$B341,G$23,G$235,-G$27,0)-G$27,0)))</f>
        <v/>
      </c>
      <c r="H341" s="279">
        <f>IF(H$1=0,"",IF($B341&lt;H$23,H340+PPMT(H$26/12,$B341,H$23,H$235,-H$27,0),IF($B341=H$23,H340+PPMT(H$26/12,$B341,H$23,H$235,-H$27,0)-H$27,0)))</f>
        <v/>
      </c>
      <c r="I341" s="279">
        <f>IF(I$1=0,"",IF($B341&lt;I$23,I340+PPMT(I$26/12,$B341,I$23,I$235,-I$27,0),IF($B341=I$23,I340+PPMT(I$26/12,$B341,I$23,I$235,-I$27,0)-I$27,0)))</f>
        <v/>
      </c>
      <c r="J341" s="279">
        <f>IF(J$1=0,"",IF($B341&lt;J$23,J340+PPMT(J$26/12,$B341,J$23,J$235,-J$27,0),IF($B341=J$23,J340+PPMT(J$26/12,$B341,J$23,J$235,-J$27,0)-J$27,0)))</f>
        <v/>
      </c>
      <c r="K341" s="279">
        <f>IF(K$1=0,"",IF($B341&lt;K$23,K340+PPMT(K$26/12,$B341,K$23,K$235,-K$27,0),IF($B341=K$23,K340+PPMT(K$26/12,$B341,K$23,K$235,-K$27,0)-K$27,0)))</f>
        <v/>
      </c>
      <c r="L341" s="279">
        <f>IF(L$1=0,"",IF($B341&lt;L$23,L340+PPMT(L$26/12,$B341,L$23,L$235,-L$27,0),IF($B341=L$23,L340+PPMT(L$26/12,$B341,L$23,L$235,-L$27,0)-L$27,0)))</f>
        <v/>
      </c>
      <c r="M341" s="279">
        <f>IF(M$1=0,"",IF($B341&lt;M$23,M340+PPMT(M$26/12,$B341,M$23,M$235,-M$27,0),IF($B341=M$23,M340+PPMT(M$26/12,$B341,M$23,M$235,-M$27,0)-M$27,0)))</f>
        <v/>
      </c>
      <c r="N341" s="280" t="n"/>
      <c r="O341" s="281" t="n"/>
    </row>
    <row r="342" hidden="1" outlineLevel="1">
      <c r="B342" s="2">
        <f>B341+1</f>
        <v/>
      </c>
      <c r="D342" s="279">
        <f>IF(B342&lt;$D$24,(+'CALCULETTE (2)'!G739/'CALCULETTE (2)'!$B$612),0)</f>
        <v/>
      </c>
      <c r="E342" s="279">
        <f>IF(E$1=0,"",IF($B342&lt;E$23,E341+PPMT(E$26/12,$B342,E$23,E$235,-E$27,0),IF($B342=E$23,E341+PPMT(E$26/12,$B342,E$23,E$235,-E$27,0)-E$27,0)))</f>
        <v/>
      </c>
      <c r="F342" s="279">
        <f>IF(F$1=0,"",IF($B342&lt;F$23,F341+PPMT(F$26/12,$B342,F$23,F$235,-F$27,0),IF($B342=F$23,F341+PPMT(F$26/12,$B342,F$23,F$235,-F$27,0)-F$27,0)))</f>
        <v/>
      </c>
      <c r="G342" s="279">
        <f>IF(G$1=0,"",IF($B342&lt;G$23,G341+PPMT(G$26/12,$B342,G$23,G$235,-G$27,0),IF($B342=G$23,G341+PPMT(G$26/12,$B342,G$23,G$235,-G$27,0)-G$27,0)))</f>
        <v/>
      </c>
      <c r="H342" s="279">
        <f>IF(H$1=0,"",IF($B342&lt;H$23,H341+PPMT(H$26/12,$B342,H$23,H$235,-H$27,0),IF($B342=H$23,H341+PPMT(H$26/12,$B342,H$23,H$235,-H$27,0)-H$27,0)))</f>
        <v/>
      </c>
      <c r="I342" s="279">
        <f>IF(I$1=0,"",IF($B342&lt;I$23,I341+PPMT(I$26/12,$B342,I$23,I$235,-I$27,0),IF($B342=I$23,I341+PPMT(I$26/12,$B342,I$23,I$235,-I$27,0)-I$27,0)))</f>
        <v/>
      </c>
      <c r="J342" s="279">
        <f>IF(J$1=0,"",IF($B342&lt;J$23,J341+PPMT(J$26/12,$B342,J$23,J$235,-J$27,0),IF($B342=J$23,J341+PPMT(J$26/12,$B342,J$23,J$235,-J$27,0)-J$27,0)))</f>
        <v/>
      </c>
      <c r="K342" s="279">
        <f>IF(K$1=0,"",IF($B342&lt;K$23,K341+PPMT(K$26/12,$B342,K$23,K$235,-K$27,0),IF($B342=K$23,K341+PPMT(K$26/12,$B342,K$23,K$235,-K$27,0)-K$27,0)))</f>
        <v/>
      </c>
      <c r="L342" s="279">
        <f>IF(L$1=0,"",IF($B342&lt;L$23,L341+PPMT(L$26/12,$B342,L$23,L$235,-L$27,0),IF($B342=L$23,L341+PPMT(L$26/12,$B342,L$23,L$235,-L$27,0)-L$27,0)))</f>
        <v/>
      </c>
      <c r="M342" s="279">
        <f>IF(M$1=0,"",IF($B342&lt;M$23,M341+PPMT(M$26/12,$B342,M$23,M$235,-M$27,0),IF($B342=M$23,M341+PPMT(M$26/12,$B342,M$23,M$235,-M$27,0)-M$27,0)))</f>
        <v/>
      </c>
      <c r="N342" s="280" t="n"/>
      <c r="O342" s="281" t="n"/>
    </row>
    <row r="343" hidden="1" outlineLevel="1">
      <c r="B343" s="2">
        <f>B342+1</f>
        <v/>
      </c>
      <c r="D343" s="279">
        <f>IF(B343&lt;$D$24,(+'CALCULETTE (2)'!G740/'CALCULETTE (2)'!$B$612),0)</f>
        <v/>
      </c>
      <c r="E343" s="279">
        <f>IF(E$1=0,"",IF($B343&lt;E$23,E342+PPMT(E$26/12,$B343,E$23,E$235,-E$27,0),IF($B343=E$23,E342+PPMT(E$26/12,$B343,E$23,E$235,-E$27,0)-E$27,0)))</f>
        <v/>
      </c>
      <c r="F343" s="279">
        <f>IF(F$1=0,"",IF($B343&lt;F$23,F342+PPMT(F$26/12,$B343,F$23,F$235,-F$27,0),IF($B343=F$23,F342+PPMT(F$26/12,$B343,F$23,F$235,-F$27,0)-F$27,0)))</f>
        <v/>
      </c>
      <c r="G343" s="279">
        <f>IF(G$1=0,"",IF($B343&lt;G$23,G342+PPMT(G$26/12,$B343,G$23,G$235,-G$27,0),IF($B343=G$23,G342+PPMT(G$26/12,$B343,G$23,G$235,-G$27,0)-G$27,0)))</f>
        <v/>
      </c>
      <c r="H343" s="279">
        <f>IF(H$1=0,"",IF($B343&lt;H$23,H342+PPMT(H$26/12,$B343,H$23,H$235,-H$27,0),IF($B343=H$23,H342+PPMT(H$26/12,$B343,H$23,H$235,-H$27,0)-H$27,0)))</f>
        <v/>
      </c>
      <c r="I343" s="279">
        <f>IF(I$1=0,"",IF($B343&lt;I$23,I342+PPMT(I$26/12,$B343,I$23,I$235,-I$27,0),IF($B343=I$23,I342+PPMT(I$26/12,$B343,I$23,I$235,-I$27,0)-I$27,0)))</f>
        <v/>
      </c>
      <c r="J343" s="279">
        <f>IF(J$1=0,"",IF($B343&lt;J$23,J342+PPMT(J$26/12,$B343,J$23,J$235,-J$27,0),IF($B343=J$23,J342+PPMT(J$26/12,$B343,J$23,J$235,-J$27,0)-J$27,0)))</f>
        <v/>
      </c>
      <c r="K343" s="279">
        <f>IF(K$1=0,"",IF($B343&lt;K$23,K342+PPMT(K$26/12,$B343,K$23,K$235,-K$27,0),IF($B343=K$23,K342+PPMT(K$26/12,$B343,K$23,K$235,-K$27,0)-K$27,0)))</f>
        <v/>
      </c>
      <c r="L343" s="279">
        <f>IF(L$1=0,"",IF($B343&lt;L$23,L342+PPMT(L$26/12,$B343,L$23,L$235,-L$27,0),IF($B343=L$23,L342+PPMT(L$26/12,$B343,L$23,L$235,-L$27,0)-L$27,0)))</f>
        <v/>
      </c>
      <c r="M343" s="279">
        <f>IF(M$1=0,"",IF($B343&lt;M$23,M342+PPMT(M$26/12,$B343,M$23,M$235,-M$27,0),IF($B343=M$23,M342+PPMT(M$26/12,$B343,M$23,M$235,-M$27,0)-M$27,0)))</f>
        <v/>
      </c>
      <c r="N343" s="280" t="n"/>
      <c r="O343" s="281" t="n"/>
    </row>
    <row r="344" hidden="1" outlineLevel="1">
      <c r="B344" s="2">
        <f>B343+1</f>
        <v/>
      </c>
      <c r="D344" s="279">
        <f>IF(B344&lt;$D$24,(+'CALCULETTE (2)'!G741/'CALCULETTE (2)'!$B$612),0)</f>
        <v/>
      </c>
      <c r="E344" s="279">
        <f>IF(E$1=0,"",IF($B344&lt;E$23,E343+PPMT(E$26/12,$B344,E$23,E$235,-E$27,0),IF($B344=E$23,E343+PPMT(E$26/12,$B344,E$23,E$235,-E$27,0)-E$27,0)))</f>
        <v/>
      </c>
      <c r="F344" s="279">
        <f>IF(F$1=0,"",IF($B344&lt;F$23,F343+PPMT(F$26/12,$B344,F$23,F$235,-F$27,0),IF($B344=F$23,F343+PPMT(F$26/12,$B344,F$23,F$235,-F$27,0)-F$27,0)))</f>
        <v/>
      </c>
      <c r="G344" s="279">
        <f>IF(G$1=0,"",IF($B344&lt;G$23,G343+PPMT(G$26/12,$B344,G$23,G$235,-G$27,0),IF($B344=G$23,G343+PPMT(G$26/12,$B344,G$23,G$235,-G$27,0)-G$27,0)))</f>
        <v/>
      </c>
      <c r="H344" s="279">
        <f>IF(H$1=0,"",IF($B344&lt;H$23,H343+PPMT(H$26/12,$B344,H$23,H$235,-H$27,0),IF($B344=H$23,H343+PPMT(H$26/12,$B344,H$23,H$235,-H$27,0)-H$27,0)))</f>
        <v/>
      </c>
      <c r="I344" s="279">
        <f>IF(I$1=0,"",IF($B344&lt;I$23,I343+PPMT(I$26/12,$B344,I$23,I$235,-I$27,0),IF($B344=I$23,I343+PPMT(I$26/12,$B344,I$23,I$235,-I$27,0)-I$27,0)))</f>
        <v/>
      </c>
      <c r="J344" s="279">
        <f>IF(J$1=0,"",IF($B344&lt;J$23,J343+PPMT(J$26/12,$B344,J$23,J$235,-J$27,0),IF($B344=J$23,J343+PPMT(J$26/12,$B344,J$23,J$235,-J$27,0)-J$27,0)))</f>
        <v/>
      </c>
      <c r="K344" s="279">
        <f>IF(K$1=0,"",IF($B344&lt;K$23,K343+PPMT(K$26/12,$B344,K$23,K$235,-K$27,0),IF($B344=K$23,K343+PPMT(K$26/12,$B344,K$23,K$235,-K$27,0)-K$27,0)))</f>
        <v/>
      </c>
      <c r="L344" s="279">
        <f>IF(L$1=0,"",IF($B344&lt;L$23,L343+PPMT(L$26/12,$B344,L$23,L$235,-L$27,0),IF($B344=L$23,L343+PPMT(L$26/12,$B344,L$23,L$235,-L$27,0)-L$27,0)))</f>
        <v/>
      </c>
      <c r="M344" s="279">
        <f>IF(M$1=0,"",IF($B344&lt;M$23,M343+PPMT(M$26/12,$B344,M$23,M$235,-M$27,0),IF($B344=M$23,M343+PPMT(M$26/12,$B344,M$23,M$235,-M$27,0)-M$27,0)))</f>
        <v/>
      </c>
      <c r="N344" s="280" t="n"/>
      <c r="O344" s="281" t="n"/>
    </row>
    <row r="345" hidden="1" outlineLevel="1">
      <c r="B345" s="2">
        <f>B344+1</f>
        <v/>
      </c>
      <c r="D345" s="279">
        <f>IF(B345&lt;$D$24,(+'CALCULETTE (2)'!G742/'CALCULETTE (2)'!$B$612),0)</f>
        <v/>
      </c>
      <c r="E345" s="279">
        <f>IF(E$1=0,"",IF($B345&lt;E$23,E344+PPMT(E$26/12,$B345,E$23,E$235,-E$27,0),IF($B345=E$23,E344+PPMT(E$26/12,$B345,E$23,E$235,-E$27,0)-E$27,0)))</f>
        <v/>
      </c>
      <c r="F345" s="279">
        <f>IF(F$1=0,"",IF($B345&lt;F$23,F344+PPMT(F$26/12,$B345,F$23,F$235,-F$27,0),IF($B345=F$23,F344+PPMT(F$26/12,$B345,F$23,F$235,-F$27,0)-F$27,0)))</f>
        <v/>
      </c>
      <c r="G345" s="279">
        <f>IF(G$1=0,"",IF($B345&lt;G$23,G344+PPMT(G$26/12,$B345,G$23,G$235,-G$27,0),IF($B345=G$23,G344+PPMT(G$26/12,$B345,G$23,G$235,-G$27,0)-G$27,0)))</f>
        <v/>
      </c>
      <c r="H345" s="279">
        <f>IF(H$1=0,"",IF($B345&lt;H$23,H344+PPMT(H$26/12,$B345,H$23,H$235,-H$27,0),IF($B345=H$23,H344+PPMT(H$26/12,$B345,H$23,H$235,-H$27,0)-H$27,0)))</f>
        <v/>
      </c>
      <c r="I345" s="279">
        <f>IF(I$1=0,"",IF($B345&lt;I$23,I344+PPMT(I$26/12,$B345,I$23,I$235,-I$27,0),IF($B345=I$23,I344+PPMT(I$26/12,$B345,I$23,I$235,-I$27,0)-I$27,0)))</f>
        <v/>
      </c>
      <c r="J345" s="279">
        <f>IF(J$1=0,"",IF($B345&lt;J$23,J344+PPMT(J$26/12,$B345,J$23,J$235,-J$27,0),IF($B345=J$23,J344+PPMT(J$26/12,$B345,J$23,J$235,-J$27,0)-J$27,0)))</f>
        <v/>
      </c>
      <c r="K345" s="279">
        <f>IF(K$1=0,"",IF($B345&lt;K$23,K344+PPMT(K$26/12,$B345,K$23,K$235,-K$27,0),IF($B345=K$23,K344+PPMT(K$26/12,$B345,K$23,K$235,-K$27,0)-K$27,0)))</f>
        <v/>
      </c>
      <c r="L345" s="279">
        <f>IF(L$1=0,"",IF($B345&lt;L$23,L344+PPMT(L$26/12,$B345,L$23,L$235,-L$27,0),IF($B345=L$23,L344+PPMT(L$26/12,$B345,L$23,L$235,-L$27,0)-L$27,0)))</f>
        <v/>
      </c>
      <c r="M345" s="279">
        <f>IF(M$1=0,"",IF($B345&lt;M$23,M344+PPMT(M$26/12,$B345,M$23,M$235,-M$27,0),IF($B345=M$23,M344+PPMT(M$26/12,$B345,M$23,M$235,-M$27,0)-M$27,0)))</f>
        <v/>
      </c>
      <c r="N345" s="280" t="n"/>
      <c r="O345" s="281" t="n"/>
    </row>
    <row r="346" hidden="1" outlineLevel="1">
      <c r="B346" s="2">
        <f>B345+1</f>
        <v/>
      </c>
      <c r="D346" s="279">
        <f>IF(B346&lt;$D$24,(+'CALCULETTE (2)'!G743/'CALCULETTE (2)'!$B$612),0)</f>
        <v/>
      </c>
      <c r="E346" s="279">
        <f>IF(E$1=0,"",IF($B346&lt;E$23,E345+PPMT(E$26/12,$B346,E$23,E$235,-E$27,0),IF($B346=E$23,E345+PPMT(E$26/12,$B346,E$23,E$235,-E$27,0)-E$27,0)))</f>
        <v/>
      </c>
      <c r="F346" s="279">
        <f>IF(F$1=0,"",IF($B346&lt;F$23,F345+PPMT(F$26/12,$B346,F$23,F$235,-F$27,0),IF($B346=F$23,F345+PPMT(F$26/12,$B346,F$23,F$235,-F$27,0)-F$27,0)))</f>
        <v/>
      </c>
      <c r="G346" s="279">
        <f>IF(G$1=0,"",IF($B346&lt;G$23,G345+PPMT(G$26/12,$B346,G$23,G$235,-G$27,0),IF($B346=G$23,G345+PPMT(G$26/12,$B346,G$23,G$235,-G$27,0)-G$27,0)))</f>
        <v/>
      </c>
      <c r="H346" s="279">
        <f>IF(H$1=0,"",IF($B346&lt;H$23,H345+PPMT(H$26/12,$B346,H$23,H$235,-H$27,0),IF($B346=H$23,H345+PPMT(H$26/12,$B346,H$23,H$235,-H$27,0)-H$27,0)))</f>
        <v/>
      </c>
      <c r="I346" s="279">
        <f>IF(I$1=0,"",IF($B346&lt;I$23,I345+PPMT(I$26/12,$B346,I$23,I$235,-I$27,0),IF($B346=I$23,I345+PPMT(I$26/12,$B346,I$23,I$235,-I$27,0)-I$27,0)))</f>
        <v/>
      </c>
      <c r="J346" s="279">
        <f>IF(J$1=0,"",IF($B346&lt;J$23,J345+PPMT(J$26/12,$B346,J$23,J$235,-J$27,0),IF($B346=J$23,J345+PPMT(J$26/12,$B346,J$23,J$235,-J$27,0)-J$27,0)))</f>
        <v/>
      </c>
      <c r="K346" s="279">
        <f>IF(K$1=0,"",IF($B346&lt;K$23,K345+PPMT(K$26/12,$B346,K$23,K$235,-K$27,0),IF($B346=K$23,K345+PPMT(K$26/12,$B346,K$23,K$235,-K$27,0)-K$27,0)))</f>
        <v/>
      </c>
      <c r="L346" s="279">
        <f>IF(L$1=0,"",IF($B346&lt;L$23,L345+PPMT(L$26/12,$B346,L$23,L$235,-L$27,0),IF($B346=L$23,L345+PPMT(L$26/12,$B346,L$23,L$235,-L$27,0)-L$27,0)))</f>
        <v/>
      </c>
      <c r="M346" s="279">
        <f>IF(M$1=0,"",IF($B346&lt;M$23,M345+PPMT(M$26/12,$B346,M$23,M$235,-M$27,0),IF($B346=M$23,M345+PPMT(M$26/12,$B346,M$23,M$235,-M$27,0)-M$27,0)))</f>
        <v/>
      </c>
      <c r="N346" s="280" t="n"/>
      <c r="O346" s="281" t="n"/>
    </row>
    <row r="347" hidden="1" outlineLevel="1">
      <c r="B347" s="2">
        <f>B346+1</f>
        <v/>
      </c>
      <c r="D347" s="279">
        <f>IF(B347&lt;$D$24,(+'CALCULETTE (2)'!G744/'CALCULETTE (2)'!$B$612),0)</f>
        <v/>
      </c>
      <c r="E347" s="279">
        <f>IF(E$1=0,"",IF($B347&lt;E$23,E346+PPMT(E$26/12,$B347,E$23,E$235,-E$27,0),IF($B347=E$23,E346+PPMT(E$26/12,$B347,E$23,E$235,-E$27,0)-E$27,0)))</f>
        <v/>
      </c>
      <c r="F347" s="279">
        <f>IF(F$1=0,"",IF($B347&lt;F$23,F346+PPMT(F$26/12,$B347,F$23,F$235,-F$27,0),IF($B347=F$23,F346+PPMT(F$26/12,$B347,F$23,F$235,-F$27,0)-F$27,0)))</f>
        <v/>
      </c>
      <c r="G347" s="279">
        <f>IF(G$1=0,"",IF($B347&lt;G$23,G346+PPMT(G$26/12,$B347,G$23,G$235,-G$27,0),IF($B347=G$23,G346+PPMT(G$26/12,$B347,G$23,G$235,-G$27,0)-G$27,0)))</f>
        <v/>
      </c>
      <c r="H347" s="279">
        <f>IF(H$1=0,"",IF($B347&lt;H$23,H346+PPMT(H$26/12,$B347,H$23,H$235,-H$27,0),IF($B347=H$23,H346+PPMT(H$26/12,$B347,H$23,H$235,-H$27,0)-H$27,0)))</f>
        <v/>
      </c>
      <c r="I347" s="279">
        <f>IF(I$1=0,"",IF($B347&lt;I$23,I346+PPMT(I$26/12,$B347,I$23,I$235,-I$27,0),IF($B347=I$23,I346+PPMT(I$26/12,$B347,I$23,I$235,-I$27,0)-I$27,0)))</f>
        <v/>
      </c>
      <c r="J347" s="279">
        <f>IF(J$1=0,"",IF($B347&lt;J$23,J346+PPMT(J$26/12,$B347,J$23,J$235,-J$27,0),IF($B347=J$23,J346+PPMT(J$26/12,$B347,J$23,J$235,-J$27,0)-J$27,0)))</f>
        <v/>
      </c>
      <c r="K347" s="279">
        <f>IF(K$1=0,"",IF($B347&lt;K$23,K346+PPMT(K$26/12,$B347,K$23,K$235,-K$27,0),IF($B347=K$23,K346+PPMT(K$26/12,$B347,K$23,K$235,-K$27,0)-K$27,0)))</f>
        <v/>
      </c>
      <c r="L347" s="279">
        <f>IF(L$1=0,"",IF($B347&lt;L$23,L346+PPMT(L$26/12,$B347,L$23,L$235,-L$27,0),IF($B347=L$23,L346+PPMT(L$26/12,$B347,L$23,L$235,-L$27,0)-L$27,0)))</f>
        <v/>
      </c>
      <c r="M347" s="279">
        <f>IF(M$1=0,"",IF($B347&lt;M$23,M346+PPMT(M$26/12,$B347,M$23,M$235,-M$27,0),IF($B347=M$23,M346+PPMT(M$26/12,$B347,M$23,M$235,-M$27,0)-M$27,0)))</f>
        <v/>
      </c>
      <c r="N347" s="280" t="n"/>
      <c r="O347" s="281" t="n"/>
    </row>
    <row r="348" hidden="1" outlineLevel="1">
      <c r="B348" s="2">
        <f>B347+1</f>
        <v/>
      </c>
      <c r="D348" s="279">
        <f>IF(B348&lt;$D$24,(+'CALCULETTE (2)'!G745/'CALCULETTE (2)'!$B$612),0)</f>
        <v/>
      </c>
      <c r="E348" s="279">
        <f>IF(E$1=0,"",IF($B348&lt;E$23,E347+PPMT(E$26/12,$B348,E$23,E$235,-E$27,0),IF($B348=E$23,E347+PPMT(E$26/12,$B348,E$23,E$235,-E$27,0)-E$27,0)))</f>
        <v/>
      </c>
      <c r="F348" s="279">
        <f>IF(F$1=0,"",IF($B348&lt;F$23,F347+PPMT(F$26/12,$B348,F$23,F$235,-F$27,0),IF($B348=F$23,F347+PPMT(F$26/12,$B348,F$23,F$235,-F$27,0)-F$27,0)))</f>
        <v/>
      </c>
      <c r="G348" s="279">
        <f>IF(G$1=0,"",IF($B348&lt;G$23,G347+PPMT(G$26/12,$B348,G$23,G$235,-G$27,0),IF($B348=G$23,G347+PPMT(G$26/12,$B348,G$23,G$235,-G$27,0)-G$27,0)))</f>
        <v/>
      </c>
      <c r="H348" s="279">
        <f>IF(H$1=0,"",IF($B348&lt;H$23,H347+PPMT(H$26/12,$B348,H$23,H$235,-H$27,0),IF($B348=H$23,H347+PPMT(H$26/12,$B348,H$23,H$235,-H$27,0)-H$27,0)))</f>
        <v/>
      </c>
      <c r="I348" s="279">
        <f>IF(I$1=0,"",IF($B348&lt;I$23,I347+PPMT(I$26/12,$B348,I$23,I$235,-I$27,0),IF($B348=I$23,I347+PPMT(I$26/12,$B348,I$23,I$235,-I$27,0)-I$27,0)))</f>
        <v/>
      </c>
      <c r="J348" s="279">
        <f>IF(J$1=0,"",IF($B348&lt;J$23,J347+PPMT(J$26/12,$B348,J$23,J$235,-J$27,0),IF($B348=J$23,J347+PPMT(J$26/12,$B348,J$23,J$235,-J$27,0)-J$27,0)))</f>
        <v/>
      </c>
      <c r="K348" s="279">
        <f>IF(K$1=0,"",IF($B348&lt;K$23,K347+PPMT(K$26/12,$B348,K$23,K$235,-K$27,0),IF($B348=K$23,K347+PPMT(K$26/12,$B348,K$23,K$235,-K$27,0)-K$27,0)))</f>
        <v/>
      </c>
      <c r="L348" s="279">
        <f>IF(L$1=0,"",IF($B348&lt;L$23,L347+PPMT(L$26/12,$B348,L$23,L$235,-L$27,0),IF($B348=L$23,L347+PPMT(L$26/12,$B348,L$23,L$235,-L$27,0)-L$27,0)))</f>
        <v/>
      </c>
      <c r="M348" s="279">
        <f>IF(M$1=0,"",IF($B348&lt;M$23,M347+PPMT(M$26/12,$B348,M$23,M$235,-M$27,0),IF($B348=M$23,M347+PPMT(M$26/12,$B348,M$23,M$235,-M$27,0)-M$27,0)))</f>
        <v/>
      </c>
      <c r="N348" s="280" t="n"/>
      <c r="O348" s="281" t="n"/>
    </row>
    <row r="349" hidden="1" outlineLevel="1">
      <c r="B349" s="2">
        <f>B348+1</f>
        <v/>
      </c>
      <c r="D349" s="279">
        <f>IF(B349&lt;$D$24,(+'CALCULETTE (2)'!G746/'CALCULETTE (2)'!$B$612),0)</f>
        <v/>
      </c>
      <c r="E349" s="279">
        <f>IF(E$1=0,"",IF($B349&lt;E$23,E348+PPMT(E$26/12,$B349,E$23,E$235,-E$27,0),IF($B349=E$23,E348+PPMT(E$26/12,$B349,E$23,E$235,-E$27,0)-E$27,0)))</f>
        <v/>
      </c>
      <c r="F349" s="279">
        <f>IF(F$1=0,"",IF($B349&lt;F$23,F348+PPMT(F$26/12,$B349,F$23,F$235,-F$27,0),IF($B349=F$23,F348+PPMT(F$26/12,$B349,F$23,F$235,-F$27,0)-F$27,0)))</f>
        <v/>
      </c>
      <c r="G349" s="279">
        <f>IF(G$1=0,"",IF($B349&lt;G$23,G348+PPMT(G$26/12,$B349,G$23,G$235,-G$27,0),IF($B349=G$23,G348+PPMT(G$26/12,$B349,G$23,G$235,-G$27,0)-G$27,0)))</f>
        <v/>
      </c>
      <c r="H349" s="279">
        <f>IF(H$1=0,"",IF($B349&lt;H$23,H348+PPMT(H$26/12,$B349,H$23,H$235,-H$27,0),IF($B349=H$23,H348+PPMT(H$26/12,$B349,H$23,H$235,-H$27,0)-H$27,0)))</f>
        <v/>
      </c>
      <c r="I349" s="279">
        <f>IF(I$1=0,"",IF($B349&lt;I$23,I348+PPMT(I$26/12,$B349,I$23,I$235,-I$27,0),IF($B349=I$23,I348+PPMT(I$26/12,$B349,I$23,I$235,-I$27,0)-I$27,0)))</f>
        <v/>
      </c>
      <c r="J349" s="279">
        <f>IF(J$1=0,"",IF($B349&lt;J$23,J348+PPMT(J$26/12,$B349,J$23,J$235,-J$27,0),IF($B349=J$23,J348+PPMT(J$26/12,$B349,J$23,J$235,-J$27,0)-J$27,0)))</f>
        <v/>
      </c>
      <c r="K349" s="279">
        <f>IF(K$1=0,"",IF($B349&lt;K$23,K348+PPMT(K$26/12,$B349,K$23,K$235,-K$27,0),IF($B349=K$23,K348+PPMT(K$26/12,$B349,K$23,K$235,-K$27,0)-K$27,0)))</f>
        <v/>
      </c>
      <c r="L349" s="279">
        <f>IF(L$1=0,"",IF($B349&lt;L$23,L348+PPMT(L$26/12,$B349,L$23,L$235,-L$27,0),IF($B349=L$23,L348+PPMT(L$26/12,$B349,L$23,L$235,-L$27,0)-L$27,0)))</f>
        <v/>
      </c>
      <c r="M349" s="279">
        <f>IF(M$1=0,"",IF($B349&lt;M$23,M348+PPMT(M$26/12,$B349,M$23,M$235,-M$27,0),IF($B349=M$23,M348+PPMT(M$26/12,$B349,M$23,M$235,-M$27,0)-M$27,0)))</f>
        <v/>
      </c>
      <c r="N349" s="280" t="n"/>
      <c r="O349" s="281" t="n"/>
    </row>
    <row r="350" hidden="1" outlineLevel="1">
      <c r="B350" s="2">
        <f>B349+1</f>
        <v/>
      </c>
      <c r="D350" s="279">
        <f>IF(B350&lt;$D$24,(+'CALCULETTE (2)'!G747/'CALCULETTE (2)'!$B$612),0)</f>
        <v/>
      </c>
      <c r="E350" s="279">
        <f>IF(E$1=0,"",IF($B350&lt;E$23,E349+PPMT(E$26/12,$B350,E$23,E$235,-E$27,0),IF($B350=E$23,E349+PPMT(E$26/12,$B350,E$23,E$235,-E$27,0)-E$27,0)))</f>
        <v/>
      </c>
      <c r="F350" s="279">
        <f>IF(F$1=0,"",IF($B350&lt;F$23,F349+PPMT(F$26/12,$B350,F$23,F$235,-F$27,0),IF($B350=F$23,F349+PPMT(F$26/12,$B350,F$23,F$235,-F$27,0)-F$27,0)))</f>
        <v/>
      </c>
      <c r="G350" s="279">
        <f>IF(G$1=0,"",IF($B350&lt;G$23,G349+PPMT(G$26/12,$B350,G$23,G$235,-G$27,0),IF($B350=G$23,G349+PPMT(G$26/12,$B350,G$23,G$235,-G$27,0)-G$27,0)))</f>
        <v/>
      </c>
      <c r="H350" s="279">
        <f>IF(H$1=0,"",IF($B350&lt;H$23,H349+PPMT(H$26/12,$B350,H$23,H$235,-H$27,0),IF($B350=H$23,H349+PPMT(H$26/12,$B350,H$23,H$235,-H$27,0)-H$27,0)))</f>
        <v/>
      </c>
      <c r="I350" s="279">
        <f>IF(I$1=0,"",IF($B350&lt;I$23,I349+PPMT(I$26/12,$B350,I$23,I$235,-I$27,0),IF($B350=I$23,I349+PPMT(I$26/12,$B350,I$23,I$235,-I$27,0)-I$27,0)))</f>
        <v/>
      </c>
      <c r="J350" s="279">
        <f>IF(J$1=0,"",IF($B350&lt;J$23,J349+PPMT(J$26/12,$B350,J$23,J$235,-J$27,0),IF($B350=J$23,J349+PPMT(J$26/12,$B350,J$23,J$235,-J$27,0)-J$27,0)))</f>
        <v/>
      </c>
      <c r="K350" s="279">
        <f>IF(K$1=0,"",IF($B350&lt;K$23,K349+PPMT(K$26/12,$B350,K$23,K$235,-K$27,0),IF($B350=K$23,K349+PPMT(K$26/12,$B350,K$23,K$235,-K$27,0)-K$27,0)))</f>
        <v/>
      </c>
      <c r="L350" s="279">
        <f>IF(L$1=0,"",IF($B350&lt;L$23,L349+PPMT(L$26/12,$B350,L$23,L$235,-L$27,0),IF($B350=L$23,L349+PPMT(L$26/12,$B350,L$23,L$235,-L$27,0)-L$27,0)))</f>
        <v/>
      </c>
      <c r="M350" s="279">
        <f>IF(M$1=0,"",IF($B350&lt;M$23,M349+PPMT(M$26/12,$B350,M$23,M$235,-M$27,0),IF($B350=M$23,M349+PPMT(M$26/12,$B350,M$23,M$235,-M$27,0)-M$27,0)))</f>
        <v/>
      </c>
      <c r="N350" s="280" t="n"/>
      <c r="O350" s="281" t="n"/>
    </row>
    <row r="351" hidden="1" outlineLevel="1">
      <c r="B351" s="2">
        <f>B350+1</f>
        <v/>
      </c>
      <c r="D351" s="279">
        <f>IF(B351&lt;$D$24,(+'CALCULETTE (2)'!G748/'CALCULETTE (2)'!$B$612),0)</f>
        <v/>
      </c>
      <c r="E351" s="279">
        <f>IF(E$1=0,"",IF($B351&lt;E$23,E350+PPMT(E$26/12,$B351,E$23,E$235,-E$27,0),IF($B351=E$23,E350+PPMT(E$26/12,$B351,E$23,E$235,-E$27,0)-E$27,0)))</f>
        <v/>
      </c>
      <c r="F351" s="279">
        <f>IF(F$1=0,"",IF($B351&lt;F$23,F350+PPMT(F$26/12,$B351,F$23,F$235,-F$27,0),IF($B351=F$23,F350+PPMT(F$26/12,$B351,F$23,F$235,-F$27,0)-F$27,0)))</f>
        <v/>
      </c>
      <c r="G351" s="279">
        <f>IF(G$1=0,"",IF($B351&lt;G$23,G350+PPMT(G$26/12,$B351,G$23,G$235,-G$27,0),IF($B351=G$23,G350+PPMT(G$26/12,$B351,G$23,G$235,-G$27,0)-G$27,0)))</f>
        <v/>
      </c>
      <c r="H351" s="279">
        <f>IF(H$1=0,"",IF($B351&lt;H$23,H350+PPMT(H$26/12,$B351,H$23,H$235,-H$27,0),IF($B351=H$23,H350+PPMT(H$26/12,$B351,H$23,H$235,-H$27,0)-H$27,0)))</f>
        <v/>
      </c>
      <c r="I351" s="279">
        <f>IF(I$1=0,"",IF($B351&lt;I$23,I350+PPMT(I$26/12,$B351,I$23,I$235,-I$27,0),IF($B351=I$23,I350+PPMT(I$26/12,$B351,I$23,I$235,-I$27,0)-I$27,0)))</f>
        <v/>
      </c>
      <c r="J351" s="279">
        <f>IF(J$1=0,"",IF($B351&lt;J$23,J350+PPMT(J$26/12,$B351,J$23,J$235,-J$27,0),IF($B351=J$23,J350+PPMT(J$26/12,$B351,J$23,J$235,-J$27,0)-J$27,0)))</f>
        <v/>
      </c>
      <c r="K351" s="279">
        <f>IF(K$1=0,"",IF($B351&lt;K$23,K350+PPMT(K$26/12,$B351,K$23,K$235,-K$27,0),IF($B351=K$23,K350+PPMT(K$26/12,$B351,K$23,K$235,-K$27,0)-K$27,0)))</f>
        <v/>
      </c>
      <c r="L351" s="279">
        <f>IF(L$1=0,"",IF($B351&lt;L$23,L350+PPMT(L$26/12,$B351,L$23,L$235,-L$27,0),IF($B351=L$23,L350+PPMT(L$26/12,$B351,L$23,L$235,-L$27,0)-L$27,0)))</f>
        <v/>
      </c>
      <c r="M351" s="279">
        <f>IF(M$1=0,"",IF($B351&lt;M$23,M350+PPMT(M$26/12,$B351,M$23,M$235,-M$27,0),IF($B351=M$23,M350+PPMT(M$26/12,$B351,M$23,M$235,-M$27,0)-M$27,0)))</f>
        <v/>
      </c>
      <c r="N351" s="280" t="n"/>
      <c r="O351" s="281" t="n"/>
    </row>
    <row r="352" hidden="1" outlineLevel="1">
      <c r="B352" s="2">
        <f>B351+1</f>
        <v/>
      </c>
      <c r="D352" s="279">
        <f>IF(B352&lt;$D$24,(+'CALCULETTE (2)'!G749/'CALCULETTE (2)'!$B$612),0)</f>
        <v/>
      </c>
      <c r="E352" s="279">
        <f>IF(E$1=0,"",IF($B352&lt;E$23,E351+PPMT(E$26/12,$B352,E$23,E$235,-E$27,0),IF($B352=E$23,E351+PPMT(E$26/12,$B352,E$23,E$235,-E$27,0)-E$27,0)))</f>
        <v/>
      </c>
      <c r="F352" s="279">
        <f>IF(F$1=0,"",IF($B352&lt;F$23,F351+PPMT(F$26/12,$B352,F$23,F$235,-F$27,0),IF($B352=F$23,F351+PPMT(F$26/12,$B352,F$23,F$235,-F$27,0)-F$27,0)))</f>
        <v/>
      </c>
      <c r="G352" s="279">
        <f>IF(G$1=0,"",IF($B352&lt;G$23,G351+PPMT(G$26/12,$B352,G$23,G$235,-G$27,0),IF($B352=G$23,G351+PPMT(G$26/12,$B352,G$23,G$235,-G$27,0)-G$27,0)))</f>
        <v/>
      </c>
      <c r="H352" s="279">
        <f>IF(H$1=0,"",IF($B352&lt;H$23,H351+PPMT(H$26/12,$B352,H$23,H$235,-H$27,0),IF($B352=H$23,H351+PPMT(H$26/12,$B352,H$23,H$235,-H$27,0)-H$27,0)))</f>
        <v/>
      </c>
      <c r="I352" s="279">
        <f>IF(I$1=0,"",IF($B352&lt;I$23,I351+PPMT(I$26/12,$B352,I$23,I$235,-I$27,0),IF($B352=I$23,I351+PPMT(I$26/12,$B352,I$23,I$235,-I$27,0)-I$27,0)))</f>
        <v/>
      </c>
      <c r="J352" s="279">
        <f>IF(J$1=0,"",IF($B352&lt;J$23,J351+PPMT(J$26/12,$B352,J$23,J$235,-J$27,0),IF($B352=J$23,J351+PPMT(J$26/12,$B352,J$23,J$235,-J$27,0)-J$27,0)))</f>
        <v/>
      </c>
      <c r="K352" s="279">
        <f>IF(K$1=0,"",IF($B352&lt;K$23,K351+PPMT(K$26/12,$B352,K$23,K$235,-K$27,0),IF($B352=K$23,K351+PPMT(K$26/12,$B352,K$23,K$235,-K$27,0)-K$27,0)))</f>
        <v/>
      </c>
      <c r="L352" s="279">
        <f>IF(L$1=0,"",IF($B352&lt;L$23,L351+PPMT(L$26/12,$B352,L$23,L$235,-L$27,0),IF($B352=L$23,L351+PPMT(L$26/12,$B352,L$23,L$235,-L$27,0)-L$27,0)))</f>
        <v/>
      </c>
      <c r="M352" s="279">
        <f>IF(M$1=0,"",IF($B352&lt;M$23,M351+PPMT(M$26/12,$B352,M$23,M$235,-M$27,0),IF($B352=M$23,M351+PPMT(M$26/12,$B352,M$23,M$235,-M$27,0)-M$27,0)))</f>
        <v/>
      </c>
      <c r="N352" s="280" t="n"/>
      <c r="O352" s="281" t="n"/>
    </row>
    <row r="353" hidden="1" outlineLevel="1">
      <c r="B353" s="2">
        <f>B352+1</f>
        <v/>
      </c>
      <c r="D353" s="279">
        <f>IF(B353&lt;$D$24,(+'CALCULETTE (2)'!G750/'CALCULETTE (2)'!$B$612),0)</f>
        <v/>
      </c>
      <c r="E353" s="279">
        <f>IF(E$1=0,"",IF($B353&lt;E$23,E352+PPMT(E$26/12,$B353,E$23,E$235,-E$27,0),IF($B353=E$23,E352+PPMT(E$26/12,$B353,E$23,E$235,-E$27,0)-E$27,0)))</f>
        <v/>
      </c>
      <c r="F353" s="279">
        <f>IF(F$1=0,"",IF($B353&lt;F$23,F352+PPMT(F$26/12,$B353,F$23,F$235,-F$27,0),IF($B353=F$23,F352+PPMT(F$26/12,$B353,F$23,F$235,-F$27,0)-F$27,0)))</f>
        <v/>
      </c>
      <c r="G353" s="279">
        <f>IF(G$1=0,"",IF($B353&lt;G$23,G352+PPMT(G$26/12,$B353,G$23,G$235,-G$27,0),IF($B353=G$23,G352+PPMT(G$26/12,$B353,G$23,G$235,-G$27,0)-G$27,0)))</f>
        <v/>
      </c>
      <c r="H353" s="279">
        <f>IF(H$1=0,"",IF($B353&lt;H$23,H352+PPMT(H$26/12,$B353,H$23,H$235,-H$27,0),IF($B353=H$23,H352+PPMT(H$26/12,$B353,H$23,H$235,-H$27,0)-H$27,0)))</f>
        <v/>
      </c>
      <c r="I353" s="279">
        <f>IF(I$1=0,"",IF($B353&lt;I$23,I352+PPMT(I$26/12,$B353,I$23,I$235,-I$27,0),IF($B353=I$23,I352+PPMT(I$26/12,$B353,I$23,I$235,-I$27,0)-I$27,0)))</f>
        <v/>
      </c>
      <c r="J353" s="279">
        <f>IF(J$1=0,"",IF($B353&lt;J$23,J352+PPMT(J$26/12,$B353,J$23,J$235,-J$27,0),IF($B353=J$23,J352+PPMT(J$26/12,$B353,J$23,J$235,-J$27,0)-J$27,0)))</f>
        <v/>
      </c>
      <c r="K353" s="279">
        <f>IF(K$1=0,"",IF($B353&lt;K$23,K352+PPMT(K$26/12,$B353,K$23,K$235,-K$27,0),IF($B353=K$23,K352+PPMT(K$26/12,$B353,K$23,K$235,-K$27,0)-K$27,0)))</f>
        <v/>
      </c>
      <c r="L353" s="279">
        <f>IF(L$1=0,"",IF($B353&lt;L$23,L352+PPMT(L$26/12,$B353,L$23,L$235,-L$27,0),IF($B353=L$23,L352+PPMT(L$26/12,$B353,L$23,L$235,-L$27,0)-L$27,0)))</f>
        <v/>
      </c>
      <c r="M353" s="279">
        <f>IF(M$1=0,"",IF($B353&lt;M$23,M352+PPMT(M$26/12,$B353,M$23,M$235,-M$27,0),IF($B353=M$23,M352+PPMT(M$26/12,$B353,M$23,M$235,-M$27,0)-M$27,0)))</f>
        <v/>
      </c>
      <c r="N353" s="280" t="n"/>
      <c r="O353" s="281" t="n"/>
    </row>
    <row r="354" hidden="1" outlineLevel="1">
      <c r="B354" s="2">
        <f>B353+1</f>
        <v/>
      </c>
      <c r="D354" s="279">
        <f>IF(B354&lt;$D$24,(+'CALCULETTE (2)'!G751/'CALCULETTE (2)'!$B$612),0)</f>
        <v/>
      </c>
      <c r="E354" s="279">
        <f>IF(E$1=0,"",IF($B354&lt;E$23,E353+PPMT(E$26/12,$B354,E$23,E$235,-E$27,0),IF($B354=E$23,E353+PPMT(E$26/12,$B354,E$23,E$235,-E$27,0)-E$27,0)))</f>
        <v/>
      </c>
      <c r="F354" s="279">
        <f>IF(F$1=0,"",IF($B354&lt;F$23,F353+PPMT(F$26/12,$B354,F$23,F$235,-F$27,0),IF($B354=F$23,F353+PPMT(F$26/12,$B354,F$23,F$235,-F$27,0)-F$27,0)))</f>
        <v/>
      </c>
      <c r="G354" s="279">
        <f>IF(G$1=0,"",IF($B354&lt;G$23,G353+PPMT(G$26/12,$B354,G$23,G$235,-G$27,0),IF($B354=G$23,G353+PPMT(G$26/12,$B354,G$23,G$235,-G$27,0)-G$27,0)))</f>
        <v/>
      </c>
      <c r="H354" s="279">
        <f>IF(H$1=0,"",IF($B354&lt;H$23,H353+PPMT(H$26/12,$B354,H$23,H$235,-H$27,0),IF($B354=H$23,H353+PPMT(H$26/12,$B354,H$23,H$235,-H$27,0)-H$27,0)))</f>
        <v/>
      </c>
      <c r="I354" s="279">
        <f>IF(I$1=0,"",IF($B354&lt;I$23,I353+PPMT(I$26/12,$B354,I$23,I$235,-I$27,0),IF($B354=I$23,I353+PPMT(I$26/12,$B354,I$23,I$235,-I$27,0)-I$27,0)))</f>
        <v/>
      </c>
      <c r="J354" s="279">
        <f>IF(J$1=0,"",IF($B354&lt;J$23,J353+PPMT(J$26/12,$B354,J$23,J$235,-J$27,0),IF($B354=J$23,J353+PPMT(J$26/12,$B354,J$23,J$235,-J$27,0)-J$27,0)))</f>
        <v/>
      </c>
      <c r="K354" s="279">
        <f>IF(K$1=0,"",IF($B354&lt;K$23,K353+PPMT(K$26/12,$B354,K$23,K$235,-K$27,0),IF($B354=K$23,K353+PPMT(K$26/12,$B354,K$23,K$235,-K$27,0)-K$27,0)))</f>
        <v/>
      </c>
      <c r="L354" s="279">
        <f>IF(L$1=0,"",IF($B354&lt;L$23,L353+PPMT(L$26/12,$B354,L$23,L$235,-L$27,0),IF($B354=L$23,L353+PPMT(L$26/12,$B354,L$23,L$235,-L$27,0)-L$27,0)))</f>
        <v/>
      </c>
      <c r="M354" s="279">
        <f>IF(M$1=0,"",IF($B354&lt;M$23,M353+PPMT(M$26/12,$B354,M$23,M$235,-M$27,0),IF($B354=M$23,M353+PPMT(M$26/12,$B354,M$23,M$235,-M$27,0)-M$27,0)))</f>
        <v/>
      </c>
      <c r="N354" s="280" t="n"/>
      <c r="O354" s="281" t="n"/>
    </row>
    <row r="355" hidden="1" outlineLevel="1">
      <c r="B355" s="2">
        <f>B354+1</f>
        <v/>
      </c>
      <c r="D355" s="279">
        <f>IF(B355&lt;$D$24,(+'CALCULETTE (2)'!G752/'CALCULETTE (2)'!$B$612),0)</f>
        <v/>
      </c>
      <c r="E355" s="279">
        <f>IF(E$1=0,"",IF($B355&lt;E$23,E354+PPMT(E$26/12,$B355,E$23,E$235,-E$27,0),IF($B355=E$23,E354+PPMT(E$26/12,$B355,E$23,E$235,-E$27,0)-E$27,0)))</f>
        <v/>
      </c>
      <c r="F355" s="279">
        <f>IF(F$1=0,"",IF($B355&lt;F$23,F354+PPMT(F$26/12,$B355,F$23,F$235,-F$27,0),IF($B355=F$23,F354+PPMT(F$26/12,$B355,F$23,F$235,-F$27,0)-F$27,0)))</f>
        <v/>
      </c>
      <c r="G355" s="279">
        <f>IF(G$1=0,"",IF($B355&lt;G$23,G354+PPMT(G$26/12,$B355,G$23,G$235,-G$27,0),IF($B355=G$23,G354+PPMT(G$26/12,$B355,G$23,G$235,-G$27,0)-G$27,0)))</f>
        <v/>
      </c>
      <c r="H355" s="279">
        <f>IF(H$1=0,"",IF($B355&lt;H$23,H354+PPMT(H$26/12,$B355,H$23,H$235,-H$27,0),IF($B355=H$23,H354+PPMT(H$26/12,$B355,H$23,H$235,-H$27,0)-H$27,0)))</f>
        <v/>
      </c>
      <c r="I355" s="279">
        <f>IF(I$1=0,"",IF($B355&lt;I$23,I354+PPMT(I$26/12,$B355,I$23,I$235,-I$27,0),IF($B355=I$23,I354+PPMT(I$26/12,$B355,I$23,I$235,-I$27,0)-I$27,0)))</f>
        <v/>
      </c>
      <c r="J355" s="279">
        <f>IF(J$1=0,"",IF($B355&lt;J$23,J354+PPMT(J$26/12,$B355,J$23,J$235,-J$27,0),IF($B355=J$23,J354+PPMT(J$26/12,$B355,J$23,J$235,-J$27,0)-J$27,0)))</f>
        <v/>
      </c>
      <c r="K355" s="279">
        <f>IF(K$1=0,"",IF($B355&lt;K$23,K354+PPMT(K$26/12,$B355,K$23,K$235,-K$27,0),IF($B355=K$23,K354+PPMT(K$26/12,$B355,K$23,K$235,-K$27,0)-K$27,0)))</f>
        <v/>
      </c>
      <c r="L355" s="279">
        <f>IF(L$1=0,"",IF($B355&lt;L$23,L354+PPMT(L$26/12,$B355,L$23,L$235,-L$27,0),IF($B355=L$23,L354+PPMT(L$26/12,$B355,L$23,L$235,-L$27,0)-L$27,0)))</f>
        <v/>
      </c>
      <c r="M355" s="279">
        <f>IF(M$1=0,"",IF($B355&lt;M$23,M354+PPMT(M$26/12,$B355,M$23,M$235,-M$27,0),IF($B355=M$23,M354+PPMT(M$26/12,$B355,M$23,M$235,-M$27,0)-M$27,0)))</f>
        <v/>
      </c>
      <c r="N355" s="280" t="n"/>
      <c r="O355" s="281" t="n"/>
    </row>
    <row r="356" hidden="1" outlineLevel="1">
      <c r="B356" s="2">
        <f>B355+1</f>
        <v/>
      </c>
      <c r="D356" s="279">
        <f>IF(B356&lt;$D$24,(+'CALCULETTE (2)'!G753/'CALCULETTE (2)'!$B$612),0)</f>
        <v/>
      </c>
      <c r="E356" s="279">
        <f>IF(E$1=0,"",IF($B356&lt;E$23,E355+PPMT(E$26/12,$B356,E$23,E$235,-E$27,0),IF($B356=E$23,E355+PPMT(E$26/12,$B356,E$23,E$235,-E$27,0)-E$27,0)))</f>
        <v/>
      </c>
      <c r="F356" s="279">
        <f>IF(F$1=0,"",IF($B356&lt;F$23,F355+PPMT(F$26/12,$B356,F$23,F$235,-F$27,0),IF($B356=F$23,F355+PPMT(F$26/12,$B356,F$23,F$235,-F$27,0)-F$27,0)))</f>
        <v/>
      </c>
      <c r="G356" s="279">
        <f>IF(G$1=0,"",IF($B356&lt;G$23,G355+PPMT(G$26/12,$B356,G$23,G$235,-G$27,0),IF($B356=G$23,G355+PPMT(G$26/12,$B356,G$23,G$235,-G$27,0)-G$27,0)))</f>
        <v/>
      </c>
      <c r="H356" s="279">
        <f>IF(H$1=0,"",IF($B356&lt;H$23,H355+PPMT(H$26/12,$B356,H$23,H$235,-H$27,0),IF($B356=H$23,H355+PPMT(H$26/12,$B356,H$23,H$235,-H$27,0)-H$27,0)))</f>
        <v/>
      </c>
      <c r="I356" s="279">
        <f>IF(I$1=0,"",IF($B356&lt;I$23,I355+PPMT(I$26/12,$B356,I$23,I$235,-I$27,0),IF($B356=I$23,I355+PPMT(I$26/12,$B356,I$23,I$235,-I$27,0)-I$27,0)))</f>
        <v/>
      </c>
      <c r="J356" s="279">
        <f>IF(J$1=0,"",IF($B356&lt;J$23,J355+PPMT(J$26/12,$B356,J$23,J$235,-J$27,0),IF($B356=J$23,J355+PPMT(J$26/12,$B356,J$23,J$235,-J$27,0)-J$27,0)))</f>
        <v/>
      </c>
      <c r="K356" s="279">
        <f>IF(K$1=0,"",IF($B356&lt;K$23,K355+PPMT(K$26/12,$B356,K$23,K$235,-K$27,0),IF($B356=K$23,K355+PPMT(K$26/12,$B356,K$23,K$235,-K$27,0)-K$27,0)))</f>
        <v/>
      </c>
      <c r="L356" s="279">
        <f>IF(L$1=0,"",IF($B356&lt;L$23,L355+PPMT(L$26/12,$B356,L$23,L$235,-L$27,0),IF($B356=L$23,L355+PPMT(L$26/12,$B356,L$23,L$235,-L$27,0)-L$27,0)))</f>
        <v/>
      </c>
      <c r="M356" s="279">
        <f>IF(M$1=0,"",IF($B356&lt;M$23,M355+PPMT(M$26/12,$B356,M$23,M$235,-M$27,0),IF($B356=M$23,M355+PPMT(M$26/12,$B356,M$23,M$235,-M$27,0)-M$27,0)))</f>
        <v/>
      </c>
      <c r="N356" s="280" t="n"/>
      <c r="O356" s="281" t="n"/>
    </row>
    <row r="357" hidden="1" outlineLevel="1">
      <c r="B357" s="2">
        <f>B356+1</f>
        <v/>
      </c>
      <c r="D357" s="279">
        <f>IF(B357&lt;$D$24,(+'CALCULETTE (2)'!G754/'CALCULETTE (2)'!$B$612),0)</f>
        <v/>
      </c>
      <c r="E357" s="279">
        <f>IF(E$1=0,"",IF($B357&lt;E$23,E356+PPMT(E$26/12,$B357,E$23,E$235,-E$27,0),IF($B357=E$23,E356+PPMT(E$26/12,$B357,E$23,E$235,-E$27,0)-E$27,0)))</f>
        <v/>
      </c>
      <c r="F357" s="279">
        <f>IF(F$1=0,"",IF($B357&lt;F$23,F356+PPMT(F$26/12,$B357,F$23,F$235,-F$27,0),IF($B357=F$23,F356+PPMT(F$26/12,$B357,F$23,F$235,-F$27,0)-F$27,0)))</f>
        <v/>
      </c>
      <c r="G357" s="279">
        <f>IF(G$1=0,"",IF($B357&lt;G$23,G356+PPMT(G$26/12,$B357,G$23,G$235,-G$27,0),IF($B357=G$23,G356+PPMT(G$26/12,$B357,G$23,G$235,-G$27,0)-G$27,0)))</f>
        <v/>
      </c>
      <c r="H357" s="279">
        <f>IF(H$1=0,"",IF($B357&lt;H$23,H356+PPMT(H$26/12,$B357,H$23,H$235,-H$27,0),IF($B357=H$23,H356+PPMT(H$26/12,$B357,H$23,H$235,-H$27,0)-H$27,0)))</f>
        <v/>
      </c>
      <c r="I357" s="279">
        <f>IF(I$1=0,"",IF($B357&lt;I$23,I356+PPMT(I$26/12,$B357,I$23,I$235,-I$27,0),IF($B357=I$23,I356+PPMT(I$26/12,$B357,I$23,I$235,-I$27,0)-I$27,0)))</f>
        <v/>
      </c>
      <c r="J357" s="279">
        <f>IF(J$1=0,"",IF($B357&lt;J$23,J356+PPMT(J$26/12,$B357,J$23,J$235,-J$27,0),IF($B357=J$23,J356+PPMT(J$26/12,$B357,J$23,J$235,-J$27,0)-J$27,0)))</f>
        <v/>
      </c>
      <c r="K357" s="279">
        <f>IF(K$1=0,"",IF($B357&lt;K$23,K356+PPMT(K$26/12,$B357,K$23,K$235,-K$27,0),IF($B357=K$23,K356+PPMT(K$26/12,$B357,K$23,K$235,-K$27,0)-K$27,0)))</f>
        <v/>
      </c>
      <c r="L357" s="279">
        <f>IF(L$1=0,"",IF($B357&lt;L$23,L356+PPMT(L$26/12,$B357,L$23,L$235,-L$27,0),IF($B357=L$23,L356+PPMT(L$26/12,$B357,L$23,L$235,-L$27,0)-L$27,0)))</f>
        <v/>
      </c>
      <c r="M357" s="279">
        <f>IF(M$1=0,"",IF($B357&lt;M$23,M356+PPMT(M$26/12,$B357,M$23,M$235,-M$27,0),IF($B357=M$23,M356+PPMT(M$26/12,$B357,M$23,M$235,-M$27,0)-M$27,0)))</f>
        <v/>
      </c>
      <c r="N357" s="280" t="n"/>
      <c r="O357" s="281" t="n"/>
    </row>
    <row r="358" hidden="1" outlineLevel="1">
      <c r="B358" s="2">
        <f>B357+1</f>
        <v/>
      </c>
      <c r="D358" s="279">
        <f>IF(B358&lt;$D$24,(+'CALCULETTE (2)'!G755/'CALCULETTE (2)'!$B$612),0)</f>
        <v/>
      </c>
      <c r="E358" s="279">
        <f>IF(E$1=0,"",IF($B358&lt;E$23,E357+PPMT(E$26/12,$B358,E$23,E$235,-E$27,0),IF($B358=E$23,E357+PPMT(E$26/12,$B358,E$23,E$235,-E$27,0)-E$27,0)))</f>
        <v/>
      </c>
      <c r="F358" s="279">
        <f>IF(F$1=0,"",IF($B358&lt;F$23,F357+PPMT(F$26/12,$B358,F$23,F$235,-F$27,0),IF($B358=F$23,F357+PPMT(F$26/12,$B358,F$23,F$235,-F$27,0)-F$27,0)))</f>
        <v/>
      </c>
      <c r="G358" s="279">
        <f>IF(G$1=0,"",IF($B358&lt;G$23,G357+PPMT(G$26/12,$B358,G$23,G$235,-G$27,0),IF($B358=G$23,G357+PPMT(G$26/12,$B358,G$23,G$235,-G$27,0)-G$27,0)))</f>
        <v/>
      </c>
      <c r="H358" s="279">
        <f>IF(H$1=0,"",IF($B358&lt;H$23,H357+PPMT(H$26/12,$B358,H$23,H$235,-H$27,0),IF($B358=H$23,H357+PPMT(H$26/12,$B358,H$23,H$235,-H$27,0)-H$27,0)))</f>
        <v/>
      </c>
      <c r="I358" s="279">
        <f>IF(I$1=0,"",IF($B358&lt;I$23,I357+PPMT(I$26/12,$B358,I$23,I$235,-I$27,0),IF($B358=I$23,I357+PPMT(I$26/12,$B358,I$23,I$235,-I$27,0)-I$27,0)))</f>
        <v/>
      </c>
      <c r="J358" s="279">
        <f>IF(J$1=0,"",IF($B358&lt;J$23,J357+PPMT(J$26/12,$B358,J$23,J$235,-J$27,0),IF($B358=J$23,J357+PPMT(J$26/12,$B358,J$23,J$235,-J$27,0)-J$27,0)))</f>
        <v/>
      </c>
      <c r="K358" s="279">
        <f>IF(K$1=0,"",IF($B358&lt;K$23,K357+PPMT(K$26/12,$B358,K$23,K$235,-K$27,0),IF($B358=K$23,K357+PPMT(K$26/12,$B358,K$23,K$235,-K$27,0)-K$27,0)))</f>
        <v/>
      </c>
      <c r="L358" s="279">
        <f>IF(L$1=0,"",IF($B358&lt;L$23,L357+PPMT(L$26/12,$B358,L$23,L$235,-L$27,0),IF($B358=L$23,L357+PPMT(L$26/12,$B358,L$23,L$235,-L$27,0)-L$27,0)))</f>
        <v/>
      </c>
      <c r="M358" s="279">
        <f>IF(M$1=0,"",IF($B358&lt;M$23,M357+PPMT(M$26/12,$B358,M$23,M$235,-M$27,0),IF($B358=M$23,M357+PPMT(M$26/12,$B358,M$23,M$235,-M$27,0)-M$27,0)))</f>
        <v/>
      </c>
      <c r="N358" s="280" t="n"/>
      <c r="O358" s="281" t="n"/>
    </row>
    <row r="359" hidden="1" outlineLevel="1">
      <c r="B359" s="2">
        <f>B358+1</f>
        <v/>
      </c>
      <c r="D359" s="279">
        <f>IF(B359&lt;$D$24,(+'CALCULETTE (2)'!G756/'CALCULETTE (2)'!$B$612),0)</f>
        <v/>
      </c>
      <c r="E359" s="279">
        <f>IF(E$1=0,"",IF($B359&lt;E$23,E358+PPMT(E$26/12,$B359,E$23,E$235,-E$27,0),IF($B359=E$23,E358+PPMT(E$26/12,$B359,E$23,E$235,-E$27,0)-E$27,0)))</f>
        <v/>
      </c>
      <c r="F359" s="279">
        <f>IF(F$1=0,"",IF($B359&lt;F$23,F358+PPMT(F$26/12,$B359,F$23,F$235,-F$27,0),IF($B359=F$23,F358+PPMT(F$26/12,$B359,F$23,F$235,-F$27,0)-F$27,0)))</f>
        <v/>
      </c>
      <c r="G359" s="279">
        <f>IF(G$1=0,"",IF($B359&lt;G$23,G358+PPMT(G$26/12,$B359,G$23,G$235,-G$27,0),IF($B359=G$23,G358+PPMT(G$26/12,$B359,G$23,G$235,-G$27,0)-G$27,0)))</f>
        <v/>
      </c>
      <c r="H359" s="279">
        <f>IF(H$1=0,"",IF($B359&lt;H$23,H358+PPMT(H$26/12,$B359,H$23,H$235,-H$27,0),IF($B359=H$23,H358+PPMT(H$26/12,$B359,H$23,H$235,-H$27,0)-H$27,0)))</f>
        <v/>
      </c>
      <c r="I359" s="279">
        <f>IF(I$1=0,"",IF($B359&lt;I$23,I358+PPMT(I$26/12,$B359,I$23,I$235,-I$27,0),IF($B359=I$23,I358+PPMT(I$26/12,$B359,I$23,I$235,-I$27,0)-I$27,0)))</f>
        <v/>
      </c>
      <c r="J359" s="279">
        <f>IF(J$1=0,"",IF($B359&lt;J$23,J358+PPMT(J$26/12,$B359,J$23,J$235,-J$27,0),IF($B359=J$23,J358+PPMT(J$26/12,$B359,J$23,J$235,-J$27,0)-J$27,0)))</f>
        <v/>
      </c>
      <c r="K359" s="279">
        <f>IF(K$1=0,"",IF($B359&lt;K$23,K358+PPMT(K$26/12,$B359,K$23,K$235,-K$27,0),IF($B359=K$23,K358+PPMT(K$26/12,$B359,K$23,K$235,-K$27,0)-K$27,0)))</f>
        <v/>
      </c>
      <c r="L359" s="279">
        <f>IF(L$1=0,"",IF($B359&lt;L$23,L358+PPMT(L$26/12,$B359,L$23,L$235,-L$27,0),IF($B359=L$23,L358+PPMT(L$26/12,$B359,L$23,L$235,-L$27,0)-L$27,0)))</f>
        <v/>
      </c>
      <c r="M359" s="279">
        <f>IF(M$1=0,"",IF($B359&lt;M$23,M358+PPMT(M$26/12,$B359,M$23,M$235,-M$27,0),IF($B359=M$23,M358+PPMT(M$26/12,$B359,M$23,M$235,-M$27,0)-M$27,0)))</f>
        <v/>
      </c>
      <c r="N359" s="280" t="n"/>
      <c r="O359" s="281" t="n"/>
    </row>
    <row r="360" hidden="1" outlineLevel="1">
      <c r="B360" s="2">
        <f>B359+1</f>
        <v/>
      </c>
      <c r="D360" s="279">
        <f>IF(B360&lt;$D$24,(+'CALCULETTE (2)'!G757/'CALCULETTE (2)'!$B$612),0)</f>
        <v/>
      </c>
      <c r="E360" s="279">
        <f>IF(E$1=0,"",IF($B360&lt;E$23,E359+PPMT(E$26/12,$B360,E$23,E$235,-E$27,0),IF($B360=E$23,E359+PPMT(E$26/12,$B360,E$23,E$235,-E$27,0)-E$27,0)))</f>
        <v/>
      </c>
      <c r="F360" s="279">
        <f>IF(F$1=0,"",IF($B360&lt;F$23,F359+PPMT(F$26/12,$B360,F$23,F$235,-F$27,0),IF($B360=F$23,F359+PPMT(F$26/12,$B360,F$23,F$235,-F$27,0)-F$27,0)))</f>
        <v/>
      </c>
      <c r="G360" s="279">
        <f>IF(G$1=0,"",IF($B360&lt;G$23,G359+PPMT(G$26/12,$B360,G$23,G$235,-G$27,0),IF($B360=G$23,G359+PPMT(G$26/12,$B360,G$23,G$235,-G$27,0)-G$27,0)))</f>
        <v/>
      </c>
      <c r="H360" s="279">
        <f>IF(H$1=0,"",IF($B360&lt;H$23,H359+PPMT(H$26/12,$B360,H$23,H$235,-H$27,0),IF($B360=H$23,H359+PPMT(H$26/12,$B360,H$23,H$235,-H$27,0)-H$27,0)))</f>
        <v/>
      </c>
      <c r="I360" s="279">
        <f>IF(I$1=0,"",IF($B360&lt;I$23,I359+PPMT(I$26/12,$B360,I$23,I$235,-I$27,0),IF($B360=I$23,I359+PPMT(I$26/12,$B360,I$23,I$235,-I$27,0)-I$27,0)))</f>
        <v/>
      </c>
      <c r="J360" s="279">
        <f>IF(J$1=0,"",IF($B360&lt;J$23,J359+PPMT(J$26/12,$B360,J$23,J$235,-J$27,0),IF($B360=J$23,J359+PPMT(J$26/12,$B360,J$23,J$235,-J$27,0)-J$27,0)))</f>
        <v/>
      </c>
      <c r="K360" s="279">
        <f>IF(K$1=0,"",IF($B360&lt;K$23,K359+PPMT(K$26/12,$B360,K$23,K$235,-K$27,0),IF($B360=K$23,K359+PPMT(K$26/12,$B360,K$23,K$235,-K$27,0)-K$27,0)))</f>
        <v/>
      </c>
      <c r="L360" s="279">
        <f>IF(L$1=0,"",IF($B360&lt;L$23,L359+PPMT(L$26/12,$B360,L$23,L$235,-L$27,0),IF($B360=L$23,L359+PPMT(L$26/12,$B360,L$23,L$235,-L$27,0)-L$27,0)))</f>
        <v/>
      </c>
      <c r="M360" s="279">
        <f>IF(M$1=0,"",IF($B360&lt;M$23,M359+PPMT(M$26/12,$B360,M$23,M$235,-M$27,0),IF($B360=M$23,M359+PPMT(M$26/12,$B360,M$23,M$235,-M$27,0)-M$27,0)))</f>
        <v/>
      </c>
      <c r="N360" s="280" t="n"/>
      <c r="O360" s="281" t="n"/>
    </row>
    <row r="361" hidden="1" outlineLevel="1">
      <c r="B361" s="2">
        <f>B360+1</f>
        <v/>
      </c>
      <c r="D361" s="279">
        <f>IF(B361&lt;$D$24,(+'CALCULETTE (2)'!G758/'CALCULETTE (2)'!$B$612),0)</f>
        <v/>
      </c>
      <c r="E361" s="279">
        <f>IF(E$1=0,"",IF($B361&lt;E$23,E360+PPMT(E$26/12,$B361,E$23,E$235,-E$27,0),IF($B361=E$23,E360+PPMT(E$26/12,$B361,E$23,E$235,-E$27,0)-E$27,0)))</f>
        <v/>
      </c>
      <c r="F361" s="279">
        <f>IF(F$1=0,"",IF($B361&lt;F$23,F360+PPMT(F$26/12,$B361,F$23,F$235,-F$27,0),IF($B361=F$23,F360+PPMT(F$26/12,$B361,F$23,F$235,-F$27,0)-F$27,0)))</f>
        <v/>
      </c>
      <c r="G361" s="279">
        <f>IF(G$1=0,"",IF($B361&lt;G$23,G360+PPMT(G$26/12,$B361,G$23,G$235,-G$27,0),IF($B361=G$23,G360+PPMT(G$26/12,$B361,G$23,G$235,-G$27,0)-G$27,0)))</f>
        <v/>
      </c>
      <c r="H361" s="279">
        <f>IF(H$1=0,"",IF($B361&lt;H$23,H360+PPMT(H$26/12,$B361,H$23,H$235,-H$27,0),IF($B361=H$23,H360+PPMT(H$26/12,$B361,H$23,H$235,-H$27,0)-H$27,0)))</f>
        <v/>
      </c>
      <c r="I361" s="279">
        <f>IF(I$1=0,"",IF($B361&lt;I$23,I360+PPMT(I$26/12,$B361,I$23,I$235,-I$27,0),IF($B361=I$23,I360+PPMT(I$26/12,$B361,I$23,I$235,-I$27,0)-I$27,0)))</f>
        <v/>
      </c>
      <c r="J361" s="279">
        <f>IF(J$1=0,"",IF($B361&lt;J$23,J360+PPMT(J$26/12,$B361,J$23,J$235,-J$27,0),IF($B361=J$23,J360+PPMT(J$26/12,$B361,J$23,J$235,-J$27,0)-J$27,0)))</f>
        <v/>
      </c>
      <c r="K361" s="279">
        <f>IF(K$1=0,"",IF($B361&lt;K$23,K360+PPMT(K$26/12,$B361,K$23,K$235,-K$27,0),IF($B361=K$23,K360+PPMT(K$26/12,$B361,K$23,K$235,-K$27,0)-K$27,0)))</f>
        <v/>
      </c>
      <c r="L361" s="279">
        <f>IF(L$1=0,"",IF($B361&lt;L$23,L360+PPMT(L$26/12,$B361,L$23,L$235,-L$27,0),IF($B361=L$23,L360+PPMT(L$26/12,$B361,L$23,L$235,-L$27,0)-L$27,0)))</f>
        <v/>
      </c>
      <c r="M361" s="279">
        <f>IF(M$1=0,"",IF($B361&lt;M$23,M360+PPMT(M$26/12,$B361,M$23,M$235,-M$27,0),IF($B361=M$23,M360+PPMT(M$26/12,$B361,M$23,M$235,-M$27,0)-M$27,0)))</f>
        <v/>
      </c>
      <c r="N361" s="280" t="n"/>
      <c r="O361" s="281" t="n"/>
    </row>
    <row r="362" hidden="1" outlineLevel="1">
      <c r="B362" s="2">
        <f>B361+1</f>
        <v/>
      </c>
      <c r="D362" s="279">
        <f>IF(B362&lt;$D$24,(+'CALCULETTE (2)'!G759/'CALCULETTE (2)'!$B$612),0)</f>
        <v/>
      </c>
      <c r="E362" s="279">
        <f>IF(E$1=0,"",IF($B362&lt;E$23,E361+PPMT(E$26/12,$B362,E$23,E$235,-E$27,0),IF($B362=E$23,E361+PPMT(E$26/12,$B362,E$23,E$235,-E$27,0)-E$27,0)))</f>
        <v/>
      </c>
      <c r="F362" s="279">
        <f>IF(F$1=0,"",IF($B362&lt;F$23,F361+PPMT(F$26/12,$B362,F$23,F$235,-F$27,0),IF($B362=F$23,F361+PPMT(F$26/12,$B362,F$23,F$235,-F$27,0)-F$27,0)))</f>
        <v/>
      </c>
      <c r="G362" s="279">
        <f>IF(G$1=0,"",IF($B362&lt;G$23,G361+PPMT(G$26/12,$B362,G$23,G$235,-G$27,0),IF($B362=G$23,G361+PPMT(G$26/12,$B362,G$23,G$235,-G$27,0)-G$27,0)))</f>
        <v/>
      </c>
      <c r="H362" s="279">
        <f>IF(H$1=0,"",IF($B362&lt;H$23,H361+PPMT(H$26/12,$B362,H$23,H$235,-H$27,0),IF($B362=H$23,H361+PPMT(H$26/12,$B362,H$23,H$235,-H$27,0)-H$27,0)))</f>
        <v/>
      </c>
      <c r="I362" s="279">
        <f>IF(I$1=0,"",IF($B362&lt;I$23,I361+PPMT(I$26/12,$B362,I$23,I$235,-I$27,0),IF($B362=I$23,I361+PPMT(I$26/12,$B362,I$23,I$235,-I$27,0)-I$27,0)))</f>
        <v/>
      </c>
      <c r="J362" s="279">
        <f>IF(J$1=0,"",IF($B362&lt;J$23,J361+PPMT(J$26/12,$B362,J$23,J$235,-J$27,0),IF($B362=J$23,J361+PPMT(J$26/12,$B362,J$23,J$235,-J$27,0)-J$27,0)))</f>
        <v/>
      </c>
      <c r="K362" s="279">
        <f>IF(K$1=0,"",IF($B362&lt;K$23,K361+PPMT(K$26/12,$B362,K$23,K$235,-K$27,0),IF($B362=K$23,K361+PPMT(K$26/12,$B362,K$23,K$235,-K$27,0)-K$27,0)))</f>
        <v/>
      </c>
      <c r="L362" s="279">
        <f>IF(L$1=0,"",IF($B362&lt;L$23,L361+PPMT(L$26/12,$B362,L$23,L$235,-L$27,0),IF($B362=L$23,L361+PPMT(L$26/12,$B362,L$23,L$235,-L$27,0)-L$27,0)))</f>
        <v/>
      </c>
      <c r="M362" s="279">
        <f>IF(M$1=0,"",IF($B362&lt;M$23,M361+PPMT(M$26/12,$B362,M$23,M$235,-M$27,0),IF($B362=M$23,M361+PPMT(M$26/12,$B362,M$23,M$235,-M$27,0)-M$27,0)))</f>
        <v/>
      </c>
      <c r="N362" s="280" t="n"/>
      <c r="O362" s="281" t="n"/>
    </row>
    <row r="363" hidden="1" outlineLevel="1">
      <c r="B363" s="2">
        <f>B362+1</f>
        <v/>
      </c>
      <c r="D363" s="279">
        <f>IF(B363&lt;$D$24,(+'CALCULETTE (2)'!G760/'CALCULETTE (2)'!$B$612),0)</f>
        <v/>
      </c>
      <c r="E363" s="279">
        <f>IF(E$1=0,"",IF($B363&lt;E$23,E362+PPMT(E$26/12,$B363,E$23,E$235,-E$27,0),IF($B363=E$23,E362+PPMT(E$26/12,$B363,E$23,E$235,-E$27,0)-E$27,0)))</f>
        <v/>
      </c>
      <c r="F363" s="279">
        <f>IF(F$1=0,"",IF($B363&lt;F$23,F362+PPMT(F$26/12,$B363,F$23,F$235,-F$27,0),IF($B363=F$23,F362+PPMT(F$26/12,$B363,F$23,F$235,-F$27,0)-F$27,0)))</f>
        <v/>
      </c>
      <c r="G363" s="279">
        <f>IF(G$1=0,"",IF($B363&lt;G$23,G362+PPMT(G$26/12,$B363,G$23,G$235,-G$27,0),IF($B363=G$23,G362+PPMT(G$26/12,$B363,G$23,G$235,-G$27,0)-G$27,0)))</f>
        <v/>
      </c>
      <c r="H363" s="279">
        <f>IF(H$1=0,"",IF($B363&lt;H$23,H362+PPMT(H$26/12,$B363,H$23,H$235,-H$27,0),IF($B363=H$23,H362+PPMT(H$26/12,$B363,H$23,H$235,-H$27,0)-H$27,0)))</f>
        <v/>
      </c>
      <c r="I363" s="279">
        <f>IF(I$1=0,"",IF($B363&lt;I$23,I362+PPMT(I$26/12,$B363,I$23,I$235,-I$27,0),IF($B363=I$23,I362+PPMT(I$26/12,$B363,I$23,I$235,-I$27,0)-I$27,0)))</f>
        <v/>
      </c>
      <c r="J363" s="279">
        <f>IF(J$1=0,"",IF($B363&lt;J$23,J362+PPMT(J$26/12,$B363,J$23,J$235,-J$27,0),IF($B363=J$23,J362+PPMT(J$26/12,$B363,J$23,J$235,-J$27,0)-J$27,0)))</f>
        <v/>
      </c>
      <c r="K363" s="279">
        <f>IF(K$1=0,"",IF($B363&lt;K$23,K362+PPMT(K$26/12,$B363,K$23,K$235,-K$27,0),IF($B363=K$23,K362+PPMT(K$26/12,$B363,K$23,K$235,-K$27,0)-K$27,0)))</f>
        <v/>
      </c>
      <c r="L363" s="279">
        <f>IF(L$1=0,"",IF($B363&lt;L$23,L362+PPMT(L$26/12,$B363,L$23,L$235,-L$27,0),IF($B363=L$23,L362+PPMT(L$26/12,$B363,L$23,L$235,-L$27,0)-L$27,0)))</f>
        <v/>
      </c>
      <c r="M363" s="279">
        <f>IF(M$1=0,"",IF($B363&lt;M$23,M362+PPMT(M$26/12,$B363,M$23,M$235,-M$27,0),IF($B363=M$23,M362+PPMT(M$26/12,$B363,M$23,M$235,-M$27,0)-M$27,0)))</f>
        <v/>
      </c>
      <c r="N363" s="280" t="n"/>
      <c r="O363" s="281" t="n"/>
    </row>
    <row r="364" hidden="1" outlineLevel="1">
      <c r="B364" s="2">
        <f>B363+1</f>
        <v/>
      </c>
      <c r="D364" s="279">
        <f>IF(B364&lt;$D$24,(+'CALCULETTE (2)'!G761/'CALCULETTE (2)'!$B$612),0)</f>
        <v/>
      </c>
      <c r="E364" s="279">
        <f>IF(E$1=0,"",IF($B364&lt;E$23,E363+PPMT(E$26/12,$B364,E$23,E$235,-E$27,0),IF($B364=E$23,E363+PPMT(E$26/12,$B364,E$23,E$235,-E$27,0)-E$27,0)))</f>
        <v/>
      </c>
      <c r="F364" s="279">
        <f>IF(F$1=0,"",IF($B364&lt;F$23,F363+PPMT(F$26/12,$B364,F$23,F$235,-F$27,0),IF($B364=F$23,F363+PPMT(F$26/12,$B364,F$23,F$235,-F$27,0)-F$27,0)))</f>
        <v/>
      </c>
      <c r="G364" s="279">
        <f>IF(G$1=0,"",IF($B364&lt;G$23,G363+PPMT(G$26/12,$B364,G$23,G$235,-G$27,0),IF($B364=G$23,G363+PPMT(G$26/12,$B364,G$23,G$235,-G$27,0)-G$27,0)))</f>
        <v/>
      </c>
      <c r="H364" s="279">
        <f>IF(H$1=0,"",IF($B364&lt;H$23,H363+PPMT(H$26/12,$B364,H$23,H$235,-H$27,0),IF($B364=H$23,H363+PPMT(H$26/12,$B364,H$23,H$235,-H$27,0)-H$27,0)))</f>
        <v/>
      </c>
      <c r="I364" s="279">
        <f>IF(I$1=0,"",IF($B364&lt;I$23,I363+PPMT(I$26/12,$B364,I$23,I$235,-I$27,0),IF($B364=I$23,I363+PPMT(I$26/12,$B364,I$23,I$235,-I$27,0)-I$27,0)))</f>
        <v/>
      </c>
      <c r="J364" s="279">
        <f>IF(J$1=0,"",IF($B364&lt;J$23,J363+PPMT(J$26/12,$B364,J$23,J$235,-J$27,0),IF($B364=J$23,J363+PPMT(J$26/12,$B364,J$23,J$235,-J$27,0)-J$27,0)))</f>
        <v/>
      </c>
      <c r="K364" s="279">
        <f>IF(K$1=0,"",IF($B364&lt;K$23,K363+PPMT(K$26/12,$B364,K$23,K$235,-K$27,0),IF($B364=K$23,K363+PPMT(K$26/12,$B364,K$23,K$235,-K$27,0)-K$27,0)))</f>
        <v/>
      </c>
      <c r="L364" s="279">
        <f>IF(L$1=0,"",IF($B364&lt;L$23,L363+PPMT(L$26/12,$B364,L$23,L$235,-L$27,0),IF($B364=L$23,L363+PPMT(L$26/12,$B364,L$23,L$235,-L$27,0)-L$27,0)))</f>
        <v/>
      </c>
      <c r="M364" s="279">
        <f>IF(M$1=0,"",IF($B364&lt;M$23,M363+PPMT(M$26/12,$B364,M$23,M$235,-M$27,0),IF($B364=M$23,M363+PPMT(M$26/12,$B364,M$23,M$235,-M$27,0)-M$27,0)))</f>
        <v/>
      </c>
      <c r="N364" s="280" t="n"/>
      <c r="O364" s="281" t="n"/>
    </row>
    <row r="365" hidden="1" outlineLevel="1">
      <c r="B365" s="2">
        <f>B364+1</f>
        <v/>
      </c>
      <c r="D365" s="279">
        <f>IF(B365&lt;$D$24,(+'CALCULETTE (2)'!G762/'CALCULETTE (2)'!$B$612),0)</f>
        <v/>
      </c>
      <c r="E365" s="279">
        <f>IF(E$1=0,"",IF($B365&lt;E$23,E364+PPMT(E$26/12,$B365,E$23,E$235,-E$27,0),IF($B365=E$23,E364+PPMT(E$26/12,$B365,E$23,E$235,-E$27,0)-E$27,0)))</f>
        <v/>
      </c>
      <c r="F365" s="279">
        <f>IF(F$1=0,"",IF($B365&lt;F$23,F364+PPMT(F$26/12,$B365,F$23,F$235,-F$27,0),IF($B365=F$23,F364+PPMT(F$26/12,$B365,F$23,F$235,-F$27,0)-F$27,0)))</f>
        <v/>
      </c>
      <c r="G365" s="279">
        <f>IF(G$1=0,"",IF($B365&lt;G$23,G364+PPMT(G$26/12,$B365,G$23,G$235,-G$27,0),IF($B365=G$23,G364+PPMT(G$26/12,$B365,G$23,G$235,-G$27,0)-G$27,0)))</f>
        <v/>
      </c>
      <c r="H365" s="279">
        <f>IF(H$1=0,"",IF($B365&lt;H$23,H364+PPMT(H$26/12,$B365,H$23,H$235,-H$27,0),IF($B365=H$23,H364+PPMT(H$26/12,$B365,H$23,H$235,-H$27,0)-H$27,0)))</f>
        <v/>
      </c>
      <c r="I365" s="279">
        <f>IF(I$1=0,"",IF($B365&lt;I$23,I364+PPMT(I$26/12,$B365,I$23,I$235,-I$27,0),IF($B365=I$23,I364+PPMT(I$26/12,$B365,I$23,I$235,-I$27,0)-I$27,0)))</f>
        <v/>
      </c>
      <c r="J365" s="279">
        <f>IF(J$1=0,"",IF($B365&lt;J$23,J364+PPMT(J$26/12,$B365,J$23,J$235,-J$27,0),IF($B365=J$23,J364+PPMT(J$26/12,$B365,J$23,J$235,-J$27,0)-J$27,0)))</f>
        <v/>
      </c>
      <c r="K365" s="279">
        <f>IF(K$1=0,"",IF($B365&lt;K$23,K364+PPMT(K$26/12,$B365,K$23,K$235,-K$27,0),IF($B365=K$23,K364+PPMT(K$26/12,$B365,K$23,K$235,-K$27,0)-K$27,0)))</f>
        <v/>
      </c>
      <c r="L365" s="279">
        <f>IF(L$1=0,"",IF($B365&lt;L$23,L364+PPMT(L$26/12,$B365,L$23,L$235,-L$27,0),IF($B365=L$23,L364+PPMT(L$26/12,$B365,L$23,L$235,-L$27,0)-L$27,0)))</f>
        <v/>
      </c>
      <c r="M365" s="279">
        <f>IF(M$1=0,"",IF($B365&lt;M$23,M364+PPMT(M$26/12,$B365,M$23,M$235,-M$27,0),IF($B365=M$23,M364+PPMT(M$26/12,$B365,M$23,M$235,-M$27,0)-M$27,0)))</f>
        <v/>
      </c>
      <c r="N365" s="280" t="n"/>
      <c r="O365" s="281" t="n"/>
    </row>
    <row r="366" hidden="1" outlineLevel="1">
      <c r="B366" s="2">
        <f>B365+1</f>
        <v/>
      </c>
      <c r="D366" s="279">
        <f>IF(B366&lt;$D$24,(+'CALCULETTE (2)'!G763/'CALCULETTE (2)'!$B$612),0)</f>
        <v/>
      </c>
      <c r="E366" s="279">
        <f>IF(E$1=0,"",IF($B366&lt;E$23,E365+PPMT(E$26/12,$B366,E$23,E$235,-E$27,0),IF($B366=E$23,E365+PPMT(E$26/12,$B366,E$23,E$235,-E$27,0)-E$27,0)))</f>
        <v/>
      </c>
      <c r="F366" s="279">
        <f>IF(F$1=0,"",IF($B366&lt;F$23,F365+PPMT(F$26/12,$B366,F$23,F$235,-F$27,0),IF($B366=F$23,F365+PPMT(F$26/12,$B366,F$23,F$235,-F$27,0)-F$27,0)))</f>
        <v/>
      </c>
      <c r="G366" s="279">
        <f>IF(G$1=0,"",IF($B366&lt;G$23,G365+PPMT(G$26/12,$B366,G$23,G$235,-G$27,0),IF($B366=G$23,G365+PPMT(G$26/12,$B366,G$23,G$235,-G$27,0)-G$27,0)))</f>
        <v/>
      </c>
      <c r="H366" s="279">
        <f>IF(H$1=0,"",IF($B366&lt;H$23,H365+PPMT(H$26/12,$B366,H$23,H$235,-H$27,0),IF($B366=H$23,H365+PPMT(H$26/12,$B366,H$23,H$235,-H$27,0)-H$27,0)))</f>
        <v/>
      </c>
      <c r="I366" s="279">
        <f>IF(I$1=0,"",IF($B366&lt;I$23,I365+PPMT(I$26/12,$B366,I$23,I$235,-I$27,0),IF($B366=I$23,I365+PPMT(I$26/12,$B366,I$23,I$235,-I$27,0)-I$27,0)))</f>
        <v/>
      </c>
      <c r="J366" s="279">
        <f>IF(J$1=0,"",IF($B366&lt;J$23,J365+PPMT(J$26/12,$B366,J$23,J$235,-J$27,0),IF($B366=J$23,J365+PPMT(J$26/12,$B366,J$23,J$235,-J$27,0)-J$27,0)))</f>
        <v/>
      </c>
      <c r="K366" s="279">
        <f>IF(K$1=0,"",IF($B366&lt;K$23,K365+PPMT(K$26/12,$B366,K$23,K$235,-K$27,0),IF($B366=K$23,K365+PPMT(K$26/12,$B366,K$23,K$235,-K$27,0)-K$27,0)))</f>
        <v/>
      </c>
      <c r="L366" s="279">
        <f>IF(L$1=0,"",IF($B366&lt;L$23,L365+PPMT(L$26/12,$B366,L$23,L$235,-L$27,0),IF($B366=L$23,L365+PPMT(L$26/12,$B366,L$23,L$235,-L$27,0)-L$27,0)))</f>
        <v/>
      </c>
      <c r="M366" s="279">
        <f>IF(M$1=0,"",IF($B366&lt;M$23,M365+PPMT(M$26/12,$B366,M$23,M$235,-M$27,0),IF($B366=M$23,M365+PPMT(M$26/12,$B366,M$23,M$235,-M$27,0)-M$27,0)))</f>
        <v/>
      </c>
      <c r="N366" s="280" t="n"/>
      <c r="O366" s="281" t="n"/>
    </row>
    <row r="367" hidden="1" outlineLevel="1">
      <c r="B367" s="2">
        <f>B366+1</f>
        <v/>
      </c>
      <c r="D367" s="279">
        <f>IF(B367&lt;$D$24,(+'CALCULETTE (2)'!G764/'CALCULETTE (2)'!$B$612),0)</f>
        <v/>
      </c>
      <c r="E367" s="279">
        <f>IF(E$1=0,"",IF($B367&lt;E$23,E366+PPMT(E$26/12,$B367,E$23,E$235,-E$27,0),IF($B367=E$23,E366+PPMT(E$26/12,$B367,E$23,E$235,-E$27,0)-E$27,0)))</f>
        <v/>
      </c>
      <c r="F367" s="279">
        <f>IF(F$1=0,"",IF($B367&lt;F$23,F366+PPMT(F$26/12,$B367,F$23,F$235,-F$27,0),IF($B367=F$23,F366+PPMT(F$26/12,$B367,F$23,F$235,-F$27,0)-F$27,0)))</f>
        <v/>
      </c>
      <c r="G367" s="279">
        <f>IF(G$1=0,"",IF($B367&lt;G$23,G366+PPMT(G$26/12,$B367,G$23,G$235,-G$27,0),IF($B367=G$23,G366+PPMT(G$26/12,$B367,G$23,G$235,-G$27,0)-G$27,0)))</f>
        <v/>
      </c>
      <c r="H367" s="279">
        <f>IF(H$1=0,"",IF($B367&lt;H$23,H366+PPMT(H$26/12,$B367,H$23,H$235,-H$27,0),IF($B367=H$23,H366+PPMT(H$26/12,$B367,H$23,H$235,-H$27,0)-H$27,0)))</f>
        <v/>
      </c>
      <c r="I367" s="279">
        <f>IF(I$1=0,"",IF($B367&lt;I$23,I366+PPMT(I$26/12,$B367,I$23,I$235,-I$27,0),IF($B367=I$23,I366+PPMT(I$26/12,$B367,I$23,I$235,-I$27,0)-I$27,0)))</f>
        <v/>
      </c>
      <c r="J367" s="279">
        <f>IF(J$1=0,"",IF($B367&lt;J$23,J366+PPMT(J$26/12,$B367,J$23,J$235,-J$27,0),IF($B367=J$23,J366+PPMT(J$26/12,$B367,J$23,J$235,-J$27,0)-J$27,0)))</f>
        <v/>
      </c>
      <c r="K367" s="279">
        <f>IF(K$1=0,"",IF($B367&lt;K$23,K366+PPMT(K$26/12,$B367,K$23,K$235,-K$27,0),IF($B367=K$23,K366+PPMT(K$26/12,$B367,K$23,K$235,-K$27,0)-K$27,0)))</f>
        <v/>
      </c>
      <c r="L367" s="279">
        <f>IF(L$1=0,"",IF($B367&lt;L$23,L366+PPMT(L$26/12,$B367,L$23,L$235,-L$27,0),IF($B367=L$23,L366+PPMT(L$26/12,$B367,L$23,L$235,-L$27,0)-L$27,0)))</f>
        <v/>
      </c>
      <c r="M367" s="279">
        <f>IF(M$1=0,"",IF($B367&lt;M$23,M366+PPMT(M$26/12,$B367,M$23,M$235,-M$27,0),IF($B367=M$23,M366+PPMT(M$26/12,$B367,M$23,M$235,-M$27,0)-M$27,0)))</f>
        <v/>
      </c>
      <c r="N367" s="280" t="n"/>
      <c r="O367" s="281" t="n"/>
    </row>
    <row r="368" hidden="1" outlineLevel="1">
      <c r="B368" s="2">
        <f>B367+1</f>
        <v/>
      </c>
      <c r="D368" s="279">
        <f>IF(B368&lt;$D$24,(+'CALCULETTE (2)'!G765/'CALCULETTE (2)'!$B$612),0)</f>
        <v/>
      </c>
      <c r="E368" s="279">
        <f>IF(E$1=0,"",IF($B368&lt;E$23,E367+PPMT(E$26/12,$B368,E$23,E$235,-E$27,0),IF($B368=E$23,E367+PPMT(E$26/12,$B368,E$23,E$235,-E$27,0)-E$27,0)))</f>
        <v/>
      </c>
      <c r="F368" s="279">
        <f>IF(F$1=0,"",IF($B368&lt;F$23,F367+PPMT(F$26/12,$B368,F$23,F$235,-F$27,0),IF($B368=F$23,F367+PPMT(F$26/12,$B368,F$23,F$235,-F$27,0)-F$27,0)))</f>
        <v/>
      </c>
      <c r="G368" s="279">
        <f>IF(G$1=0,"",IF($B368&lt;G$23,G367+PPMT(G$26/12,$B368,G$23,G$235,-G$27,0),IF($B368=G$23,G367+PPMT(G$26/12,$B368,G$23,G$235,-G$27,0)-G$27,0)))</f>
        <v/>
      </c>
      <c r="H368" s="279">
        <f>IF(H$1=0,"",IF($B368&lt;H$23,H367+PPMT(H$26/12,$B368,H$23,H$235,-H$27,0),IF($B368=H$23,H367+PPMT(H$26/12,$B368,H$23,H$235,-H$27,0)-H$27,0)))</f>
        <v/>
      </c>
      <c r="I368" s="279">
        <f>IF(I$1=0,"",IF($B368&lt;I$23,I367+PPMT(I$26/12,$B368,I$23,I$235,-I$27,0),IF($B368=I$23,I367+PPMT(I$26/12,$B368,I$23,I$235,-I$27,0)-I$27,0)))</f>
        <v/>
      </c>
      <c r="J368" s="279">
        <f>IF(J$1=0,"",IF($B368&lt;J$23,J367+PPMT(J$26/12,$B368,J$23,J$235,-J$27,0),IF($B368=J$23,J367+PPMT(J$26/12,$B368,J$23,J$235,-J$27,0)-J$27,0)))</f>
        <v/>
      </c>
      <c r="K368" s="279">
        <f>IF(K$1=0,"",IF($B368&lt;K$23,K367+PPMT(K$26/12,$B368,K$23,K$235,-K$27,0),IF($B368=K$23,K367+PPMT(K$26/12,$B368,K$23,K$235,-K$27,0)-K$27,0)))</f>
        <v/>
      </c>
      <c r="L368" s="279">
        <f>IF(L$1=0,"",IF($B368&lt;L$23,L367+PPMT(L$26/12,$B368,L$23,L$235,-L$27,0),IF($B368=L$23,L367+PPMT(L$26/12,$B368,L$23,L$235,-L$27,0)-L$27,0)))</f>
        <v/>
      </c>
      <c r="M368" s="279">
        <f>IF(M$1=0,"",IF($B368&lt;M$23,M367+PPMT(M$26/12,$B368,M$23,M$235,-M$27,0),IF($B368=M$23,M367+PPMT(M$26/12,$B368,M$23,M$235,-M$27,0)-M$27,0)))</f>
        <v/>
      </c>
      <c r="N368" s="280" t="n"/>
      <c r="O368" s="281" t="n"/>
    </row>
    <row r="369" hidden="1" outlineLevel="1">
      <c r="B369" s="2">
        <f>B368+1</f>
        <v/>
      </c>
      <c r="D369" s="279">
        <f>IF(B369&lt;$D$24,(+'CALCULETTE (2)'!G766/'CALCULETTE (2)'!$B$612),0)</f>
        <v/>
      </c>
      <c r="E369" s="279">
        <f>IF(E$1=0,"",IF($B369&lt;E$23,E368+PPMT(E$26/12,$B369,E$23,E$235,-E$27,0),IF($B369=E$23,E368+PPMT(E$26/12,$B369,E$23,E$235,-E$27,0)-E$27,0)))</f>
        <v/>
      </c>
      <c r="F369" s="279">
        <f>IF(F$1=0,"",IF($B369&lt;F$23,F368+PPMT(F$26/12,$B369,F$23,F$235,-F$27,0),IF($B369=F$23,F368+PPMT(F$26/12,$B369,F$23,F$235,-F$27,0)-F$27,0)))</f>
        <v/>
      </c>
      <c r="G369" s="279">
        <f>IF(G$1=0,"",IF($B369&lt;G$23,G368+PPMT(G$26/12,$B369,G$23,G$235,-G$27,0),IF($B369=G$23,G368+PPMT(G$26/12,$B369,G$23,G$235,-G$27,0)-G$27,0)))</f>
        <v/>
      </c>
      <c r="H369" s="279">
        <f>IF(H$1=0,"",IF($B369&lt;H$23,H368+PPMT(H$26/12,$B369,H$23,H$235,-H$27,0),IF($B369=H$23,H368+PPMT(H$26/12,$B369,H$23,H$235,-H$27,0)-H$27,0)))</f>
        <v/>
      </c>
      <c r="I369" s="279">
        <f>IF(I$1=0,"",IF($B369&lt;I$23,I368+PPMT(I$26/12,$B369,I$23,I$235,-I$27,0),IF($B369=I$23,I368+PPMT(I$26/12,$B369,I$23,I$235,-I$27,0)-I$27,0)))</f>
        <v/>
      </c>
      <c r="J369" s="279">
        <f>IF(J$1=0,"",IF($B369&lt;J$23,J368+PPMT(J$26/12,$B369,J$23,J$235,-J$27,0),IF($B369=J$23,J368+PPMT(J$26/12,$B369,J$23,J$235,-J$27,0)-J$27,0)))</f>
        <v/>
      </c>
      <c r="K369" s="279">
        <f>IF(K$1=0,"",IF($B369&lt;K$23,K368+PPMT(K$26/12,$B369,K$23,K$235,-K$27,0),IF($B369=K$23,K368+PPMT(K$26/12,$B369,K$23,K$235,-K$27,0)-K$27,0)))</f>
        <v/>
      </c>
      <c r="L369" s="279">
        <f>IF(L$1=0,"",IF($B369&lt;L$23,L368+PPMT(L$26/12,$B369,L$23,L$235,-L$27,0),IF($B369=L$23,L368+PPMT(L$26/12,$B369,L$23,L$235,-L$27,0)-L$27,0)))</f>
        <v/>
      </c>
      <c r="M369" s="279">
        <f>IF(M$1=0,"",IF($B369&lt;M$23,M368+PPMT(M$26/12,$B369,M$23,M$235,-M$27,0),IF($B369=M$23,M368+PPMT(M$26/12,$B369,M$23,M$235,-M$27,0)-M$27,0)))</f>
        <v/>
      </c>
      <c r="N369" s="280" t="n"/>
      <c r="O369" s="281" t="n"/>
    </row>
    <row r="370" hidden="1" outlineLevel="1">
      <c r="B370" s="2">
        <f>B369+1</f>
        <v/>
      </c>
      <c r="D370" s="279">
        <f>IF(B370&lt;$D$24,(+'CALCULETTE (2)'!G767/'CALCULETTE (2)'!$B$612),0)</f>
        <v/>
      </c>
      <c r="E370" s="279">
        <f>IF(E$1=0,"",IF($B370&lt;E$23,E369+PPMT(E$26/12,$B370,E$23,E$235,-E$27,0),IF($B370=E$23,E369+PPMT(E$26/12,$B370,E$23,E$235,-E$27,0)-E$27,0)))</f>
        <v/>
      </c>
      <c r="F370" s="279">
        <f>IF(F$1=0,"",IF($B370&lt;F$23,F369+PPMT(F$26/12,$B370,F$23,F$235,-F$27,0),IF($B370=F$23,F369+PPMT(F$26/12,$B370,F$23,F$235,-F$27,0)-F$27,0)))</f>
        <v/>
      </c>
      <c r="G370" s="279">
        <f>IF(G$1=0,"",IF($B370&lt;G$23,G369+PPMT(G$26/12,$B370,G$23,G$235,-G$27,0),IF($B370=G$23,G369+PPMT(G$26/12,$B370,G$23,G$235,-G$27,0)-G$27,0)))</f>
        <v/>
      </c>
      <c r="H370" s="279">
        <f>IF(H$1=0,"",IF($B370&lt;H$23,H369+PPMT(H$26/12,$B370,H$23,H$235,-H$27,0),IF($B370=H$23,H369+PPMT(H$26/12,$B370,H$23,H$235,-H$27,0)-H$27,0)))</f>
        <v/>
      </c>
      <c r="I370" s="279">
        <f>IF(I$1=0,"",IF($B370&lt;I$23,I369+PPMT(I$26/12,$B370,I$23,I$235,-I$27,0),IF($B370=I$23,I369+PPMT(I$26/12,$B370,I$23,I$235,-I$27,0)-I$27,0)))</f>
        <v/>
      </c>
      <c r="J370" s="279">
        <f>IF(J$1=0,"",IF($B370&lt;J$23,J369+PPMT(J$26/12,$B370,J$23,J$235,-J$27,0),IF($B370=J$23,J369+PPMT(J$26/12,$B370,J$23,J$235,-J$27,0)-J$27,0)))</f>
        <v/>
      </c>
      <c r="K370" s="279">
        <f>IF(K$1=0,"",IF($B370&lt;K$23,K369+PPMT(K$26/12,$B370,K$23,K$235,-K$27,0),IF($B370=K$23,K369+PPMT(K$26/12,$B370,K$23,K$235,-K$27,0)-K$27,0)))</f>
        <v/>
      </c>
      <c r="L370" s="279">
        <f>IF(L$1=0,"",IF($B370&lt;L$23,L369+PPMT(L$26/12,$B370,L$23,L$235,-L$27,0),IF($B370=L$23,L369+PPMT(L$26/12,$B370,L$23,L$235,-L$27,0)-L$27,0)))</f>
        <v/>
      </c>
      <c r="M370" s="279">
        <f>IF(M$1=0,"",IF($B370&lt;M$23,M369+PPMT(M$26/12,$B370,M$23,M$235,-M$27,0),IF($B370=M$23,M369+PPMT(M$26/12,$B370,M$23,M$235,-M$27,0)-M$27,0)))</f>
        <v/>
      </c>
      <c r="N370" s="280" t="n"/>
      <c r="O370" s="281" t="n"/>
    </row>
    <row r="371" hidden="1" outlineLevel="1">
      <c r="B371" s="2">
        <f>B370+1</f>
        <v/>
      </c>
      <c r="D371" s="279">
        <f>IF(B371&lt;$D$24,(+'CALCULETTE (2)'!G768/'CALCULETTE (2)'!$B$612),0)</f>
        <v/>
      </c>
      <c r="E371" s="279">
        <f>IF(E$1=0,"",IF($B371&lt;E$23,E370+PPMT(E$26/12,$B371,E$23,E$235,-E$27,0),IF($B371=E$23,E370+PPMT(E$26/12,$B371,E$23,E$235,-E$27,0)-E$27,0)))</f>
        <v/>
      </c>
      <c r="F371" s="279">
        <f>IF(F$1=0,"",IF($B371&lt;F$23,F370+PPMT(F$26/12,$B371,F$23,F$235,-F$27,0),IF($B371=F$23,F370+PPMT(F$26/12,$B371,F$23,F$235,-F$27,0)-F$27,0)))</f>
        <v/>
      </c>
      <c r="G371" s="279">
        <f>IF(G$1=0,"",IF($B371&lt;G$23,G370+PPMT(G$26/12,$B371,G$23,G$235,-G$27,0),IF($B371=G$23,G370+PPMT(G$26/12,$B371,G$23,G$235,-G$27,0)-G$27,0)))</f>
        <v/>
      </c>
      <c r="H371" s="279">
        <f>IF(H$1=0,"",IF($B371&lt;H$23,H370+PPMT(H$26/12,$B371,H$23,H$235,-H$27,0),IF($B371=H$23,H370+PPMT(H$26/12,$B371,H$23,H$235,-H$27,0)-H$27,0)))</f>
        <v/>
      </c>
      <c r="I371" s="279">
        <f>IF(I$1=0,"",IF($B371&lt;I$23,I370+PPMT(I$26/12,$B371,I$23,I$235,-I$27,0),IF($B371=I$23,I370+PPMT(I$26/12,$B371,I$23,I$235,-I$27,0)-I$27,0)))</f>
        <v/>
      </c>
      <c r="J371" s="279">
        <f>IF(J$1=0,"",IF($B371&lt;J$23,J370+PPMT(J$26/12,$B371,J$23,J$235,-J$27,0),IF($B371=J$23,J370+PPMT(J$26/12,$B371,J$23,J$235,-J$27,0)-J$27,0)))</f>
        <v/>
      </c>
      <c r="K371" s="279">
        <f>IF(K$1=0,"",IF($B371&lt;K$23,K370+PPMT(K$26/12,$B371,K$23,K$235,-K$27,0),IF($B371=K$23,K370+PPMT(K$26/12,$B371,K$23,K$235,-K$27,0)-K$27,0)))</f>
        <v/>
      </c>
      <c r="L371" s="279">
        <f>IF(L$1=0,"",IF($B371&lt;L$23,L370+PPMT(L$26/12,$B371,L$23,L$235,-L$27,0),IF($B371=L$23,L370+PPMT(L$26/12,$B371,L$23,L$235,-L$27,0)-L$27,0)))</f>
        <v/>
      </c>
      <c r="M371" s="279">
        <f>IF(M$1=0,"",IF($B371&lt;M$23,M370+PPMT(M$26/12,$B371,M$23,M$235,-M$27,0),IF($B371=M$23,M370+PPMT(M$26/12,$B371,M$23,M$235,-M$27,0)-M$27,0)))</f>
        <v/>
      </c>
      <c r="N371" s="280" t="n"/>
      <c r="O371" s="281" t="n"/>
    </row>
    <row r="372" hidden="1" outlineLevel="1">
      <c r="B372" s="2">
        <f>B371+1</f>
        <v/>
      </c>
      <c r="D372" s="279">
        <f>IF(B372&lt;$D$24,(+'CALCULETTE (2)'!G769/'CALCULETTE (2)'!$B$612),0)</f>
        <v/>
      </c>
      <c r="E372" s="279">
        <f>IF(E$1=0,"",IF($B372&lt;E$23,E371+PPMT(E$26/12,$B372,E$23,E$235,-E$27,0),IF($B372=E$23,E371+PPMT(E$26/12,$B372,E$23,E$235,-E$27,0)-E$27,0)))</f>
        <v/>
      </c>
      <c r="F372" s="279">
        <f>IF(F$1=0,"",IF($B372&lt;F$23,F371+PPMT(F$26/12,$B372,F$23,F$235,-F$27,0),IF($B372=F$23,F371+PPMT(F$26/12,$B372,F$23,F$235,-F$27,0)-F$27,0)))</f>
        <v/>
      </c>
      <c r="G372" s="279">
        <f>IF(G$1=0,"",IF($B372&lt;G$23,G371+PPMT(G$26/12,$B372,G$23,G$235,-G$27,0),IF($B372=G$23,G371+PPMT(G$26/12,$B372,G$23,G$235,-G$27,0)-G$27,0)))</f>
        <v/>
      </c>
      <c r="H372" s="279">
        <f>IF(H$1=0,"",IF($B372&lt;H$23,H371+PPMT(H$26/12,$B372,H$23,H$235,-H$27,0),IF($B372=H$23,H371+PPMT(H$26/12,$B372,H$23,H$235,-H$27,0)-H$27,0)))</f>
        <v/>
      </c>
      <c r="I372" s="279">
        <f>IF(I$1=0,"",IF($B372&lt;I$23,I371+PPMT(I$26/12,$B372,I$23,I$235,-I$27,0),IF($B372=I$23,I371+PPMT(I$26/12,$B372,I$23,I$235,-I$27,0)-I$27,0)))</f>
        <v/>
      </c>
      <c r="J372" s="279">
        <f>IF(J$1=0,"",IF($B372&lt;J$23,J371+PPMT(J$26/12,$B372,J$23,J$235,-J$27,0),IF($B372=J$23,J371+PPMT(J$26/12,$B372,J$23,J$235,-J$27,0)-J$27,0)))</f>
        <v/>
      </c>
      <c r="K372" s="279">
        <f>IF(K$1=0,"",IF($B372&lt;K$23,K371+PPMT(K$26/12,$B372,K$23,K$235,-K$27,0),IF($B372=K$23,K371+PPMT(K$26/12,$B372,K$23,K$235,-K$27,0)-K$27,0)))</f>
        <v/>
      </c>
      <c r="L372" s="279">
        <f>IF(L$1=0,"",IF($B372&lt;L$23,L371+PPMT(L$26/12,$B372,L$23,L$235,-L$27,0),IF($B372=L$23,L371+PPMT(L$26/12,$B372,L$23,L$235,-L$27,0)-L$27,0)))</f>
        <v/>
      </c>
      <c r="M372" s="279">
        <f>IF(M$1=0,"",IF($B372&lt;M$23,M371+PPMT(M$26/12,$B372,M$23,M$235,-M$27,0),IF($B372=M$23,M371+PPMT(M$26/12,$B372,M$23,M$235,-M$27,0)-M$27,0)))</f>
        <v/>
      </c>
      <c r="N372" s="280" t="n"/>
      <c r="O372" s="281" t="n"/>
    </row>
    <row r="373" hidden="1" outlineLevel="1">
      <c r="B373" s="2">
        <f>B372+1</f>
        <v/>
      </c>
      <c r="D373" s="279">
        <f>IF(B373&lt;$D$24,(+'CALCULETTE (2)'!G770/'CALCULETTE (2)'!$B$612),0)</f>
        <v/>
      </c>
      <c r="E373" s="279">
        <f>IF(E$1=0,"",IF($B373&lt;E$23,E372+PPMT(E$26/12,$B373,E$23,E$235,-E$27,0),IF($B373=E$23,E372+PPMT(E$26/12,$B373,E$23,E$235,-E$27,0)-E$27,0)))</f>
        <v/>
      </c>
      <c r="F373" s="279">
        <f>IF(F$1=0,"",IF($B373&lt;F$23,F372+PPMT(F$26/12,$B373,F$23,F$235,-F$27,0),IF($B373=F$23,F372+PPMT(F$26/12,$B373,F$23,F$235,-F$27,0)-F$27,0)))</f>
        <v/>
      </c>
      <c r="G373" s="279">
        <f>IF(G$1=0,"",IF($B373&lt;G$23,G372+PPMT(G$26/12,$B373,G$23,G$235,-G$27,0),IF($B373=G$23,G372+PPMT(G$26/12,$B373,G$23,G$235,-G$27,0)-G$27,0)))</f>
        <v/>
      </c>
      <c r="H373" s="279">
        <f>IF(H$1=0,"",IF($B373&lt;H$23,H372+PPMT(H$26/12,$B373,H$23,H$235,-H$27,0),IF($B373=H$23,H372+PPMT(H$26/12,$B373,H$23,H$235,-H$27,0)-H$27,0)))</f>
        <v/>
      </c>
      <c r="I373" s="279">
        <f>IF(I$1=0,"",IF($B373&lt;I$23,I372+PPMT(I$26/12,$B373,I$23,I$235,-I$27,0),IF($B373=I$23,I372+PPMT(I$26/12,$B373,I$23,I$235,-I$27,0)-I$27,0)))</f>
        <v/>
      </c>
      <c r="J373" s="279">
        <f>IF(J$1=0,"",IF($B373&lt;J$23,J372+PPMT(J$26/12,$B373,J$23,J$235,-J$27,0),IF($B373=J$23,J372+PPMT(J$26/12,$B373,J$23,J$235,-J$27,0)-J$27,0)))</f>
        <v/>
      </c>
      <c r="K373" s="279">
        <f>IF(K$1=0,"",IF($B373&lt;K$23,K372+PPMT(K$26/12,$B373,K$23,K$235,-K$27,0),IF($B373=K$23,K372+PPMT(K$26/12,$B373,K$23,K$235,-K$27,0)-K$27,0)))</f>
        <v/>
      </c>
      <c r="L373" s="279">
        <f>IF(L$1=0,"",IF($B373&lt;L$23,L372+PPMT(L$26/12,$B373,L$23,L$235,-L$27,0),IF($B373=L$23,L372+PPMT(L$26/12,$B373,L$23,L$235,-L$27,0)-L$27,0)))</f>
        <v/>
      </c>
      <c r="M373" s="279">
        <f>IF(M$1=0,"",IF($B373&lt;M$23,M372+PPMT(M$26/12,$B373,M$23,M$235,-M$27,0),IF($B373=M$23,M372+PPMT(M$26/12,$B373,M$23,M$235,-M$27,0)-M$27,0)))</f>
        <v/>
      </c>
      <c r="N373" s="280" t="n"/>
      <c r="O373" s="281" t="n"/>
    </row>
    <row r="374" hidden="1" outlineLevel="1">
      <c r="B374" s="2">
        <f>B373+1</f>
        <v/>
      </c>
      <c r="D374" s="279">
        <f>IF(B374&lt;$D$24,(+'CALCULETTE (2)'!G771/'CALCULETTE (2)'!$B$612),0)</f>
        <v/>
      </c>
      <c r="E374" s="279">
        <f>IF(E$1=0,"",IF($B374&lt;E$23,E373+PPMT(E$26/12,$B374,E$23,E$235,-E$27,0),IF($B374=E$23,E373+PPMT(E$26/12,$B374,E$23,E$235,-E$27,0)-E$27,0)))</f>
        <v/>
      </c>
      <c r="F374" s="279">
        <f>IF(F$1=0,"",IF($B374&lt;F$23,F373+PPMT(F$26/12,$B374,F$23,F$235,-F$27,0),IF($B374=F$23,F373+PPMT(F$26/12,$B374,F$23,F$235,-F$27,0)-F$27,0)))</f>
        <v/>
      </c>
      <c r="G374" s="279">
        <f>IF(G$1=0,"",IF($B374&lt;G$23,G373+PPMT(G$26/12,$B374,G$23,G$235,-G$27,0),IF($B374=G$23,G373+PPMT(G$26/12,$B374,G$23,G$235,-G$27,0)-G$27,0)))</f>
        <v/>
      </c>
      <c r="H374" s="279">
        <f>IF(H$1=0,"",IF($B374&lt;H$23,H373+PPMT(H$26/12,$B374,H$23,H$235,-H$27,0),IF($B374=H$23,H373+PPMT(H$26/12,$B374,H$23,H$235,-H$27,0)-H$27,0)))</f>
        <v/>
      </c>
      <c r="I374" s="279">
        <f>IF(I$1=0,"",IF($B374&lt;I$23,I373+PPMT(I$26/12,$B374,I$23,I$235,-I$27,0),IF($B374=I$23,I373+PPMT(I$26/12,$B374,I$23,I$235,-I$27,0)-I$27,0)))</f>
        <v/>
      </c>
      <c r="J374" s="279">
        <f>IF(J$1=0,"",IF($B374&lt;J$23,J373+PPMT(J$26/12,$B374,J$23,J$235,-J$27,0),IF($B374=J$23,J373+PPMT(J$26/12,$B374,J$23,J$235,-J$27,0)-J$27,0)))</f>
        <v/>
      </c>
      <c r="K374" s="279">
        <f>IF(K$1=0,"",IF($B374&lt;K$23,K373+PPMT(K$26/12,$B374,K$23,K$235,-K$27,0),IF($B374=K$23,K373+PPMT(K$26/12,$B374,K$23,K$235,-K$27,0)-K$27,0)))</f>
        <v/>
      </c>
      <c r="L374" s="279">
        <f>IF(L$1=0,"",IF($B374&lt;L$23,L373+PPMT(L$26/12,$B374,L$23,L$235,-L$27,0),IF($B374=L$23,L373+PPMT(L$26/12,$B374,L$23,L$235,-L$27,0)-L$27,0)))</f>
        <v/>
      </c>
      <c r="M374" s="279">
        <f>IF(M$1=0,"",IF($B374&lt;M$23,M373+PPMT(M$26/12,$B374,M$23,M$235,-M$27,0),IF($B374=M$23,M373+PPMT(M$26/12,$B374,M$23,M$235,-M$27,0)-M$27,0)))</f>
        <v/>
      </c>
      <c r="N374" s="280" t="n"/>
      <c r="O374" s="281" t="n"/>
    </row>
    <row r="375" hidden="1" outlineLevel="1">
      <c r="B375" s="2">
        <f>B374+1</f>
        <v/>
      </c>
      <c r="D375" s="279">
        <f>IF(B375&lt;$D$24,(+'CALCULETTE (2)'!G772/'CALCULETTE (2)'!$B$612),0)</f>
        <v/>
      </c>
      <c r="E375" s="279">
        <f>IF(E$1=0,"",IF($B375&lt;E$23,E374+PPMT(E$26/12,$B375,E$23,E$235,-E$27,0),IF($B375=E$23,E374+PPMT(E$26/12,$B375,E$23,E$235,-E$27,0)-E$27,0)))</f>
        <v/>
      </c>
      <c r="F375" s="279">
        <f>IF(F$1=0,"",IF($B375&lt;F$23,F374+PPMT(F$26/12,$B375,F$23,F$235,-F$27,0),IF($B375=F$23,F374+PPMT(F$26/12,$B375,F$23,F$235,-F$27,0)-F$27,0)))</f>
        <v/>
      </c>
      <c r="G375" s="279">
        <f>IF(G$1=0,"",IF($B375&lt;G$23,G374+PPMT(G$26/12,$B375,G$23,G$235,-G$27,0),IF($B375=G$23,G374+PPMT(G$26/12,$B375,G$23,G$235,-G$27,0)-G$27,0)))</f>
        <v/>
      </c>
      <c r="H375" s="279">
        <f>IF(H$1=0,"",IF($B375&lt;H$23,H374+PPMT(H$26/12,$B375,H$23,H$235,-H$27,0),IF($B375=H$23,H374+PPMT(H$26/12,$B375,H$23,H$235,-H$27,0)-H$27,0)))</f>
        <v/>
      </c>
      <c r="I375" s="279">
        <f>IF(I$1=0,"",IF($B375&lt;I$23,I374+PPMT(I$26/12,$B375,I$23,I$235,-I$27,0),IF($B375=I$23,I374+PPMT(I$26/12,$B375,I$23,I$235,-I$27,0)-I$27,0)))</f>
        <v/>
      </c>
      <c r="J375" s="279">
        <f>IF(J$1=0,"",IF($B375&lt;J$23,J374+PPMT(J$26/12,$B375,J$23,J$235,-J$27,0),IF($B375=J$23,J374+PPMT(J$26/12,$B375,J$23,J$235,-J$27,0)-J$27,0)))</f>
        <v/>
      </c>
      <c r="K375" s="279">
        <f>IF(K$1=0,"",IF($B375&lt;K$23,K374+PPMT(K$26/12,$B375,K$23,K$235,-K$27,0),IF($B375=K$23,K374+PPMT(K$26/12,$B375,K$23,K$235,-K$27,0)-K$27,0)))</f>
        <v/>
      </c>
      <c r="L375" s="279">
        <f>IF(L$1=0,"",IF($B375&lt;L$23,L374+PPMT(L$26/12,$B375,L$23,L$235,-L$27,0),IF($B375=L$23,L374+PPMT(L$26/12,$B375,L$23,L$235,-L$27,0)-L$27,0)))</f>
        <v/>
      </c>
      <c r="M375" s="279">
        <f>IF(M$1=0,"",IF($B375&lt;M$23,M374+PPMT(M$26/12,$B375,M$23,M$235,-M$27,0),IF($B375=M$23,M374+PPMT(M$26/12,$B375,M$23,M$235,-M$27,0)-M$27,0)))</f>
        <v/>
      </c>
      <c r="N375" s="280" t="n"/>
      <c r="O375" s="281" t="n"/>
    </row>
    <row r="376" hidden="1" outlineLevel="1">
      <c r="B376" s="2">
        <f>B375+1</f>
        <v/>
      </c>
      <c r="D376" s="279">
        <f>IF(B376&lt;$D$24,(+'CALCULETTE (2)'!G773/'CALCULETTE (2)'!$B$612),0)</f>
        <v/>
      </c>
      <c r="E376" s="279">
        <f>IF(E$1=0,"",IF($B376&lt;E$23,E375+PPMT(E$26/12,$B376,E$23,E$235,-E$27,0),IF($B376=E$23,E375+PPMT(E$26/12,$B376,E$23,E$235,-E$27,0)-E$27,0)))</f>
        <v/>
      </c>
      <c r="F376" s="279">
        <f>IF(F$1=0,"",IF($B376&lt;F$23,F375+PPMT(F$26/12,$B376,F$23,F$235,-F$27,0),IF($B376=F$23,F375+PPMT(F$26/12,$B376,F$23,F$235,-F$27,0)-F$27,0)))</f>
        <v/>
      </c>
      <c r="G376" s="279">
        <f>IF(G$1=0,"",IF($B376&lt;G$23,G375+PPMT(G$26/12,$B376,G$23,G$235,-G$27,0),IF($B376=G$23,G375+PPMT(G$26/12,$B376,G$23,G$235,-G$27,0)-G$27,0)))</f>
        <v/>
      </c>
      <c r="H376" s="279">
        <f>IF(H$1=0,"",IF($B376&lt;H$23,H375+PPMT(H$26/12,$B376,H$23,H$235,-H$27,0),IF($B376=H$23,H375+PPMT(H$26/12,$B376,H$23,H$235,-H$27,0)-H$27,0)))</f>
        <v/>
      </c>
      <c r="I376" s="279">
        <f>IF(I$1=0,"",IF($B376&lt;I$23,I375+PPMT(I$26/12,$B376,I$23,I$235,-I$27,0),IF($B376=I$23,I375+PPMT(I$26/12,$B376,I$23,I$235,-I$27,0)-I$27,0)))</f>
        <v/>
      </c>
      <c r="J376" s="279">
        <f>IF(J$1=0,"",IF($B376&lt;J$23,J375+PPMT(J$26/12,$B376,J$23,J$235,-J$27,0),IF($B376=J$23,J375+PPMT(J$26/12,$B376,J$23,J$235,-J$27,0)-J$27,0)))</f>
        <v/>
      </c>
      <c r="K376" s="279">
        <f>IF(K$1=0,"",IF($B376&lt;K$23,K375+PPMT(K$26/12,$B376,K$23,K$235,-K$27,0),IF($B376=K$23,K375+PPMT(K$26/12,$B376,K$23,K$235,-K$27,0)-K$27,0)))</f>
        <v/>
      </c>
      <c r="L376" s="279">
        <f>IF(L$1=0,"",IF($B376&lt;L$23,L375+PPMT(L$26/12,$B376,L$23,L$235,-L$27,0),IF($B376=L$23,L375+PPMT(L$26/12,$B376,L$23,L$235,-L$27,0)-L$27,0)))</f>
        <v/>
      </c>
      <c r="M376" s="279">
        <f>IF(M$1=0,"",IF($B376&lt;M$23,M375+PPMT(M$26/12,$B376,M$23,M$235,-M$27,0),IF($B376=M$23,M375+PPMT(M$26/12,$B376,M$23,M$235,-M$27,0)-M$27,0)))</f>
        <v/>
      </c>
      <c r="N376" s="280" t="n"/>
      <c r="O376" s="281" t="n"/>
    </row>
    <row r="377" hidden="1" outlineLevel="1">
      <c r="B377" s="2">
        <f>B376+1</f>
        <v/>
      </c>
      <c r="D377" s="279">
        <f>IF(B377&lt;$D$24,(+'CALCULETTE (2)'!G774/'CALCULETTE (2)'!$B$612),0)</f>
        <v/>
      </c>
      <c r="E377" s="279">
        <f>IF(E$1=0,"",IF($B377&lt;E$23,E376+PPMT(E$26/12,$B377,E$23,E$235,-E$27,0),IF($B377=E$23,E376+PPMT(E$26/12,$B377,E$23,E$235,-E$27,0)-E$27,0)))</f>
        <v/>
      </c>
      <c r="F377" s="279">
        <f>IF(F$1=0,"",IF($B377&lt;F$23,F376+PPMT(F$26/12,$B377,F$23,F$235,-F$27,0),IF($B377=F$23,F376+PPMT(F$26/12,$B377,F$23,F$235,-F$27,0)-F$27,0)))</f>
        <v/>
      </c>
      <c r="G377" s="279">
        <f>IF(G$1=0,"",IF($B377&lt;G$23,G376+PPMT(G$26/12,$B377,G$23,G$235,-G$27,0),IF($B377=G$23,G376+PPMT(G$26/12,$B377,G$23,G$235,-G$27,0)-G$27,0)))</f>
        <v/>
      </c>
      <c r="H377" s="279">
        <f>IF(H$1=0,"",IF($B377&lt;H$23,H376+PPMT(H$26/12,$B377,H$23,H$235,-H$27,0),IF($B377=H$23,H376+PPMT(H$26/12,$B377,H$23,H$235,-H$27,0)-H$27,0)))</f>
        <v/>
      </c>
      <c r="I377" s="279">
        <f>IF(I$1=0,"",IF($B377&lt;I$23,I376+PPMT(I$26/12,$B377,I$23,I$235,-I$27,0),IF($B377=I$23,I376+PPMT(I$26/12,$B377,I$23,I$235,-I$27,0)-I$27,0)))</f>
        <v/>
      </c>
      <c r="J377" s="279">
        <f>IF(J$1=0,"",IF($B377&lt;J$23,J376+PPMT(J$26/12,$B377,J$23,J$235,-J$27,0),IF($B377=J$23,J376+PPMT(J$26/12,$B377,J$23,J$235,-J$27,0)-J$27,0)))</f>
        <v/>
      </c>
      <c r="K377" s="279">
        <f>IF(K$1=0,"",IF($B377&lt;K$23,K376+PPMT(K$26/12,$B377,K$23,K$235,-K$27,0),IF($B377=K$23,K376+PPMT(K$26/12,$B377,K$23,K$235,-K$27,0)-K$27,0)))</f>
        <v/>
      </c>
      <c r="L377" s="279">
        <f>IF(L$1=0,"",IF($B377&lt;L$23,L376+PPMT(L$26/12,$B377,L$23,L$235,-L$27,0),IF($B377=L$23,L376+PPMT(L$26/12,$B377,L$23,L$235,-L$27,0)-L$27,0)))</f>
        <v/>
      </c>
      <c r="M377" s="279">
        <f>IF(M$1=0,"",IF($B377&lt;M$23,M376+PPMT(M$26/12,$B377,M$23,M$235,-M$27,0),IF($B377=M$23,M376+PPMT(M$26/12,$B377,M$23,M$235,-M$27,0)-M$27,0)))</f>
        <v/>
      </c>
      <c r="N377" s="280" t="n"/>
      <c r="O377" s="281" t="n"/>
    </row>
    <row r="378" hidden="1" outlineLevel="1">
      <c r="B378" s="2">
        <f>B377+1</f>
        <v/>
      </c>
      <c r="D378" s="279">
        <f>IF(B378&lt;$D$24,(+'CALCULETTE (2)'!G775/'CALCULETTE (2)'!$B$612),0)</f>
        <v/>
      </c>
      <c r="E378" s="279">
        <f>IF(E$1=0,"",IF($B378&lt;E$23,E377+PPMT(E$26/12,$B378,E$23,E$235,-E$27,0),IF($B378=E$23,E377+PPMT(E$26/12,$B378,E$23,E$235,-E$27,0)-E$27,0)))</f>
        <v/>
      </c>
      <c r="F378" s="279">
        <f>IF(F$1=0,"",IF($B378&lt;F$23,F377+PPMT(F$26/12,$B378,F$23,F$235,-F$27,0),IF($B378=F$23,F377+PPMT(F$26/12,$B378,F$23,F$235,-F$27,0)-F$27,0)))</f>
        <v/>
      </c>
      <c r="G378" s="279">
        <f>IF(G$1=0,"",IF($B378&lt;G$23,G377+PPMT(G$26/12,$B378,G$23,G$235,-G$27,0),IF($B378=G$23,G377+PPMT(G$26/12,$B378,G$23,G$235,-G$27,0)-G$27,0)))</f>
        <v/>
      </c>
      <c r="H378" s="279">
        <f>IF(H$1=0,"",IF($B378&lt;H$23,H377+PPMT(H$26/12,$B378,H$23,H$235,-H$27,0),IF($B378=H$23,H377+PPMT(H$26/12,$B378,H$23,H$235,-H$27,0)-H$27,0)))</f>
        <v/>
      </c>
      <c r="I378" s="279">
        <f>IF(I$1=0,"",IF($B378&lt;I$23,I377+PPMT(I$26/12,$B378,I$23,I$235,-I$27,0),IF($B378=I$23,I377+PPMT(I$26/12,$B378,I$23,I$235,-I$27,0)-I$27,0)))</f>
        <v/>
      </c>
      <c r="J378" s="279">
        <f>IF(J$1=0,"",IF($B378&lt;J$23,J377+PPMT(J$26/12,$B378,J$23,J$235,-J$27,0),IF($B378=J$23,J377+PPMT(J$26/12,$B378,J$23,J$235,-J$27,0)-J$27,0)))</f>
        <v/>
      </c>
      <c r="K378" s="279">
        <f>IF(K$1=0,"",IF($B378&lt;K$23,K377+PPMT(K$26/12,$B378,K$23,K$235,-K$27,0),IF($B378=K$23,K377+PPMT(K$26/12,$B378,K$23,K$235,-K$27,0)-K$27,0)))</f>
        <v/>
      </c>
      <c r="L378" s="279">
        <f>IF(L$1=0,"",IF($B378&lt;L$23,L377+PPMT(L$26/12,$B378,L$23,L$235,-L$27,0),IF($B378=L$23,L377+PPMT(L$26/12,$B378,L$23,L$235,-L$27,0)-L$27,0)))</f>
        <v/>
      </c>
      <c r="M378" s="279">
        <f>IF(M$1=0,"",IF($B378&lt;M$23,M377+PPMT(M$26/12,$B378,M$23,M$235,-M$27,0),IF($B378=M$23,M377+PPMT(M$26/12,$B378,M$23,M$235,-M$27,0)-M$27,0)))</f>
        <v/>
      </c>
      <c r="N378" s="280" t="n"/>
      <c r="O378" s="281" t="n"/>
    </row>
    <row r="379" hidden="1" outlineLevel="1">
      <c r="B379" s="2">
        <f>B378+1</f>
        <v/>
      </c>
      <c r="D379" s="279">
        <f>IF(B379&lt;$D$24,(+'CALCULETTE (2)'!G776/'CALCULETTE (2)'!$B$612),0)</f>
        <v/>
      </c>
      <c r="E379" s="279">
        <f>IF(E$1=0,"",IF($B379&lt;E$23,E378+PPMT(E$26/12,$B379,E$23,E$235,-E$27,0),IF($B379=E$23,E378+PPMT(E$26/12,$B379,E$23,E$235,-E$27,0)-E$27,0)))</f>
        <v/>
      </c>
      <c r="F379" s="279">
        <f>IF(F$1=0,"",IF($B379&lt;F$23,F378+PPMT(F$26/12,$B379,F$23,F$235,-F$27,0),IF($B379=F$23,F378+PPMT(F$26/12,$B379,F$23,F$235,-F$27,0)-F$27,0)))</f>
        <v/>
      </c>
      <c r="G379" s="279">
        <f>IF(G$1=0,"",IF($B379&lt;G$23,G378+PPMT(G$26/12,$B379,G$23,G$235,-G$27,0),IF($B379=G$23,G378+PPMT(G$26/12,$B379,G$23,G$235,-G$27,0)-G$27,0)))</f>
        <v/>
      </c>
      <c r="H379" s="279">
        <f>IF(H$1=0,"",IF($B379&lt;H$23,H378+PPMT(H$26/12,$B379,H$23,H$235,-H$27,0),IF($B379=H$23,H378+PPMT(H$26/12,$B379,H$23,H$235,-H$27,0)-H$27,0)))</f>
        <v/>
      </c>
      <c r="I379" s="279">
        <f>IF(I$1=0,"",IF($B379&lt;I$23,I378+PPMT(I$26/12,$B379,I$23,I$235,-I$27,0),IF($B379=I$23,I378+PPMT(I$26/12,$B379,I$23,I$235,-I$27,0)-I$27,0)))</f>
        <v/>
      </c>
      <c r="J379" s="279">
        <f>IF(J$1=0,"",IF($B379&lt;J$23,J378+PPMT(J$26/12,$B379,J$23,J$235,-J$27,0),IF($B379=J$23,J378+PPMT(J$26/12,$B379,J$23,J$235,-J$27,0)-J$27,0)))</f>
        <v/>
      </c>
      <c r="K379" s="279">
        <f>IF(K$1=0,"",IF($B379&lt;K$23,K378+PPMT(K$26/12,$B379,K$23,K$235,-K$27,0),IF($B379=K$23,K378+PPMT(K$26/12,$B379,K$23,K$235,-K$27,0)-K$27,0)))</f>
        <v/>
      </c>
      <c r="L379" s="279">
        <f>IF(L$1=0,"",IF($B379&lt;L$23,L378+PPMT(L$26/12,$B379,L$23,L$235,-L$27,0),IF($B379=L$23,L378+PPMT(L$26/12,$B379,L$23,L$235,-L$27,0)-L$27,0)))</f>
        <v/>
      </c>
      <c r="M379" s="279">
        <f>IF(M$1=0,"",IF($B379&lt;M$23,M378+PPMT(M$26/12,$B379,M$23,M$235,-M$27,0),IF($B379=M$23,M378+PPMT(M$26/12,$B379,M$23,M$235,-M$27,0)-M$27,0)))</f>
        <v/>
      </c>
      <c r="N379" s="280" t="n"/>
      <c r="O379" s="281" t="n"/>
    </row>
    <row r="380" hidden="1" outlineLevel="1">
      <c r="B380" s="2">
        <f>B379+1</f>
        <v/>
      </c>
      <c r="D380" s="279">
        <f>IF(B380&lt;$D$24,(+'CALCULETTE (2)'!G777/'CALCULETTE (2)'!$B$612),0)</f>
        <v/>
      </c>
      <c r="E380" s="279">
        <f>IF(E$1=0,"",IF($B380&lt;E$23,E379+PPMT(E$26/12,$B380,E$23,E$235,-E$27,0),IF($B380=E$23,E379+PPMT(E$26/12,$B380,E$23,E$235,-E$27,0)-E$27,0)))</f>
        <v/>
      </c>
      <c r="F380" s="279">
        <f>IF(F$1=0,"",IF($B380&lt;F$23,F379+PPMT(F$26/12,$B380,F$23,F$235,-F$27,0),IF($B380=F$23,F379+PPMT(F$26/12,$B380,F$23,F$235,-F$27,0)-F$27,0)))</f>
        <v/>
      </c>
      <c r="G380" s="279">
        <f>IF(G$1=0,"",IF($B380&lt;G$23,G379+PPMT(G$26/12,$B380,G$23,G$235,-G$27,0),IF($B380=G$23,G379+PPMT(G$26/12,$B380,G$23,G$235,-G$27,0)-G$27,0)))</f>
        <v/>
      </c>
      <c r="H380" s="279">
        <f>IF(H$1=0,"",IF($B380&lt;H$23,H379+PPMT(H$26/12,$B380,H$23,H$235,-H$27,0),IF($B380=H$23,H379+PPMT(H$26/12,$B380,H$23,H$235,-H$27,0)-H$27,0)))</f>
        <v/>
      </c>
      <c r="I380" s="279">
        <f>IF(I$1=0,"",IF($B380&lt;I$23,I379+PPMT(I$26/12,$B380,I$23,I$235,-I$27,0),IF($B380=I$23,I379+PPMT(I$26/12,$B380,I$23,I$235,-I$27,0)-I$27,0)))</f>
        <v/>
      </c>
      <c r="J380" s="279">
        <f>IF(J$1=0,"",IF($B380&lt;J$23,J379+PPMT(J$26/12,$B380,J$23,J$235,-J$27,0),IF($B380=J$23,J379+PPMT(J$26/12,$B380,J$23,J$235,-J$27,0)-J$27,0)))</f>
        <v/>
      </c>
      <c r="K380" s="279">
        <f>IF(K$1=0,"",IF($B380&lt;K$23,K379+PPMT(K$26/12,$B380,K$23,K$235,-K$27,0),IF($B380=K$23,K379+PPMT(K$26/12,$B380,K$23,K$235,-K$27,0)-K$27,0)))</f>
        <v/>
      </c>
      <c r="L380" s="279">
        <f>IF(L$1=0,"",IF($B380&lt;L$23,L379+PPMT(L$26/12,$B380,L$23,L$235,-L$27,0),IF($B380=L$23,L379+PPMT(L$26/12,$B380,L$23,L$235,-L$27,0)-L$27,0)))</f>
        <v/>
      </c>
      <c r="M380" s="279">
        <f>IF(M$1=0,"",IF($B380&lt;M$23,M379+PPMT(M$26/12,$B380,M$23,M$235,-M$27,0),IF($B380=M$23,M379+PPMT(M$26/12,$B380,M$23,M$235,-M$27,0)-M$27,0)))</f>
        <v/>
      </c>
      <c r="N380" s="280" t="n"/>
      <c r="O380" s="281" t="n"/>
    </row>
    <row r="381" hidden="1" outlineLevel="1">
      <c r="B381" s="2">
        <f>B380+1</f>
        <v/>
      </c>
      <c r="D381" s="279">
        <f>IF(B381&lt;$D$24,(+'CALCULETTE (2)'!G778/'CALCULETTE (2)'!$B$612),0)</f>
        <v/>
      </c>
      <c r="E381" s="279">
        <f>IF(E$1=0,"",IF($B381&lt;E$23,E380+PPMT(E$26/12,$B381,E$23,E$235,-E$27,0),IF($B381=E$23,E380+PPMT(E$26/12,$B381,E$23,E$235,-E$27,0)-E$27,0)))</f>
        <v/>
      </c>
      <c r="F381" s="279">
        <f>IF(F$1=0,"",IF($B381&lt;F$23,F380+PPMT(F$26/12,$B381,F$23,F$235,-F$27,0),IF($B381=F$23,F380+PPMT(F$26/12,$B381,F$23,F$235,-F$27,0)-F$27,0)))</f>
        <v/>
      </c>
      <c r="G381" s="279">
        <f>IF(G$1=0,"",IF($B381&lt;G$23,G380+PPMT(G$26/12,$B381,G$23,G$235,-G$27,0),IF($B381=G$23,G380+PPMT(G$26/12,$B381,G$23,G$235,-G$27,0)-G$27,0)))</f>
        <v/>
      </c>
      <c r="H381" s="279">
        <f>IF(H$1=0,"",IF($B381&lt;H$23,H380+PPMT(H$26/12,$B381,H$23,H$235,-H$27,0),IF($B381=H$23,H380+PPMT(H$26/12,$B381,H$23,H$235,-H$27,0)-H$27,0)))</f>
        <v/>
      </c>
      <c r="I381" s="279">
        <f>IF(I$1=0,"",IF($B381&lt;I$23,I380+PPMT(I$26/12,$B381,I$23,I$235,-I$27,0),IF($B381=I$23,I380+PPMT(I$26/12,$B381,I$23,I$235,-I$27,0)-I$27,0)))</f>
        <v/>
      </c>
      <c r="J381" s="279">
        <f>IF(J$1=0,"",IF($B381&lt;J$23,J380+PPMT(J$26/12,$B381,J$23,J$235,-J$27,0),IF($B381=J$23,J380+PPMT(J$26/12,$B381,J$23,J$235,-J$27,0)-J$27,0)))</f>
        <v/>
      </c>
      <c r="K381" s="279">
        <f>IF(K$1=0,"",IF($B381&lt;K$23,K380+PPMT(K$26/12,$B381,K$23,K$235,-K$27,0),IF($B381=K$23,K380+PPMT(K$26/12,$B381,K$23,K$235,-K$27,0)-K$27,0)))</f>
        <v/>
      </c>
      <c r="L381" s="279">
        <f>IF(L$1=0,"",IF($B381&lt;L$23,L380+PPMT(L$26/12,$B381,L$23,L$235,-L$27,0),IF($B381=L$23,L380+PPMT(L$26/12,$B381,L$23,L$235,-L$27,0)-L$27,0)))</f>
        <v/>
      </c>
      <c r="M381" s="279">
        <f>IF(M$1=0,"",IF($B381&lt;M$23,M380+PPMT(M$26/12,$B381,M$23,M$235,-M$27,0),IF($B381=M$23,M380+PPMT(M$26/12,$B381,M$23,M$235,-M$27,0)-M$27,0)))</f>
        <v/>
      </c>
      <c r="N381" s="280" t="n"/>
      <c r="O381" s="281" t="n"/>
    </row>
    <row r="382" hidden="1" outlineLevel="1">
      <c r="B382" s="2">
        <f>B381+1</f>
        <v/>
      </c>
      <c r="D382" s="279">
        <f>IF(B382&lt;$D$24,(+'CALCULETTE (2)'!G779/'CALCULETTE (2)'!$B$612),0)</f>
        <v/>
      </c>
      <c r="E382" s="279">
        <f>IF(E$1=0,"",IF($B382&lt;E$23,E381+PPMT(E$26/12,$B382,E$23,E$235,-E$27,0),IF($B382=E$23,E381+PPMT(E$26/12,$B382,E$23,E$235,-E$27,0)-E$27,0)))</f>
        <v/>
      </c>
      <c r="F382" s="279">
        <f>IF(F$1=0,"",IF($B382&lt;F$23,F381+PPMT(F$26/12,$B382,F$23,F$235,-F$27,0),IF($B382=F$23,F381+PPMT(F$26/12,$B382,F$23,F$235,-F$27,0)-F$27,0)))</f>
        <v/>
      </c>
      <c r="G382" s="279">
        <f>IF(G$1=0,"",IF($B382&lt;G$23,G381+PPMT(G$26/12,$B382,G$23,G$235,-G$27,0),IF($B382=G$23,G381+PPMT(G$26/12,$B382,G$23,G$235,-G$27,0)-G$27,0)))</f>
        <v/>
      </c>
      <c r="H382" s="279">
        <f>IF(H$1=0,"",IF($B382&lt;H$23,H381+PPMT(H$26/12,$B382,H$23,H$235,-H$27,0),IF($B382=H$23,H381+PPMT(H$26/12,$B382,H$23,H$235,-H$27,0)-H$27,0)))</f>
        <v/>
      </c>
      <c r="I382" s="279">
        <f>IF(I$1=0,"",IF($B382&lt;I$23,I381+PPMT(I$26/12,$B382,I$23,I$235,-I$27,0),IF($B382=I$23,I381+PPMT(I$26/12,$B382,I$23,I$235,-I$27,0)-I$27,0)))</f>
        <v/>
      </c>
      <c r="J382" s="279">
        <f>IF(J$1=0,"",IF($B382&lt;J$23,J381+PPMT(J$26/12,$B382,J$23,J$235,-J$27,0),IF($B382=J$23,J381+PPMT(J$26/12,$B382,J$23,J$235,-J$27,0)-J$27,0)))</f>
        <v/>
      </c>
      <c r="K382" s="279">
        <f>IF(K$1=0,"",IF($B382&lt;K$23,K381+PPMT(K$26/12,$B382,K$23,K$235,-K$27,0),IF($B382=K$23,K381+PPMT(K$26/12,$B382,K$23,K$235,-K$27,0)-K$27,0)))</f>
        <v/>
      </c>
      <c r="L382" s="279">
        <f>IF(L$1=0,"",IF($B382&lt;L$23,L381+PPMT(L$26/12,$B382,L$23,L$235,-L$27,0),IF($B382=L$23,L381+PPMT(L$26/12,$B382,L$23,L$235,-L$27,0)-L$27,0)))</f>
        <v/>
      </c>
      <c r="M382" s="279">
        <f>IF(M$1=0,"",IF($B382&lt;M$23,M381+PPMT(M$26/12,$B382,M$23,M$235,-M$27,0),IF($B382=M$23,M381+PPMT(M$26/12,$B382,M$23,M$235,-M$27,0)-M$27,0)))</f>
        <v/>
      </c>
      <c r="N382" s="280" t="n"/>
      <c r="O382" s="281" t="n"/>
    </row>
    <row r="383" hidden="1" outlineLevel="1">
      <c r="B383" s="2">
        <f>B382+1</f>
        <v/>
      </c>
      <c r="D383" s="279">
        <f>IF(B383&lt;$D$24,(+'CALCULETTE (2)'!G780/'CALCULETTE (2)'!$B$612),0)</f>
        <v/>
      </c>
      <c r="E383" s="279">
        <f>IF(E$1=0,"",IF($B383&lt;E$23,E382+PPMT(E$26/12,$B383,E$23,E$235,-E$27,0),IF($B383=E$23,E382+PPMT(E$26/12,$B383,E$23,E$235,-E$27,0)-E$27,0)))</f>
        <v/>
      </c>
      <c r="F383" s="279">
        <f>IF(F$1=0,"",IF($B383&lt;F$23,F382+PPMT(F$26/12,$B383,F$23,F$235,-F$27,0),IF($B383=F$23,F382+PPMT(F$26/12,$B383,F$23,F$235,-F$27,0)-F$27,0)))</f>
        <v/>
      </c>
      <c r="G383" s="279">
        <f>IF(G$1=0,"",IF($B383&lt;G$23,G382+PPMT(G$26/12,$B383,G$23,G$235,-G$27,0),IF($B383=G$23,G382+PPMT(G$26/12,$B383,G$23,G$235,-G$27,0)-G$27,0)))</f>
        <v/>
      </c>
      <c r="H383" s="279">
        <f>IF(H$1=0,"",IF($B383&lt;H$23,H382+PPMT(H$26/12,$B383,H$23,H$235,-H$27,0),IF($B383=H$23,H382+PPMT(H$26/12,$B383,H$23,H$235,-H$27,0)-H$27,0)))</f>
        <v/>
      </c>
      <c r="I383" s="279">
        <f>IF(I$1=0,"",IF($B383&lt;I$23,I382+PPMT(I$26/12,$B383,I$23,I$235,-I$27,0),IF($B383=I$23,I382+PPMT(I$26/12,$B383,I$23,I$235,-I$27,0)-I$27,0)))</f>
        <v/>
      </c>
      <c r="J383" s="279">
        <f>IF(J$1=0,"",IF($B383&lt;J$23,J382+PPMT(J$26/12,$B383,J$23,J$235,-J$27,0),IF($B383=J$23,J382+PPMT(J$26/12,$B383,J$23,J$235,-J$27,0)-J$27,0)))</f>
        <v/>
      </c>
      <c r="K383" s="279">
        <f>IF(K$1=0,"",IF($B383&lt;K$23,K382+PPMT(K$26/12,$B383,K$23,K$235,-K$27,0),IF($B383=K$23,K382+PPMT(K$26/12,$B383,K$23,K$235,-K$27,0)-K$27,0)))</f>
        <v/>
      </c>
      <c r="L383" s="279">
        <f>IF(L$1=0,"",IF($B383&lt;L$23,L382+PPMT(L$26/12,$B383,L$23,L$235,-L$27,0),IF($B383=L$23,L382+PPMT(L$26/12,$B383,L$23,L$235,-L$27,0)-L$27,0)))</f>
        <v/>
      </c>
      <c r="M383" s="279">
        <f>IF(M$1=0,"",IF($B383&lt;M$23,M382+PPMT(M$26/12,$B383,M$23,M$235,-M$27,0),IF($B383=M$23,M382+PPMT(M$26/12,$B383,M$23,M$235,-M$27,0)-M$27,0)))</f>
        <v/>
      </c>
      <c r="N383" s="280" t="n"/>
      <c r="O383" s="281" t="n"/>
    </row>
    <row r="384" hidden="1" outlineLevel="1">
      <c r="B384" s="2">
        <f>B383+1</f>
        <v/>
      </c>
      <c r="D384" s="279">
        <f>IF(B384&lt;$D$24,(+'CALCULETTE (2)'!G781/'CALCULETTE (2)'!$B$612),0)</f>
        <v/>
      </c>
      <c r="E384" s="279">
        <f>IF(E$1=0,"",IF($B384&lt;E$23,E383+PPMT(E$26/12,$B384,E$23,E$235,-E$27,0),IF($B384=E$23,E383+PPMT(E$26/12,$B384,E$23,E$235,-E$27,0)-E$27,0)))</f>
        <v/>
      </c>
      <c r="F384" s="279">
        <f>IF(F$1=0,"",IF($B384&lt;F$23,F383+PPMT(F$26/12,$B384,F$23,F$235,-F$27,0),IF($B384=F$23,F383+PPMT(F$26/12,$B384,F$23,F$235,-F$27,0)-F$27,0)))</f>
        <v/>
      </c>
      <c r="G384" s="279">
        <f>IF(G$1=0,"",IF($B384&lt;G$23,G383+PPMT(G$26/12,$B384,G$23,G$235,-G$27,0),IF($B384=G$23,G383+PPMT(G$26/12,$B384,G$23,G$235,-G$27,0)-G$27,0)))</f>
        <v/>
      </c>
      <c r="H384" s="279">
        <f>IF(H$1=0,"",IF($B384&lt;H$23,H383+PPMT(H$26/12,$B384,H$23,H$235,-H$27,0),IF($B384=H$23,H383+PPMT(H$26/12,$B384,H$23,H$235,-H$27,0)-H$27,0)))</f>
        <v/>
      </c>
      <c r="I384" s="279">
        <f>IF(I$1=0,"",IF($B384&lt;I$23,I383+PPMT(I$26/12,$B384,I$23,I$235,-I$27,0),IF($B384=I$23,I383+PPMT(I$26/12,$B384,I$23,I$235,-I$27,0)-I$27,0)))</f>
        <v/>
      </c>
      <c r="J384" s="279">
        <f>IF(J$1=0,"",IF($B384&lt;J$23,J383+PPMT(J$26/12,$B384,J$23,J$235,-J$27,0),IF($B384=J$23,J383+PPMT(J$26/12,$B384,J$23,J$235,-J$27,0)-J$27,0)))</f>
        <v/>
      </c>
      <c r="K384" s="279">
        <f>IF(K$1=0,"",IF($B384&lt;K$23,K383+PPMT(K$26/12,$B384,K$23,K$235,-K$27,0),IF($B384=K$23,K383+PPMT(K$26/12,$B384,K$23,K$235,-K$27,0)-K$27,0)))</f>
        <v/>
      </c>
      <c r="L384" s="279">
        <f>IF(L$1=0,"",IF($B384&lt;L$23,L383+PPMT(L$26/12,$B384,L$23,L$235,-L$27,0),IF($B384=L$23,L383+PPMT(L$26/12,$B384,L$23,L$235,-L$27,0)-L$27,0)))</f>
        <v/>
      </c>
      <c r="M384" s="279">
        <f>IF(M$1=0,"",IF($B384&lt;M$23,M383+PPMT(M$26/12,$B384,M$23,M$235,-M$27,0),IF($B384=M$23,M383+PPMT(M$26/12,$B384,M$23,M$235,-M$27,0)-M$27,0)))</f>
        <v/>
      </c>
      <c r="N384" s="280" t="n"/>
      <c r="O384" s="281" t="n"/>
    </row>
    <row r="385" hidden="1" outlineLevel="1">
      <c r="B385" s="2">
        <f>B384+1</f>
        <v/>
      </c>
      <c r="D385" s="279">
        <f>IF(B385&lt;$D$24,(+'CALCULETTE (2)'!G782/'CALCULETTE (2)'!$B$612),0)</f>
        <v/>
      </c>
      <c r="E385" s="279">
        <f>IF(E$1=0,"",IF($B385&lt;E$23,E384+PPMT(E$26/12,$B385,E$23,E$235,-E$27,0),IF($B385=E$23,E384+PPMT(E$26/12,$B385,E$23,E$235,-E$27,0)-E$27,0)))</f>
        <v/>
      </c>
      <c r="F385" s="279">
        <f>IF(F$1=0,"",IF($B385&lt;F$23,F384+PPMT(F$26/12,$B385,F$23,F$235,-F$27,0),IF($B385=F$23,F384+PPMT(F$26/12,$B385,F$23,F$235,-F$27,0)-F$27,0)))</f>
        <v/>
      </c>
      <c r="G385" s="279">
        <f>IF(G$1=0,"",IF($B385&lt;G$23,G384+PPMT(G$26/12,$B385,G$23,G$235,-G$27,0),IF($B385=G$23,G384+PPMT(G$26/12,$B385,G$23,G$235,-G$27,0)-G$27,0)))</f>
        <v/>
      </c>
      <c r="H385" s="279">
        <f>IF(H$1=0,"",IF($B385&lt;H$23,H384+PPMT(H$26/12,$B385,H$23,H$235,-H$27,0),IF($B385=H$23,H384+PPMT(H$26/12,$B385,H$23,H$235,-H$27,0)-H$27,0)))</f>
        <v/>
      </c>
      <c r="I385" s="279">
        <f>IF(I$1=0,"",IF($B385&lt;I$23,I384+PPMT(I$26/12,$B385,I$23,I$235,-I$27,0),IF($B385=I$23,I384+PPMT(I$26/12,$B385,I$23,I$235,-I$27,0)-I$27,0)))</f>
        <v/>
      </c>
      <c r="J385" s="279">
        <f>IF(J$1=0,"",IF($B385&lt;J$23,J384+PPMT(J$26/12,$B385,J$23,J$235,-J$27,0),IF($B385=J$23,J384+PPMT(J$26/12,$B385,J$23,J$235,-J$27,0)-J$27,0)))</f>
        <v/>
      </c>
      <c r="K385" s="279">
        <f>IF(K$1=0,"",IF($B385&lt;K$23,K384+PPMT(K$26/12,$B385,K$23,K$235,-K$27,0),IF($B385=K$23,K384+PPMT(K$26/12,$B385,K$23,K$235,-K$27,0)-K$27,0)))</f>
        <v/>
      </c>
      <c r="L385" s="279">
        <f>IF(L$1=0,"",IF($B385&lt;L$23,L384+PPMT(L$26/12,$B385,L$23,L$235,-L$27,0),IF($B385=L$23,L384+PPMT(L$26/12,$B385,L$23,L$235,-L$27,0)-L$27,0)))</f>
        <v/>
      </c>
      <c r="M385" s="279">
        <f>IF(M$1=0,"",IF($B385&lt;M$23,M384+PPMT(M$26/12,$B385,M$23,M$235,-M$27,0),IF($B385=M$23,M384+PPMT(M$26/12,$B385,M$23,M$235,-M$27,0)-M$27,0)))</f>
        <v/>
      </c>
      <c r="N385" s="280" t="n"/>
      <c r="O385" s="281" t="n"/>
    </row>
    <row r="386" hidden="1" outlineLevel="1">
      <c r="B386" s="2">
        <f>B385+1</f>
        <v/>
      </c>
      <c r="D386" s="279">
        <f>IF(B386&lt;$D$24,(+'CALCULETTE (2)'!G783/'CALCULETTE (2)'!$B$612),0)</f>
        <v/>
      </c>
      <c r="E386" s="279">
        <f>IF(E$1=0,"",IF($B386&lt;E$23,E385+PPMT(E$26/12,$B386,E$23,E$235,-E$27,0),IF($B386=E$23,E385+PPMT(E$26/12,$B386,E$23,E$235,-E$27,0)-E$27,0)))</f>
        <v/>
      </c>
      <c r="F386" s="279">
        <f>IF(F$1=0,"",IF($B386&lt;F$23,F385+PPMT(F$26/12,$B386,F$23,F$235,-F$27,0),IF($B386=F$23,F385+PPMT(F$26/12,$B386,F$23,F$235,-F$27,0)-F$27,0)))</f>
        <v/>
      </c>
      <c r="G386" s="279">
        <f>IF(G$1=0,"",IF($B386&lt;G$23,G385+PPMT(G$26/12,$B386,G$23,G$235,-G$27,0),IF($B386=G$23,G385+PPMT(G$26/12,$B386,G$23,G$235,-G$27,0)-G$27,0)))</f>
        <v/>
      </c>
      <c r="H386" s="279">
        <f>IF(H$1=0,"",IF($B386&lt;H$23,H385+PPMT(H$26/12,$B386,H$23,H$235,-H$27,0),IF($B386=H$23,H385+PPMT(H$26/12,$B386,H$23,H$235,-H$27,0)-H$27,0)))</f>
        <v/>
      </c>
      <c r="I386" s="279">
        <f>IF(I$1=0,"",IF($B386&lt;I$23,I385+PPMT(I$26/12,$B386,I$23,I$235,-I$27,0),IF($B386=I$23,I385+PPMT(I$26/12,$B386,I$23,I$235,-I$27,0)-I$27,0)))</f>
        <v/>
      </c>
      <c r="J386" s="279">
        <f>IF(J$1=0,"",IF($B386&lt;J$23,J385+PPMT(J$26/12,$B386,J$23,J$235,-J$27,0),IF($B386=J$23,J385+PPMT(J$26/12,$B386,J$23,J$235,-J$27,0)-J$27,0)))</f>
        <v/>
      </c>
      <c r="K386" s="279">
        <f>IF(K$1=0,"",IF($B386&lt;K$23,K385+PPMT(K$26/12,$B386,K$23,K$235,-K$27,0),IF($B386=K$23,K385+PPMT(K$26/12,$B386,K$23,K$235,-K$27,0)-K$27,0)))</f>
        <v/>
      </c>
      <c r="L386" s="279">
        <f>IF(L$1=0,"",IF($B386&lt;L$23,L385+PPMT(L$26/12,$B386,L$23,L$235,-L$27,0),IF($B386=L$23,L385+PPMT(L$26/12,$B386,L$23,L$235,-L$27,0)-L$27,0)))</f>
        <v/>
      </c>
      <c r="M386" s="279">
        <f>IF(M$1=0,"",IF($B386&lt;M$23,M385+PPMT(M$26/12,$B386,M$23,M$235,-M$27,0),IF($B386=M$23,M385+PPMT(M$26/12,$B386,M$23,M$235,-M$27,0)-M$27,0)))</f>
        <v/>
      </c>
      <c r="N386" s="280" t="n"/>
      <c r="O386" s="281" t="n"/>
    </row>
    <row r="387" hidden="1" outlineLevel="1">
      <c r="B387" s="2">
        <f>B386+1</f>
        <v/>
      </c>
      <c r="D387" s="279">
        <f>IF(B387&lt;$D$24,(+'CALCULETTE (2)'!G784/'CALCULETTE (2)'!$B$612),0)</f>
        <v/>
      </c>
      <c r="E387" s="279">
        <f>IF(E$1=0,"",IF($B387&lt;E$23,E386+PPMT(E$26/12,$B387,E$23,E$235,-E$27,0),IF($B387=E$23,E386+PPMT(E$26/12,$B387,E$23,E$235,-E$27,0)-E$27,0)))</f>
        <v/>
      </c>
      <c r="F387" s="279">
        <f>IF(F$1=0,"",IF($B387&lt;F$23,F386+PPMT(F$26/12,$B387,F$23,F$235,-F$27,0),IF($B387=F$23,F386+PPMT(F$26/12,$B387,F$23,F$235,-F$27,0)-F$27,0)))</f>
        <v/>
      </c>
      <c r="G387" s="279">
        <f>IF(G$1=0,"",IF($B387&lt;G$23,G386+PPMT(G$26/12,$B387,G$23,G$235,-G$27,0),IF($B387=G$23,G386+PPMT(G$26/12,$B387,G$23,G$235,-G$27,0)-G$27,0)))</f>
        <v/>
      </c>
      <c r="H387" s="279">
        <f>IF(H$1=0,"",IF($B387&lt;H$23,H386+PPMT(H$26/12,$B387,H$23,H$235,-H$27,0),IF($B387=H$23,H386+PPMT(H$26/12,$B387,H$23,H$235,-H$27,0)-H$27,0)))</f>
        <v/>
      </c>
      <c r="I387" s="279">
        <f>IF(I$1=0,"",IF($B387&lt;I$23,I386+PPMT(I$26/12,$B387,I$23,I$235,-I$27,0),IF($B387=I$23,I386+PPMT(I$26/12,$B387,I$23,I$235,-I$27,0)-I$27,0)))</f>
        <v/>
      </c>
      <c r="J387" s="279">
        <f>IF(J$1=0,"",IF($B387&lt;J$23,J386+PPMT(J$26/12,$B387,J$23,J$235,-J$27,0),IF($B387=J$23,J386+PPMT(J$26/12,$B387,J$23,J$235,-J$27,0)-J$27,0)))</f>
        <v/>
      </c>
      <c r="K387" s="279">
        <f>IF(K$1=0,"",IF($B387&lt;K$23,K386+PPMT(K$26/12,$B387,K$23,K$235,-K$27,0),IF($B387=K$23,K386+PPMT(K$26/12,$B387,K$23,K$235,-K$27,0)-K$27,0)))</f>
        <v/>
      </c>
      <c r="L387" s="279">
        <f>IF(L$1=0,"",IF($B387&lt;L$23,L386+PPMT(L$26/12,$B387,L$23,L$235,-L$27,0),IF($B387=L$23,L386+PPMT(L$26/12,$B387,L$23,L$235,-L$27,0)-L$27,0)))</f>
        <v/>
      </c>
      <c r="M387" s="279">
        <f>IF(M$1=0,"",IF($B387&lt;M$23,M386+PPMT(M$26/12,$B387,M$23,M$235,-M$27,0),IF($B387=M$23,M386+PPMT(M$26/12,$B387,M$23,M$235,-M$27,0)-M$27,0)))</f>
        <v/>
      </c>
      <c r="N387" s="280" t="n"/>
      <c r="O387" s="281" t="n"/>
    </row>
    <row r="388" hidden="1" outlineLevel="1">
      <c r="B388" s="2">
        <f>B387+1</f>
        <v/>
      </c>
      <c r="D388" s="279">
        <f>IF(B388&lt;$D$24,(+'CALCULETTE (2)'!G785/'CALCULETTE (2)'!$B$612),0)</f>
        <v/>
      </c>
      <c r="E388" s="279">
        <f>IF(E$1=0,"",IF($B388&lt;E$23,E387+PPMT(E$26/12,$B388,E$23,E$235,-E$27,0),IF($B388=E$23,E387+PPMT(E$26/12,$B388,E$23,E$235,-E$27,0)-E$27,0)))</f>
        <v/>
      </c>
      <c r="F388" s="279">
        <f>IF(F$1=0,"",IF($B388&lt;F$23,F387+PPMT(F$26/12,$B388,F$23,F$235,-F$27,0),IF($B388=F$23,F387+PPMT(F$26/12,$B388,F$23,F$235,-F$27,0)-F$27,0)))</f>
        <v/>
      </c>
      <c r="G388" s="279">
        <f>IF(G$1=0,"",IF($B388&lt;G$23,G387+PPMT(G$26/12,$B388,G$23,G$235,-G$27,0),IF($B388=G$23,G387+PPMT(G$26/12,$B388,G$23,G$235,-G$27,0)-G$27,0)))</f>
        <v/>
      </c>
      <c r="H388" s="279">
        <f>IF(H$1=0,"",IF($B388&lt;H$23,H387+PPMT(H$26/12,$B388,H$23,H$235,-H$27,0),IF($B388=H$23,H387+PPMT(H$26/12,$B388,H$23,H$235,-H$27,0)-H$27,0)))</f>
        <v/>
      </c>
      <c r="I388" s="279">
        <f>IF(I$1=0,"",IF($B388&lt;I$23,I387+PPMT(I$26/12,$B388,I$23,I$235,-I$27,0),IF($B388=I$23,I387+PPMT(I$26/12,$B388,I$23,I$235,-I$27,0)-I$27,0)))</f>
        <v/>
      </c>
      <c r="J388" s="279">
        <f>IF(J$1=0,"",IF($B388&lt;J$23,J387+PPMT(J$26/12,$B388,J$23,J$235,-J$27,0),IF($B388=J$23,J387+PPMT(J$26/12,$B388,J$23,J$235,-J$27,0)-J$27,0)))</f>
        <v/>
      </c>
      <c r="K388" s="279">
        <f>IF(K$1=0,"",IF($B388&lt;K$23,K387+PPMT(K$26/12,$B388,K$23,K$235,-K$27,0),IF($B388=K$23,K387+PPMT(K$26/12,$B388,K$23,K$235,-K$27,0)-K$27,0)))</f>
        <v/>
      </c>
      <c r="L388" s="279">
        <f>IF(L$1=0,"",IF($B388&lt;L$23,L387+PPMT(L$26/12,$B388,L$23,L$235,-L$27,0),IF($B388=L$23,L387+PPMT(L$26/12,$B388,L$23,L$235,-L$27,0)-L$27,0)))</f>
        <v/>
      </c>
      <c r="M388" s="279">
        <f>IF(M$1=0,"",IF($B388&lt;M$23,M387+PPMT(M$26/12,$B388,M$23,M$235,-M$27,0),IF($B388=M$23,M387+PPMT(M$26/12,$B388,M$23,M$235,-M$27,0)-M$27,0)))</f>
        <v/>
      </c>
      <c r="N388" s="280" t="n"/>
      <c r="O388" s="281" t="n"/>
    </row>
    <row r="389" hidden="1" outlineLevel="1">
      <c r="B389" s="2">
        <f>B388+1</f>
        <v/>
      </c>
      <c r="D389" s="279">
        <f>IF(B389&lt;$D$24,(+'CALCULETTE (2)'!G786/'CALCULETTE (2)'!$B$612),0)</f>
        <v/>
      </c>
      <c r="E389" s="279">
        <f>IF(E$1=0,"",IF($B389&lt;E$23,E388+PPMT(E$26/12,$B389,E$23,E$235,-E$27,0),IF($B389=E$23,E388+PPMT(E$26/12,$B389,E$23,E$235,-E$27,0)-E$27,0)))</f>
        <v/>
      </c>
      <c r="F389" s="279">
        <f>IF(F$1=0,"",IF($B389&lt;F$23,F388+PPMT(F$26/12,$B389,F$23,F$235,-F$27,0),IF($B389=F$23,F388+PPMT(F$26/12,$B389,F$23,F$235,-F$27,0)-F$27,0)))</f>
        <v/>
      </c>
      <c r="G389" s="279">
        <f>IF(G$1=0,"",IF($B389&lt;G$23,G388+PPMT(G$26/12,$B389,G$23,G$235,-G$27,0),IF($B389=G$23,G388+PPMT(G$26/12,$B389,G$23,G$235,-G$27,0)-G$27,0)))</f>
        <v/>
      </c>
      <c r="H389" s="279">
        <f>IF(H$1=0,"",IF($B389&lt;H$23,H388+PPMT(H$26/12,$B389,H$23,H$235,-H$27,0),IF($B389=H$23,H388+PPMT(H$26/12,$B389,H$23,H$235,-H$27,0)-H$27,0)))</f>
        <v/>
      </c>
      <c r="I389" s="279">
        <f>IF(I$1=0,"",IF($B389&lt;I$23,I388+PPMT(I$26/12,$B389,I$23,I$235,-I$27,0),IF($B389=I$23,I388+PPMT(I$26/12,$B389,I$23,I$235,-I$27,0)-I$27,0)))</f>
        <v/>
      </c>
      <c r="J389" s="279">
        <f>IF(J$1=0,"",IF($B389&lt;J$23,J388+PPMT(J$26/12,$B389,J$23,J$235,-J$27,0),IF($B389=J$23,J388+PPMT(J$26/12,$B389,J$23,J$235,-J$27,0)-J$27,0)))</f>
        <v/>
      </c>
      <c r="K389" s="279">
        <f>IF(K$1=0,"",IF($B389&lt;K$23,K388+PPMT(K$26/12,$B389,K$23,K$235,-K$27,0),IF($B389=K$23,K388+PPMT(K$26/12,$B389,K$23,K$235,-K$27,0)-K$27,0)))</f>
        <v/>
      </c>
      <c r="L389" s="279">
        <f>IF(L$1=0,"",IF($B389&lt;L$23,L388+PPMT(L$26/12,$B389,L$23,L$235,-L$27,0),IF($B389=L$23,L388+PPMT(L$26/12,$B389,L$23,L$235,-L$27,0)-L$27,0)))</f>
        <v/>
      </c>
      <c r="M389" s="279">
        <f>IF(M$1=0,"",IF($B389&lt;M$23,M388+PPMT(M$26/12,$B389,M$23,M$235,-M$27,0),IF($B389=M$23,M388+PPMT(M$26/12,$B389,M$23,M$235,-M$27,0)-M$27,0)))</f>
        <v/>
      </c>
      <c r="N389" s="280" t="n"/>
      <c r="O389" s="281" t="n"/>
    </row>
    <row r="390" hidden="1" outlineLevel="1">
      <c r="B390" s="2">
        <f>B389+1</f>
        <v/>
      </c>
      <c r="D390" s="279">
        <f>IF(B390&lt;$D$24,(+'CALCULETTE (2)'!G787/'CALCULETTE (2)'!$B$612),0)</f>
        <v/>
      </c>
      <c r="E390" s="279">
        <f>IF(E$1=0,"",IF($B390&lt;E$23,E389+PPMT(E$26/12,$B390,E$23,E$235,-E$27,0),IF($B390=E$23,E389+PPMT(E$26/12,$B390,E$23,E$235,-E$27,0)-E$27,0)))</f>
        <v/>
      </c>
      <c r="F390" s="279">
        <f>IF(F$1=0,"",IF($B390&lt;F$23,F389+PPMT(F$26/12,$B390,F$23,F$235,-F$27,0),IF($B390=F$23,F389+PPMT(F$26/12,$B390,F$23,F$235,-F$27,0)-F$27,0)))</f>
        <v/>
      </c>
      <c r="G390" s="279">
        <f>IF(G$1=0,"",IF($B390&lt;G$23,G389+PPMT(G$26/12,$B390,G$23,G$235,-G$27,0),IF($B390=G$23,G389+PPMT(G$26/12,$B390,G$23,G$235,-G$27,0)-G$27,0)))</f>
        <v/>
      </c>
      <c r="H390" s="279">
        <f>IF(H$1=0,"",IF($B390&lt;H$23,H389+PPMT(H$26/12,$B390,H$23,H$235,-H$27,0),IF($B390=H$23,H389+PPMT(H$26/12,$B390,H$23,H$235,-H$27,0)-H$27,0)))</f>
        <v/>
      </c>
      <c r="I390" s="279">
        <f>IF(I$1=0,"",IF($B390&lt;I$23,I389+PPMT(I$26/12,$B390,I$23,I$235,-I$27,0),IF($B390=I$23,I389+PPMT(I$26/12,$B390,I$23,I$235,-I$27,0)-I$27,0)))</f>
        <v/>
      </c>
      <c r="J390" s="279">
        <f>IF(J$1=0,"",IF($B390&lt;J$23,J389+PPMT(J$26/12,$B390,J$23,J$235,-J$27,0),IF($B390=J$23,J389+PPMT(J$26/12,$B390,J$23,J$235,-J$27,0)-J$27,0)))</f>
        <v/>
      </c>
      <c r="K390" s="279">
        <f>IF(K$1=0,"",IF($B390&lt;K$23,K389+PPMT(K$26/12,$B390,K$23,K$235,-K$27,0),IF($B390=K$23,K389+PPMT(K$26/12,$B390,K$23,K$235,-K$27,0)-K$27,0)))</f>
        <v/>
      </c>
      <c r="L390" s="279">
        <f>IF(L$1=0,"",IF($B390&lt;L$23,L389+PPMT(L$26/12,$B390,L$23,L$235,-L$27,0),IF($B390=L$23,L389+PPMT(L$26/12,$B390,L$23,L$235,-L$27,0)-L$27,0)))</f>
        <v/>
      </c>
      <c r="M390" s="279">
        <f>IF(M$1=0,"",IF($B390&lt;M$23,M389+PPMT(M$26/12,$B390,M$23,M$235,-M$27,0),IF($B390=M$23,M389+PPMT(M$26/12,$B390,M$23,M$235,-M$27,0)-M$27,0)))</f>
        <v/>
      </c>
      <c r="N390" s="280" t="n"/>
      <c r="O390" s="281" t="n"/>
    </row>
    <row r="391" hidden="1" outlineLevel="1">
      <c r="B391" s="2">
        <f>B390+1</f>
        <v/>
      </c>
      <c r="D391" s="279">
        <f>IF(B391&lt;$D$24,(+'CALCULETTE (2)'!G788/'CALCULETTE (2)'!$B$612),0)</f>
        <v/>
      </c>
      <c r="E391" s="279">
        <f>IF(E$1=0,"",IF($B391&lt;E$23,E390+PPMT(E$26/12,$B391,E$23,E$235,-E$27,0),IF($B391=E$23,E390+PPMT(E$26/12,$B391,E$23,E$235,-E$27,0)-E$27,0)))</f>
        <v/>
      </c>
      <c r="F391" s="279">
        <f>IF(F$1=0,"",IF($B391&lt;F$23,F390+PPMT(F$26/12,$B391,F$23,F$235,-F$27,0),IF($B391=F$23,F390+PPMT(F$26/12,$B391,F$23,F$235,-F$27,0)-F$27,0)))</f>
        <v/>
      </c>
      <c r="G391" s="279">
        <f>IF(G$1=0,"",IF($B391&lt;G$23,G390+PPMT(G$26/12,$B391,G$23,G$235,-G$27,0),IF($B391=G$23,G390+PPMT(G$26/12,$B391,G$23,G$235,-G$27,0)-G$27,0)))</f>
        <v/>
      </c>
      <c r="H391" s="279">
        <f>IF(H$1=0,"",IF($B391&lt;H$23,H390+PPMT(H$26/12,$B391,H$23,H$235,-H$27,0),IF($B391=H$23,H390+PPMT(H$26/12,$B391,H$23,H$235,-H$27,0)-H$27,0)))</f>
        <v/>
      </c>
      <c r="I391" s="279">
        <f>IF(I$1=0,"",IF($B391&lt;I$23,I390+PPMT(I$26/12,$B391,I$23,I$235,-I$27,0),IF($B391=I$23,I390+PPMT(I$26/12,$B391,I$23,I$235,-I$27,0)-I$27,0)))</f>
        <v/>
      </c>
      <c r="J391" s="279">
        <f>IF(J$1=0,"",IF($B391&lt;J$23,J390+PPMT(J$26/12,$B391,J$23,J$235,-J$27,0),IF($B391=J$23,J390+PPMT(J$26/12,$B391,J$23,J$235,-J$27,0)-J$27,0)))</f>
        <v/>
      </c>
      <c r="K391" s="279">
        <f>IF(K$1=0,"",IF($B391&lt;K$23,K390+PPMT(K$26/12,$B391,K$23,K$235,-K$27,0),IF($B391=K$23,K390+PPMT(K$26/12,$B391,K$23,K$235,-K$27,0)-K$27,0)))</f>
        <v/>
      </c>
      <c r="L391" s="279">
        <f>IF(L$1=0,"",IF($B391&lt;L$23,L390+PPMT(L$26/12,$B391,L$23,L$235,-L$27,0),IF($B391=L$23,L390+PPMT(L$26/12,$B391,L$23,L$235,-L$27,0)-L$27,0)))</f>
        <v/>
      </c>
      <c r="M391" s="279">
        <f>IF(M$1=0,"",IF($B391&lt;M$23,M390+PPMT(M$26/12,$B391,M$23,M$235,-M$27,0),IF($B391=M$23,M390+PPMT(M$26/12,$B391,M$23,M$235,-M$27,0)-M$27,0)))</f>
        <v/>
      </c>
      <c r="N391" s="280" t="n"/>
      <c r="O391" s="281" t="n"/>
    </row>
    <row r="392" hidden="1" outlineLevel="1">
      <c r="B392" s="2">
        <f>B391+1</f>
        <v/>
      </c>
      <c r="D392" s="279">
        <f>IF(B392&lt;$D$24,(+'CALCULETTE (2)'!G789/'CALCULETTE (2)'!$B$612),0)</f>
        <v/>
      </c>
      <c r="E392" s="279">
        <f>IF(E$1=0,"",IF($B392&lt;E$23,E391+PPMT(E$26/12,$B392,E$23,E$235,-E$27,0),IF($B392=E$23,E391+PPMT(E$26/12,$B392,E$23,E$235,-E$27,0)-E$27,0)))</f>
        <v/>
      </c>
      <c r="F392" s="279">
        <f>IF(F$1=0,"",IF($B392&lt;F$23,F391+PPMT(F$26/12,$B392,F$23,F$235,-F$27,0),IF($B392=F$23,F391+PPMT(F$26/12,$B392,F$23,F$235,-F$27,0)-F$27,0)))</f>
        <v/>
      </c>
      <c r="G392" s="279">
        <f>IF(G$1=0,"",IF($B392&lt;G$23,G391+PPMT(G$26/12,$B392,G$23,G$235,-G$27,0),IF($B392=G$23,G391+PPMT(G$26/12,$B392,G$23,G$235,-G$27,0)-G$27,0)))</f>
        <v/>
      </c>
      <c r="H392" s="279">
        <f>IF(H$1=0,"",IF($B392&lt;H$23,H391+PPMT(H$26/12,$B392,H$23,H$235,-H$27,0),IF($B392=H$23,H391+PPMT(H$26/12,$B392,H$23,H$235,-H$27,0)-H$27,0)))</f>
        <v/>
      </c>
      <c r="I392" s="279">
        <f>IF(I$1=0,"",IF($B392&lt;I$23,I391+PPMT(I$26/12,$B392,I$23,I$235,-I$27,0),IF($B392=I$23,I391+PPMT(I$26/12,$B392,I$23,I$235,-I$27,0)-I$27,0)))</f>
        <v/>
      </c>
      <c r="J392" s="279">
        <f>IF(J$1=0,"",IF($B392&lt;J$23,J391+PPMT(J$26/12,$B392,J$23,J$235,-J$27,0),IF($B392=J$23,J391+PPMT(J$26/12,$B392,J$23,J$235,-J$27,0)-J$27,0)))</f>
        <v/>
      </c>
      <c r="K392" s="279">
        <f>IF(K$1=0,"",IF($B392&lt;K$23,K391+PPMT(K$26/12,$B392,K$23,K$235,-K$27,0),IF($B392=K$23,K391+PPMT(K$26/12,$B392,K$23,K$235,-K$27,0)-K$27,0)))</f>
        <v/>
      </c>
      <c r="L392" s="279">
        <f>IF(L$1=0,"",IF($B392&lt;L$23,L391+PPMT(L$26/12,$B392,L$23,L$235,-L$27,0),IF($B392=L$23,L391+PPMT(L$26/12,$B392,L$23,L$235,-L$27,0)-L$27,0)))</f>
        <v/>
      </c>
      <c r="M392" s="279">
        <f>IF(M$1=0,"",IF($B392&lt;M$23,M391+PPMT(M$26/12,$B392,M$23,M$235,-M$27,0),IF($B392=M$23,M391+PPMT(M$26/12,$B392,M$23,M$235,-M$27,0)-M$27,0)))</f>
        <v/>
      </c>
      <c r="N392" s="280" t="n"/>
      <c r="O392" s="281" t="n"/>
    </row>
    <row r="393" hidden="1" outlineLevel="1">
      <c r="B393" s="2">
        <f>B392+1</f>
        <v/>
      </c>
      <c r="D393" s="279">
        <f>IF(B393&lt;$D$24,(+'CALCULETTE (2)'!G790/'CALCULETTE (2)'!$B$612),0)</f>
        <v/>
      </c>
      <c r="E393" s="279">
        <f>IF(E$1=0,"",IF($B393&lt;E$23,E392+PPMT(E$26/12,$B393,E$23,E$235,-E$27,0),IF($B393=E$23,E392+PPMT(E$26/12,$B393,E$23,E$235,-E$27,0)-E$27,0)))</f>
        <v/>
      </c>
      <c r="F393" s="279">
        <f>IF(F$1=0,"",IF($B393&lt;F$23,F392+PPMT(F$26/12,$B393,F$23,F$235,-F$27,0),IF($B393=F$23,F392+PPMT(F$26/12,$B393,F$23,F$235,-F$27,0)-F$27,0)))</f>
        <v/>
      </c>
      <c r="G393" s="279">
        <f>IF(G$1=0,"",IF($B393&lt;G$23,G392+PPMT(G$26/12,$B393,G$23,G$235,-G$27,0),IF($B393=G$23,G392+PPMT(G$26/12,$B393,G$23,G$235,-G$27,0)-G$27,0)))</f>
        <v/>
      </c>
      <c r="H393" s="279">
        <f>IF(H$1=0,"",IF($B393&lt;H$23,H392+PPMT(H$26/12,$B393,H$23,H$235,-H$27,0),IF($B393=H$23,H392+PPMT(H$26/12,$B393,H$23,H$235,-H$27,0)-H$27,0)))</f>
        <v/>
      </c>
      <c r="I393" s="279">
        <f>IF(I$1=0,"",IF($B393&lt;I$23,I392+PPMT(I$26/12,$B393,I$23,I$235,-I$27,0),IF($B393=I$23,I392+PPMT(I$26/12,$B393,I$23,I$235,-I$27,0)-I$27,0)))</f>
        <v/>
      </c>
      <c r="J393" s="279">
        <f>IF(J$1=0,"",IF($B393&lt;J$23,J392+PPMT(J$26/12,$B393,J$23,J$235,-J$27,0),IF($B393=J$23,J392+PPMT(J$26/12,$B393,J$23,J$235,-J$27,0)-J$27,0)))</f>
        <v/>
      </c>
      <c r="K393" s="279">
        <f>IF(K$1=0,"",IF($B393&lt;K$23,K392+PPMT(K$26/12,$B393,K$23,K$235,-K$27,0),IF($B393=K$23,K392+PPMT(K$26/12,$B393,K$23,K$235,-K$27,0)-K$27,0)))</f>
        <v/>
      </c>
      <c r="L393" s="279">
        <f>IF(L$1=0,"",IF($B393&lt;L$23,L392+PPMT(L$26/12,$B393,L$23,L$235,-L$27,0),IF($B393=L$23,L392+PPMT(L$26/12,$B393,L$23,L$235,-L$27,0)-L$27,0)))</f>
        <v/>
      </c>
      <c r="M393" s="279">
        <f>IF(M$1=0,"",IF($B393&lt;M$23,M392+PPMT(M$26/12,$B393,M$23,M$235,-M$27,0),IF($B393=M$23,M392+PPMT(M$26/12,$B393,M$23,M$235,-M$27,0)-M$27,0)))</f>
        <v/>
      </c>
      <c r="N393" s="280" t="n"/>
      <c r="O393" s="281" t="n"/>
    </row>
    <row r="394" hidden="1" outlineLevel="1">
      <c r="B394" s="2">
        <f>B393+1</f>
        <v/>
      </c>
      <c r="D394" s="279">
        <f>IF(B394&lt;$D$24,(+'CALCULETTE (2)'!G791/'CALCULETTE (2)'!$B$612),0)</f>
        <v/>
      </c>
      <c r="E394" s="279">
        <f>IF(E$1=0,"",IF($B394&lt;E$23,E393+PPMT(E$26/12,$B394,E$23,E$235,-E$27,0),IF($B394=E$23,E393+PPMT(E$26/12,$B394,E$23,E$235,-E$27,0)-E$27,0)))</f>
        <v/>
      </c>
      <c r="F394" s="279">
        <f>IF(F$1=0,"",IF($B394&lt;F$23,F393+PPMT(F$26/12,$B394,F$23,F$235,-F$27,0),IF($B394=F$23,F393+PPMT(F$26/12,$B394,F$23,F$235,-F$27,0)-F$27,0)))</f>
        <v/>
      </c>
      <c r="G394" s="279">
        <f>IF(G$1=0,"",IF($B394&lt;G$23,G393+PPMT(G$26/12,$B394,G$23,G$235,-G$27,0),IF($B394=G$23,G393+PPMT(G$26/12,$B394,G$23,G$235,-G$27,0)-G$27,0)))</f>
        <v/>
      </c>
      <c r="H394" s="279">
        <f>IF(H$1=0,"",IF($B394&lt;H$23,H393+PPMT(H$26/12,$B394,H$23,H$235,-H$27,0),IF($B394=H$23,H393+PPMT(H$26/12,$B394,H$23,H$235,-H$27,0)-H$27,0)))</f>
        <v/>
      </c>
      <c r="I394" s="279">
        <f>IF(I$1=0,"",IF($B394&lt;I$23,I393+PPMT(I$26/12,$B394,I$23,I$235,-I$27,0),IF($B394=I$23,I393+PPMT(I$26/12,$B394,I$23,I$235,-I$27,0)-I$27,0)))</f>
        <v/>
      </c>
      <c r="J394" s="279">
        <f>IF(J$1=0,"",IF($B394&lt;J$23,J393+PPMT(J$26/12,$B394,J$23,J$235,-J$27,0),IF($B394=J$23,J393+PPMT(J$26/12,$B394,J$23,J$235,-J$27,0)-J$27,0)))</f>
        <v/>
      </c>
      <c r="K394" s="279">
        <f>IF(K$1=0,"",IF($B394&lt;K$23,K393+PPMT(K$26/12,$B394,K$23,K$235,-K$27,0),IF($B394=K$23,K393+PPMT(K$26/12,$B394,K$23,K$235,-K$27,0)-K$27,0)))</f>
        <v/>
      </c>
      <c r="L394" s="279">
        <f>IF(L$1=0,"",IF($B394&lt;L$23,L393+PPMT(L$26/12,$B394,L$23,L$235,-L$27,0),IF($B394=L$23,L393+PPMT(L$26/12,$B394,L$23,L$235,-L$27,0)-L$27,0)))</f>
        <v/>
      </c>
      <c r="M394" s="279">
        <f>IF(M$1=0,"",IF($B394&lt;M$23,M393+PPMT(M$26/12,$B394,M$23,M$235,-M$27,0),IF($B394=M$23,M393+PPMT(M$26/12,$B394,M$23,M$235,-M$27,0)-M$27,0)))</f>
        <v/>
      </c>
      <c r="N394" s="280" t="n"/>
      <c r="O394" s="281" t="n"/>
    </row>
    <row r="395" hidden="1" outlineLevel="1">
      <c r="B395" s="2">
        <f>B394+1</f>
        <v/>
      </c>
      <c r="D395" s="279">
        <f>IF(B395&lt;$D$24,(+'CALCULETTE (2)'!G792/'CALCULETTE (2)'!$B$612),0)</f>
        <v/>
      </c>
      <c r="E395" s="279">
        <f>IF(E$1=0,"",IF($B395&lt;E$23,E394+PPMT(E$26/12,$B395,E$23,E$235,-E$27,0),IF($B395=E$23,E394+PPMT(E$26/12,$B395,E$23,E$235,-E$27,0)-E$27,0)))</f>
        <v/>
      </c>
      <c r="F395" s="279">
        <f>IF(F$1=0,"",IF($B395&lt;F$23,F394+PPMT(F$26/12,$B395,F$23,F$235,-F$27,0),IF($B395=F$23,F394+PPMT(F$26/12,$B395,F$23,F$235,-F$27,0)-F$27,0)))</f>
        <v/>
      </c>
      <c r="G395" s="279">
        <f>IF(G$1=0,"",IF($B395&lt;G$23,G394+PPMT(G$26/12,$B395,G$23,G$235,-G$27,0),IF($B395=G$23,G394+PPMT(G$26/12,$B395,G$23,G$235,-G$27,0)-G$27,0)))</f>
        <v/>
      </c>
      <c r="H395" s="279">
        <f>IF(H$1=0,"",IF($B395&lt;H$23,H394+PPMT(H$26/12,$B395,H$23,H$235,-H$27,0),IF($B395=H$23,H394+PPMT(H$26/12,$B395,H$23,H$235,-H$27,0)-H$27,0)))</f>
        <v/>
      </c>
      <c r="I395" s="279">
        <f>IF(I$1=0,"",IF($B395&lt;I$23,I394+PPMT(I$26/12,$B395,I$23,I$235,-I$27,0),IF($B395=I$23,I394+PPMT(I$26/12,$B395,I$23,I$235,-I$27,0)-I$27,0)))</f>
        <v/>
      </c>
      <c r="J395" s="279">
        <f>IF(J$1=0,"",IF($B395&lt;J$23,J394+PPMT(J$26/12,$B395,J$23,J$235,-J$27,0),IF($B395=J$23,J394+PPMT(J$26/12,$B395,J$23,J$235,-J$27,0)-J$27,0)))</f>
        <v/>
      </c>
      <c r="K395" s="279">
        <f>IF(K$1=0,"",IF($B395&lt;K$23,K394+PPMT(K$26/12,$B395,K$23,K$235,-K$27,0),IF($B395=K$23,K394+PPMT(K$26/12,$B395,K$23,K$235,-K$27,0)-K$27,0)))</f>
        <v/>
      </c>
      <c r="L395" s="279">
        <f>IF(L$1=0,"",IF($B395&lt;L$23,L394+PPMT(L$26/12,$B395,L$23,L$235,-L$27,0),IF($B395=L$23,L394+PPMT(L$26/12,$B395,L$23,L$235,-L$27,0)-L$27,0)))</f>
        <v/>
      </c>
      <c r="M395" s="279">
        <f>IF(M$1=0,"",IF($B395&lt;M$23,M394+PPMT(M$26/12,$B395,M$23,M$235,-M$27,0),IF($B395=M$23,M394+PPMT(M$26/12,$B395,M$23,M$235,-M$27,0)-M$27,0)))</f>
        <v/>
      </c>
      <c r="N395" s="280" t="n"/>
      <c r="O395" s="281" t="n"/>
    </row>
    <row r="396" hidden="1" outlineLevel="1">
      <c r="B396" s="2">
        <f>B395+1</f>
        <v/>
      </c>
      <c r="D396" s="279">
        <f>IF(B396&lt;$D$24,(+'CALCULETTE (2)'!G793/'CALCULETTE (2)'!$B$612),0)</f>
        <v/>
      </c>
      <c r="E396" s="279">
        <f>IF(E$1=0,"",IF($B396&lt;E$23,E395+PPMT(E$26/12,$B396,E$23,E$235,-E$27,0),IF($B396=E$23,E395+PPMT(E$26/12,$B396,E$23,E$235,-E$27,0)-E$27,0)))</f>
        <v/>
      </c>
      <c r="F396" s="279">
        <f>IF(F$1=0,"",IF($B396&lt;F$23,F395+PPMT(F$26/12,$B396,F$23,F$235,-F$27,0),IF($B396=F$23,F395+PPMT(F$26/12,$B396,F$23,F$235,-F$27,0)-F$27,0)))</f>
        <v/>
      </c>
      <c r="G396" s="279">
        <f>IF(G$1=0,"",IF($B396&lt;G$23,G395+PPMT(G$26/12,$B396,G$23,G$235,-G$27,0),IF($B396=G$23,G395+PPMT(G$26/12,$B396,G$23,G$235,-G$27,0)-G$27,0)))</f>
        <v/>
      </c>
      <c r="H396" s="279">
        <f>IF(H$1=0,"",IF($B396&lt;H$23,H395+PPMT(H$26/12,$B396,H$23,H$235,-H$27,0),IF($B396=H$23,H395+PPMT(H$26/12,$B396,H$23,H$235,-H$27,0)-H$27,0)))</f>
        <v/>
      </c>
      <c r="I396" s="279">
        <f>IF(I$1=0,"",IF($B396&lt;I$23,I395+PPMT(I$26/12,$B396,I$23,I$235,-I$27,0),IF($B396=I$23,I395+PPMT(I$26/12,$B396,I$23,I$235,-I$27,0)-I$27,0)))</f>
        <v/>
      </c>
      <c r="J396" s="279">
        <f>IF(J$1=0,"",IF($B396&lt;J$23,J395+PPMT(J$26/12,$B396,J$23,J$235,-J$27,0),IF($B396=J$23,J395+PPMT(J$26/12,$B396,J$23,J$235,-J$27,0)-J$27,0)))</f>
        <v/>
      </c>
      <c r="K396" s="279">
        <f>IF(K$1=0,"",IF($B396&lt;K$23,K395+PPMT(K$26/12,$B396,K$23,K$235,-K$27,0),IF($B396=K$23,K395+PPMT(K$26/12,$B396,K$23,K$235,-K$27,0)-K$27,0)))</f>
        <v/>
      </c>
      <c r="L396" s="279">
        <f>IF(L$1=0,"",IF($B396&lt;L$23,L395+PPMT(L$26/12,$B396,L$23,L$235,-L$27,0),IF($B396=L$23,L395+PPMT(L$26/12,$B396,L$23,L$235,-L$27,0)-L$27,0)))</f>
        <v/>
      </c>
      <c r="M396" s="279">
        <f>IF(M$1=0,"",IF($B396&lt;M$23,M395+PPMT(M$26/12,$B396,M$23,M$235,-M$27,0),IF($B396=M$23,M395+PPMT(M$26/12,$B396,M$23,M$235,-M$27,0)-M$27,0)))</f>
        <v/>
      </c>
      <c r="N396" s="280" t="n"/>
      <c r="O396" s="281" t="n"/>
    </row>
    <row r="397" hidden="1" outlineLevel="1">
      <c r="B397" s="2">
        <f>B396+1</f>
        <v/>
      </c>
      <c r="D397" s="279">
        <f>IF(B397&lt;$D$24,(+'CALCULETTE (2)'!G794/'CALCULETTE (2)'!$B$612),0)</f>
        <v/>
      </c>
      <c r="E397" s="279">
        <f>IF(E$1=0,"",IF($B397&lt;E$23,E396+PPMT(E$26/12,$B397,E$23,E$235,-E$27,0),IF($B397=E$23,E396+PPMT(E$26/12,$B397,E$23,E$235,-E$27,0)-E$27,0)))</f>
        <v/>
      </c>
      <c r="F397" s="279">
        <f>IF(F$1=0,"",IF($B397&lt;F$23,F396+PPMT(F$26/12,$B397,F$23,F$235,-F$27,0),IF($B397=F$23,F396+PPMT(F$26/12,$B397,F$23,F$235,-F$27,0)-F$27,0)))</f>
        <v/>
      </c>
      <c r="G397" s="279">
        <f>IF(G$1=0,"",IF($B397&lt;G$23,G396+PPMT(G$26/12,$B397,G$23,G$235,-G$27,0),IF($B397=G$23,G396+PPMT(G$26/12,$B397,G$23,G$235,-G$27,0)-G$27,0)))</f>
        <v/>
      </c>
      <c r="H397" s="279">
        <f>IF(H$1=0,"",IF($B397&lt;H$23,H396+PPMT(H$26/12,$B397,H$23,H$235,-H$27,0),IF($B397=H$23,H396+PPMT(H$26/12,$B397,H$23,H$235,-H$27,0)-H$27,0)))</f>
        <v/>
      </c>
      <c r="I397" s="279">
        <f>IF(I$1=0,"",IF($B397&lt;I$23,I396+PPMT(I$26/12,$B397,I$23,I$235,-I$27,0),IF($B397=I$23,I396+PPMT(I$26/12,$B397,I$23,I$235,-I$27,0)-I$27,0)))</f>
        <v/>
      </c>
      <c r="J397" s="279">
        <f>IF(J$1=0,"",IF($B397&lt;J$23,J396+PPMT(J$26/12,$B397,J$23,J$235,-J$27,0),IF($B397=J$23,J396+PPMT(J$26/12,$B397,J$23,J$235,-J$27,0)-J$27,0)))</f>
        <v/>
      </c>
      <c r="K397" s="279">
        <f>IF(K$1=0,"",IF($B397&lt;K$23,K396+PPMT(K$26/12,$B397,K$23,K$235,-K$27,0),IF($B397=K$23,K396+PPMT(K$26/12,$B397,K$23,K$235,-K$27,0)-K$27,0)))</f>
        <v/>
      </c>
      <c r="L397" s="279">
        <f>IF(L$1=0,"",IF($B397&lt;L$23,L396+PPMT(L$26/12,$B397,L$23,L$235,-L$27,0),IF($B397=L$23,L396+PPMT(L$26/12,$B397,L$23,L$235,-L$27,0)-L$27,0)))</f>
        <v/>
      </c>
      <c r="M397" s="279">
        <f>IF(M$1=0,"",IF($B397&lt;M$23,M396+PPMT(M$26/12,$B397,M$23,M$235,-M$27,0),IF($B397=M$23,M396+PPMT(M$26/12,$B397,M$23,M$235,-M$27,0)-M$27,0)))</f>
        <v/>
      </c>
      <c r="N397" s="280" t="n"/>
      <c r="O397" s="281" t="n"/>
    </row>
    <row r="398" hidden="1" outlineLevel="1">
      <c r="B398" s="2">
        <f>B397+1</f>
        <v/>
      </c>
      <c r="D398" s="279">
        <f>IF(B398&lt;$D$24,(+'CALCULETTE (2)'!G795/'CALCULETTE (2)'!$B$612),0)</f>
        <v/>
      </c>
      <c r="E398" s="279">
        <f>IF(E$1=0,"",IF($B398&lt;E$23,E397+PPMT(E$26/12,$B398,E$23,E$235,-E$27,0),IF($B398=E$23,E397+PPMT(E$26/12,$B398,E$23,E$235,-E$27,0)-E$27,0)))</f>
        <v/>
      </c>
      <c r="F398" s="279">
        <f>IF(F$1=0,"",IF($B398&lt;F$23,F397+PPMT(F$26/12,$B398,F$23,F$235,-F$27,0),IF($B398=F$23,F397+PPMT(F$26/12,$B398,F$23,F$235,-F$27,0)-F$27,0)))</f>
        <v/>
      </c>
      <c r="G398" s="279">
        <f>IF(G$1=0,"",IF($B398&lt;G$23,G397+PPMT(G$26/12,$B398,G$23,G$235,-G$27,0),IF($B398=G$23,G397+PPMT(G$26/12,$B398,G$23,G$235,-G$27,0)-G$27,0)))</f>
        <v/>
      </c>
      <c r="H398" s="279">
        <f>IF(H$1=0,"",IF($B398&lt;H$23,H397+PPMT(H$26/12,$B398,H$23,H$235,-H$27,0),IF($B398=H$23,H397+PPMT(H$26/12,$B398,H$23,H$235,-H$27,0)-H$27,0)))</f>
        <v/>
      </c>
      <c r="I398" s="279">
        <f>IF(I$1=0,"",IF($B398&lt;I$23,I397+PPMT(I$26/12,$B398,I$23,I$235,-I$27,0),IF($B398=I$23,I397+PPMT(I$26/12,$B398,I$23,I$235,-I$27,0)-I$27,0)))</f>
        <v/>
      </c>
      <c r="J398" s="279">
        <f>IF(J$1=0,"",IF($B398&lt;J$23,J397+PPMT(J$26/12,$B398,J$23,J$235,-J$27,0),IF($B398=J$23,J397+PPMT(J$26/12,$B398,J$23,J$235,-J$27,0)-J$27,0)))</f>
        <v/>
      </c>
      <c r="K398" s="279">
        <f>IF(K$1=0,"",IF($B398&lt;K$23,K397+PPMT(K$26/12,$B398,K$23,K$235,-K$27,0),IF($B398=K$23,K397+PPMT(K$26/12,$B398,K$23,K$235,-K$27,0)-K$27,0)))</f>
        <v/>
      </c>
      <c r="L398" s="279">
        <f>IF(L$1=0,"",IF($B398&lt;L$23,L397+PPMT(L$26/12,$B398,L$23,L$235,-L$27,0),IF($B398=L$23,L397+PPMT(L$26/12,$B398,L$23,L$235,-L$27,0)-L$27,0)))</f>
        <v/>
      </c>
      <c r="M398" s="279">
        <f>IF(M$1=0,"",IF($B398&lt;M$23,M397+PPMT(M$26/12,$B398,M$23,M$235,-M$27,0),IF($B398=M$23,M397+PPMT(M$26/12,$B398,M$23,M$235,-M$27,0)-M$27,0)))</f>
        <v/>
      </c>
      <c r="N398" s="280" t="n"/>
      <c r="O398" s="281" t="n"/>
    </row>
    <row r="399" hidden="1" outlineLevel="1">
      <c r="B399" s="2">
        <f>B398+1</f>
        <v/>
      </c>
      <c r="D399" s="279">
        <f>IF(B399&lt;$D$24,(+'CALCULETTE (2)'!G796/'CALCULETTE (2)'!$B$612),0)</f>
        <v/>
      </c>
      <c r="E399" s="279">
        <f>IF(E$1=0,"",IF($B399&lt;E$23,E398+PPMT(E$26/12,$B399,E$23,E$235,-E$27,0),IF($B399=E$23,E398+PPMT(E$26/12,$B399,E$23,E$235,-E$27,0)-E$27,0)))</f>
        <v/>
      </c>
      <c r="F399" s="279">
        <f>IF(F$1=0,"",IF($B399&lt;F$23,F398+PPMT(F$26/12,$B399,F$23,F$235,-F$27,0),IF($B399=F$23,F398+PPMT(F$26/12,$B399,F$23,F$235,-F$27,0)-F$27,0)))</f>
        <v/>
      </c>
      <c r="G399" s="279">
        <f>IF(G$1=0,"",IF($B399&lt;G$23,G398+PPMT(G$26/12,$B399,G$23,G$235,-G$27,0),IF($B399=G$23,G398+PPMT(G$26/12,$B399,G$23,G$235,-G$27,0)-G$27,0)))</f>
        <v/>
      </c>
      <c r="H399" s="279">
        <f>IF(H$1=0,"",IF($B399&lt;H$23,H398+PPMT(H$26/12,$B399,H$23,H$235,-H$27,0),IF($B399=H$23,H398+PPMT(H$26/12,$B399,H$23,H$235,-H$27,0)-H$27,0)))</f>
        <v/>
      </c>
      <c r="I399" s="279">
        <f>IF(I$1=0,"",IF($B399&lt;I$23,I398+PPMT(I$26/12,$B399,I$23,I$235,-I$27,0),IF($B399=I$23,I398+PPMT(I$26/12,$B399,I$23,I$235,-I$27,0)-I$27,0)))</f>
        <v/>
      </c>
      <c r="J399" s="279">
        <f>IF(J$1=0,"",IF($B399&lt;J$23,J398+PPMT(J$26/12,$B399,J$23,J$235,-J$27,0),IF($B399=J$23,J398+PPMT(J$26/12,$B399,J$23,J$235,-J$27,0)-J$27,0)))</f>
        <v/>
      </c>
      <c r="K399" s="279">
        <f>IF(K$1=0,"",IF($B399&lt;K$23,K398+PPMT(K$26/12,$B399,K$23,K$235,-K$27,0),IF($B399=K$23,K398+PPMT(K$26/12,$B399,K$23,K$235,-K$27,0)-K$27,0)))</f>
        <v/>
      </c>
      <c r="L399" s="279">
        <f>IF(L$1=0,"",IF($B399&lt;L$23,L398+PPMT(L$26/12,$B399,L$23,L$235,-L$27,0),IF($B399=L$23,L398+PPMT(L$26/12,$B399,L$23,L$235,-L$27,0)-L$27,0)))</f>
        <v/>
      </c>
      <c r="M399" s="279">
        <f>IF(M$1=0,"",IF($B399&lt;M$23,M398+PPMT(M$26/12,$B399,M$23,M$235,-M$27,0),IF($B399=M$23,M398+PPMT(M$26/12,$B399,M$23,M$235,-M$27,0)-M$27,0)))</f>
        <v/>
      </c>
      <c r="N399" s="280" t="n"/>
      <c r="O399" s="281" t="n"/>
    </row>
    <row r="400" hidden="1" outlineLevel="1">
      <c r="B400" s="2">
        <f>B399+1</f>
        <v/>
      </c>
      <c r="D400" s="279">
        <f>IF(B400&lt;$D$24,(+'CALCULETTE (2)'!G797/'CALCULETTE (2)'!$B$612),0)</f>
        <v/>
      </c>
      <c r="E400" s="279">
        <f>IF(E$1=0,"",IF($B400&lt;E$23,E399+PPMT(E$26/12,$B400,E$23,E$235,-E$27,0),IF($B400=E$23,E399+PPMT(E$26/12,$B400,E$23,E$235,-E$27,0)-E$27,0)))</f>
        <v/>
      </c>
      <c r="F400" s="279">
        <f>IF(F$1=0,"",IF($B400&lt;F$23,F399+PPMT(F$26/12,$B400,F$23,F$235,-F$27,0),IF($B400=F$23,F399+PPMT(F$26/12,$B400,F$23,F$235,-F$27,0)-F$27,0)))</f>
        <v/>
      </c>
      <c r="G400" s="279">
        <f>IF(G$1=0,"",IF($B400&lt;G$23,G399+PPMT(G$26/12,$B400,G$23,G$235,-G$27,0),IF($B400=G$23,G399+PPMT(G$26/12,$B400,G$23,G$235,-G$27,0)-G$27,0)))</f>
        <v/>
      </c>
      <c r="H400" s="279">
        <f>IF(H$1=0,"",IF($B400&lt;H$23,H399+PPMT(H$26/12,$B400,H$23,H$235,-H$27,0),IF($B400=H$23,H399+PPMT(H$26/12,$B400,H$23,H$235,-H$27,0)-H$27,0)))</f>
        <v/>
      </c>
      <c r="I400" s="279">
        <f>IF(I$1=0,"",IF($B400&lt;I$23,I399+PPMT(I$26/12,$B400,I$23,I$235,-I$27,0),IF($B400=I$23,I399+PPMT(I$26/12,$B400,I$23,I$235,-I$27,0)-I$27,0)))</f>
        <v/>
      </c>
      <c r="J400" s="279">
        <f>IF(J$1=0,"",IF($B400&lt;J$23,J399+PPMT(J$26/12,$B400,J$23,J$235,-J$27,0),IF($B400=J$23,J399+PPMT(J$26/12,$B400,J$23,J$235,-J$27,0)-J$27,0)))</f>
        <v/>
      </c>
      <c r="K400" s="279">
        <f>IF(K$1=0,"",IF($B400&lt;K$23,K399+PPMT(K$26/12,$B400,K$23,K$235,-K$27,0),IF($B400=K$23,K399+PPMT(K$26/12,$B400,K$23,K$235,-K$27,0)-K$27,0)))</f>
        <v/>
      </c>
      <c r="L400" s="279">
        <f>IF(L$1=0,"",IF($B400&lt;L$23,L399+PPMT(L$26/12,$B400,L$23,L$235,-L$27,0),IF($B400=L$23,L399+PPMT(L$26/12,$B400,L$23,L$235,-L$27,0)-L$27,0)))</f>
        <v/>
      </c>
      <c r="M400" s="279">
        <f>IF(M$1=0,"",IF($B400&lt;M$23,M399+PPMT(M$26/12,$B400,M$23,M$235,-M$27,0),IF($B400=M$23,M399+PPMT(M$26/12,$B400,M$23,M$235,-M$27,0)-M$27,0)))</f>
        <v/>
      </c>
      <c r="N400" s="280" t="n"/>
      <c r="O400" s="281" t="n"/>
    </row>
    <row r="401" hidden="1" outlineLevel="1">
      <c r="B401" s="2">
        <f>B400+1</f>
        <v/>
      </c>
      <c r="D401" s="279">
        <f>IF(B401&lt;$D$24,(+'CALCULETTE (2)'!G798/'CALCULETTE (2)'!$B$612),0)</f>
        <v/>
      </c>
      <c r="E401" s="279">
        <f>IF(E$1=0,"",IF($B401&lt;E$23,E400+PPMT(E$26/12,$B401,E$23,E$235,-E$27,0),IF($B401=E$23,E400+PPMT(E$26/12,$B401,E$23,E$235,-E$27,0)-E$27,0)))</f>
        <v/>
      </c>
      <c r="F401" s="279">
        <f>IF(F$1=0,"",IF($B401&lt;F$23,F400+PPMT(F$26/12,$B401,F$23,F$235,-F$27,0),IF($B401=F$23,F400+PPMT(F$26/12,$B401,F$23,F$235,-F$27,0)-F$27,0)))</f>
        <v/>
      </c>
      <c r="G401" s="279">
        <f>IF(G$1=0,"",IF($B401&lt;G$23,G400+PPMT(G$26/12,$B401,G$23,G$235,-G$27,0),IF($B401=G$23,G400+PPMT(G$26/12,$B401,G$23,G$235,-G$27,0)-G$27,0)))</f>
        <v/>
      </c>
      <c r="H401" s="279">
        <f>IF(H$1=0,"",IF($B401&lt;H$23,H400+PPMT(H$26/12,$B401,H$23,H$235,-H$27,0),IF($B401=H$23,H400+PPMT(H$26/12,$B401,H$23,H$235,-H$27,0)-H$27,0)))</f>
        <v/>
      </c>
      <c r="I401" s="279">
        <f>IF(I$1=0,"",IF($B401&lt;I$23,I400+PPMT(I$26/12,$B401,I$23,I$235,-I$27,0),IF($B401=I$23,I400+PPMT(I$26/12,$B401,I$23,I$235,-I$27,0)-I$27,0)))</f>
        <v/>
      </c>
      <c r="J401" s="279">
        <f>IF(J$1=0,"",IF($B401&lt;J$23,J400+PPMT(J$26/12,$B401,J$23,J$235,-J$27,0),IF($B401=J$23,J400+PPMT(J$26/12,$B401,J$23,J$235,-J$27,0)-J$27,0)))</f>
        <v/>
      </c>
      <c r="K401" s="279">
        <f>IF(K$1=0,"",IF($B401&lt;K$23,K400+PPMT(K$26/12,$B401,K$23,K$235,-K$27,0),IF($B401=K$23,K400+PPMT(K$26/12,$B401,K$23,K$235,-K$27,0)-K$27,0)))</f>
        <v/>
      </c>
      <c r="L401" s="279">
        <f>IF(L$1=0,"",IF($B401&lt;L$23,L400+PPMT(L$26/12,$B401,L$23,L$235,-L$27,0),IF($B401=L$23,L400+PPMT(L$26/12,$B401,L$23,L$235,-L$27,0)-L$27,0)))</f>
        <v/>
      </c>
      <c r="M401" s="279">
        <f>IF(M$1=0,"",IF($B401&lt;M$23,M400+PPMT(M$26/12,$B401,M$23,M$235,-M$27,0),IF($B401=M$23,M400+PPMT(M$26/12,$B401,M$23,M$235,-M$27,0)-M$27,0)))</f>
        <v/>
      </c>
      <c r="N401" s="280" t="n"/>
      <c r="O401" s="281" t="n"/>
    </row>
    <row r="402" hidden="1" outlineLevel="1">
      <c r="B402" s="2">
        <f>B401+1</f>
        <v/>
      </c>
      <c r="D402" s="279">
        <f>IF(B402&lt;$D$24,(+'CALCULETTE (2)'!G799/'CALCULETTE (2)'!$B$612),0)</f>
        <v/>
      </c>
      <c r="E402" s="279">
        <f>IF(E$1=0,"",IF($B402&lt;E$23,E401+PPMT(E$26/12,$B402,E$23,E$235,-E$27,0),IF($B402=E$23,E401+PPMT(E$26/12,$B402,E$23,E$235,-E$27,0)-E$27,0)))</f>
        <v/>
      </c>
      <c r="F402" s="279">
        <f>IF(F$1=0,"",IF($B402&lt;F$23,F401+PPMT(F$26/12,$B402,F$23,F$235,-F$27,0),IF($B402=F$23,F401+PPMT(F$26/12,$B402,F$23,F$235,-F$27,0)-F$27,0)))</f>
        <v/>
      </c>
      <c r="G402" s="279">
        <f>IF(G$1=0,"",IF($B402&lt;G$23,G401+PPMT(G$26/12,$B402,G$23,G$235,-G$27,0),IF($B402=G$23,G401+PPMT(G$26/12,$B402,G$23,G$235,-G$27,0)-G$27,0)))</f>
        <v/>
      </c>
      <c r="H402" s="279">
        <f>IF(H$1=0,"",IF($B402&lt;H$23,H401+PPMT(H$26/12,$B402,H$23,H$235,-H$27,0),IF($B402=H$23,H401+PPMT(H$26/12,$B402,H$23,H$235,-H$27,0)-H$27,0)))</f>
        <v/>
      </c>
      <c r="I402" s="279">
        <f>IF(I$1=0,"",IF($B402&lt;I$23,I401+PPMT(I$26/12,$B402,I$23,I$235,-I$27,0),IF($B402=I$23,I401+PPMT(I$26/12,$B402,I$23,I$235,-I$27,0)-I$27,0)))</f>
        <v/>
      </c>
      <c r="J402" s="279">
        <f>IF(J$1=0,"",IF($B402&lt;J$23,J401+PPMT(J$26/12,$B402,J$23,J$235,-J$27,0),IF($B402=J$23,J401+PPMT(J$26/12,$B402,J$23,J$235,-J$27,0)-J$27,0)))</f>
        <v/>
      </c>
      <c r="K402" s="279">
        <f>IF(K$1=0,"",IF($B402&lt;K$23,K401+PPMT(K$26/12,$B402,K$23,K$235,-K$27,0),IF($B402=K$23,K401+PPMT(K$26/12,$B402,K$23,K$235,-K$27,0)-K$27,0)))</f>
        <v/>
      </c>
      <c r="L402" s="279">
        <f>IF(L$1=0,"",IF($B402&lt;L$23,L401+PPMT(L$26/12,$B402,L$23,L$235,-L$27,0),IF($B402=L$23,L401+PPMT(L$26/12,$B402,L$23,L$235,-L$27,0)-L$27,0)))</f>
        <v/>
      </c>
      <c r="M402" s="279">
        <f>IF(M$1=0,"",IF($B402&lt;M$23,M401+PPMT(M$26/12,$B402,M$23,M$235,-M$27,0),IF($B402=M$23,M401+PPMT(M$26/12,$B402,M$23,M$235,-M$27,0)-M$27,0)))</f>
        <v/>
      </c>
      <c r="N402" s="280" t="n"/>
      <c r="O402" s="281" t="n"/>
    </row>
    <row r="403" hidden="1" outlineLevel="1">
      <c r="B403" s="2">
        <f>B402+1</f>
        <v/>
      </c>
      <c r="D403" s="279">
        <f>IF(B403&lt;$D$24,(+'CALCULETTE (2)'!G800/'CALCULETTE (2)'!$B$612),0)</f>
        <v/>
      </c>
      <c r="E403" s="279">
        <f>IF(E$1=0,"",IF($B403&lt;E$23,E402+PPMT(E$26/12,$B403,E$23,E$235,-E$27,0),IF($B403=E$23,E402+PPMT(E$26/12,$B403,E$23,E$235,-E$27,0)-E$27,0)))</f>
        <v/>
      </c>
      <c r="F403" s="279">
        <f>IF(F$1=0,"",IF($B403&lt;F$23,F402+PPMT(F$26/12,$B403,F$23,F$235,-F$27,0),IF($B403=F$23,F402+PPMT(F$26/12,$B403,F$23,F$235,-F$27,0)-F$27,0)))</f>
        <v/>
      </c>
      <c r="G403" s="279">
        <f>IF(G$1=0,"",IF($B403&lt;G$23,G402+PPMT(G$26/12,$B403,G$23,G$235,-G$27,0),IF($B403=G$23,G402+PPMT(G$26/12,$B403,G$23,G$235,-G$27,0)-G$27,0)))</f>
        <v/>
      </c>
      <c r="H403" s="279">
        <f>IF(H$1=0,"",IF($B403&lt;H$23,H402+PPMT(H$26/12,$B403,H$23,H$235,-H$27,0),IF($B403=H$23,H402+PPMT(H$26/12,$B403,H$23,H$235,-H$27,0)-H$27,0)))</f>
        <v/>
      </c>
      <c r="I403" s="279">
        <f>IF(I$1=0,"",IF($B403&lt;I$23,I402+PPMT(I$26/12,$B403,I$23,I$235,-I$27,0),IF($B403=I$23,I402+PPMT(I$26/12,$B403,I$23,I$235,-I$27,0)-I$27,0)))</f>
        <v/>
      </c>
      <c r="J403" s="279">
        <f>IF(J$1=0,"",IF($B403&lt;J$23,J402+PPMT(J$26/12,$B403,J$23,J$235,-J$27,0),IF($B403=J$23,J402+PPMT(J$26/12,$B403,J$23,J$235,-J$27,0)-J$27,0)))</f>
        <v/>
      </c>
      <c r="K403" s="279">
        <f>IF(K$1=0,"",IF($B403&lt;K$23,K402+PPMT(K$26/12,$B403,K$23,K$235,-K$27,0),IF($B403=K$23,K402+PPMT(K$26/12,$B403,K$23,K$235,-K$27,0)-K$27,0)))</f>
        <v/>
      </c>
      <c r="L403" s="279">
        <f>IF(L$1=0,"",IF($B403&lt;L$23,L402+PPMT(L$26/12,$B403,L$23,L$235,-L$27,0),IF($B403=L$23,L402+PPMT(L$26/12,$B403,L$23,L$235,-L$27,0)-L$27,0)))</f>
        <v/>
      </c>
      <c r="M403" s="279">
        <f>IF(M$1=0,"",IF($B403&lt;M$23,M402+PPMT(M$26/12,$B403,M$23,M$235,-M$27,0),IF($B403=M$23,M402+PPMT(M$26/12,$B403,M$23,M$235,-M$27,0)-M$27,0)))</f>
        <v/>
      </c>
      <c r="N403" s="280" t="n"/>
      <c r="O403" s="281" t="n"/>
    </row>
    <row r="404" hidden="1" outlineLevel="1">
      <c r="B404" s="2">
        <f>B403+1</f>
        <v/>
      </c>
      <c r="D404" s="279">
        <f>IF(B404&lt;$D$24,(+'CALCULETTE (2)'!G801/'CALCULETTE (2)'!$B$612),0)</f>
        <v/>
      </c>
      <c r="E404" s="279">
        <f>IF(E$1=0,"",IF($B404&lt;E$23,E403+PPMT(E$26/12,$B404,E$23,E$235,-E$27,0),IF($B404=E$23,E403+PPMT(E$26/12,$B404,E$23,E$235,-E$27,0)-E$27,0)))</f>
        <v/>
      </c>
      <c r="F404" s="279">
        <f>IF(F$1=0,"",IF($B404&lt;F$23,F403+PPMT(F$26/12,$B404,F$23,F$235,-F$27,0),IF($B404=F$23,F403+PPMT(F$26/12,$B404,F$23,F$235,-F$27,0)-F$27,0)))</f>
        <v/>
      </c>
      <c r="G404" s="279">
        <f>IF(G$1=0,"",IF($B404&lt;G$23,G403+PPMT(G$26/12,$B404,G$23,G$235,-G$27,0),IF($B404=G$23,G403+PPMT(G$26/12,$B404,G$23,G$235,-G$27,0)-G$27,0)))</f>
        <v/>
      </c>
      <c r="H404" s="279">
        <f>IF(H$1=0,"",IF($B404&lt;H$23,H403+PPMT(H$26/12,$B404,H$23,H$235,-H$27,0),IF($B404=H$23,H403+PPMT(H$26/12,$B404,H$23,H$235,-H$27,0)-H$27,0)))</f>
        <v/>
      </c>
      <c r="I404" s="279">
        <f>IF(I$1=0,"",IF($B404&lt;I$23,I403+PPMT(I$26/12,$B404,I$23,I$235,-I$27,0),IF($B404=I$23,I403+PPMT(I$26/12,$B404,I$23,I$235,-I$27,0)-I$27,0)))</f>
        <v/>
      </c>
      <c r="J404" s="279">
        <f>IF(J$1=0,"",IF($B404&lt;J$23,J403+PPMT(J$26/12,$B404,J$23,J$235,-J$27,0),IF($B404=J$23,J403+PPMT(J$26/12,$B404,J$23,J$235,-J$27,0)-J$27,0)))</f>
        <v/>
      </c>
      <c r="K404" s="279">
        <f>IF(K$1=0,"",IF($B404&lt;K$23,K403+PPMT(K$26/12,$B404,K$23,K$235,-K$27,0),IF($B404=K$23,K403+PPMT(K$26/12,$B404,K$23,K$235,-K$27,0)-K$27,0)))</f>
        <v/>
      </c>
      <c r="L404" s="279">
        <f>IF(L$1=0,"",IF($B404&lt;L$23,L403+PPMT(L$26/12,$B404,L$23,L$235,-L$27,0),IF($B404=L$23,L403+PPMT(L$26/12,$B404,L$23,L$235,-L$27,0)-L$27,0)))</f>
        <v/>
      </c>
      <c r="M404" s="279">
        <f>IF(M$1=0,"",IF($B404&lt;M$23,M403+PPMT(M$26/12,$B404,M$23,M$235,-M$27,0),IF($B404=M$23,M403+PPMT(M$26/12,$B404,M$23,M$235,-M$27,0)-M$27,0)))</f>
        <v/>
      </c>
      <c r="N404" s="280" t="n"/>
      <c r="O404" s="281" t="n"/>
    </row>
    <row r="405" hidden="1" outlineLevel="1">
      <c r="B405" s="2">
        <f>B404+1</f>
        <v/>
      </c>
      <c r="D405" s="279">
        <f>IF(B405&lt;$D$24,(+'CALCULETTE (2)'!G802/'CALCULETTE (2)'!$B$612),0)</f>
        <v/>
      </c>
      <c r="E405" s="279">
        <f>IF(E$1=0,"",IF($B405&lt;E$23,E404+PPMT(E$26/12,$B405,E$23,E$235,-E$27,0),IF($B405=E$23,E404+PPMT(E$26/12,$B405,E$23,E$235,-E$27,0)-E$27,0)))</f>
        <v/>
      </c>
      <c r="F405" s="279">
        <f>IF(F$1=0,"",IF($B405&lt;F$23,F404+PPMT(F$26/12,$B405,F$23,F$235,-F$27,0),IF($B405=F$23,F404+PPMT(F$26/12,$B405,F$23,F$235,-F$27,0)-F$27,0)))</f>
        <v/>
      </c>
      <c r="G405" s="279">
        <f>IF(G$1=0,"",IF($B405&lt;G$23,G404+PPMT(G$26/12,$B405,G$23,G$235,-G$27,0),IF($B405=G$23,G404+PPMT(G$26/12,$B405,G$23,G$235,-G$27,0)-G$27,0)))</f>
        <v/>
      </c>
      <c r="H405" s="279">
        <f>IF(H$1=0,"",IF($B405&lt;H$23,H404+PPMT(H$26/12,$B405,H$23,H$235,-H$27,0),IF($B405=H$23,H404+PPMT(H$26/12,$B405,H$23,H$235,-H$27,0)-H$27,0)))</f>
        <v/>
      </c>
      <c r="I405" s="279">
        <f>IF(I$1=0,"",IF($B405&lt;I$23,I404+PPMT(I$26/12,$B405,I$23,I$235,-I$27,0),IF($B405=I$23,I404+PPMT(I$26/12,$B405,I$23,I$235,-I$27,0)-I$27,0)))</f>
        <v/>
      </c>
      <c r="J405" s="279">
        <f>IF(J$1=0,"",IF($B405&lt;J$23,J404+PPMT(J$26/12,$B405,J$23,J$235,-J$27,0),IF($B405=J$23,J404+PPMT(J$26/12,$B405,J$23,J$235,-J$27,0)-J$27,0)))</f>
        <v/>
      </c>
      <c r="K405" s="279">
        <f>IF(K$1=0,"",IF($B405&lt;K$23,K404+PPMT(K$26/12,$B405,K$23,K$235,-K$27,0),IF($B405=K$23,K404+PPMT(K$26/12,$B405,K$23,K$235,-K$27,0)-K$27,0)))</f>
        <v/>
      </c>
      <c r="L405" s="279">
        <f>IF(L$1=0,"",IF($B405&lt;L$23,L404+PPMT(L$26/12,$B405,L$23,L$235,-L$27,0),IF($B405=L$23,L404+PPMT(L$26/12,$B405,L$23,L$235,-L$27,0)-L$27,0)))</f>
        <v/>
      </c>
      <c r="M405" s="279">
        <f>IF(M$1=0,"",IF($B405&lt;M$23,M404+PPMT(M$26/12,$B405,M$23,M$235,-M$27,0),IF($B405=M$23,M404+PPMT(M$26/12,$B405,M$23,M$235,-M$27,0)-M$27,0)))</f>
        <v/>
      </c>
      <c r="N405" s="280" t="n"/>
      <c r="O405" s="281" t="n"/>
    </row>
    <row r="406" hidden="1" outlineLevel="1">
      <c r="B406" s="2">
        <f>B405+1</f>
        <v/>
      </c>
      <c r="D406" s="279">
        <f>IF(B406&lt;$D$24,(+'CALCULETTE (2)'!G803/'CALCULETTE (2)'!$B$612),0)</f>
        <v/>
      </c>
      <c r="E406" s="279">
        <f>IF(E$1=0,"",IF($B406&lt;E$23,E405+PPMT(E$26/12,$B406,E$23,E$235,-E$27,0),IF($B406=E$23,E405+PPMT(E$26/12,$B406,E$23,E$235,-E$27,0)-E$27,0)))</f>
        <v/>
      </c>
      <c r="F406" s="279">
        <f>IF(F$1=0,"",IF($B406&lt;F$23,F405+PPMT(F$26/12,$B406,F$23,F$235,-F$27,0),IF($B406=F$23,F405+PPMT(F$26/12,$B406,F$23,F$235,-F$27,0)-F$27,0)))</f>
        <v/>
      </c>
      <c r="G406" s="279">
        <f>IF(G$1=0,"",IF($B406&lt;G$23,G405+PPMT(G$26/12,$B406,G$23,G$235,-G$27,0),IF($B406=G$23,G405+PPMT(G$26/12,$B406,G$23,G$235,-G$27,0)-G$27,0)))</f>
        <v/>
      </c>
      <c r="H406" s="279">
        <f>IF(H$1=0,"",IF($B406&lt;H$23,H405+PPMT(H$26/12,$B406,H$23,H$235,-H$27,0),IF($B406=H$23,H405+PPMT(H$26/12,$B406,H$23,H$235,-H$27,0)-H$27,0)))</f>
        <v/>
      </c>
      <c r="I406" s="279">
        <f>IF(I$1=0,"",IF($B406&lt;I$23,I405+PPMT(I$26/12,$B406,I$23,I$235,-I$27,0),IF($B406=I$23,I405+PPMT(I$26/12,$B406,I$23,I$235,-I$27,0)-I$27,0)))</f>
        <v/>
      </c>
      <c r="J406" s="279">
        <f>IF(J$1=0,"",IF($B406&lt;J$23,J405+PPMT(J$26/12,$B406,J$23,J$235,-J$27,0),IF($B406=J$23,J405+PPMT(J$26/12,$B406,J$23,J$235,-J$27,0)-J$27,0)))</f>
        <v/>
      </c>
      <c r="K406" s="279">
        <f>IF(K$1=0,"",IF($B406&lt;K$23,K405+PPMT(K$26/12,$B406,K$23,K$235,-K$27,0),IF($B406=K$23,K405+PPMT(K$26/12,$B406,K$23,K$235,-K$27,0)-K$27,0)))</f>
        <v/>
      </c>
      <c r="L406" s="279">
        <f>IF(L$1=0,"",IF($B406&lt;L$23,L405+PPMT(L$26/12,$B406,L$23,L$235,-L$27,0),IF($B406=L$23,L405+PPMT(L$26/12,$B406,L$23,L$235,-L$27,0)-L$27,0)))</f>
        <v/>
      </c>
      <c r="M406" s="279">
        <f>IF(M$1=0,"",IF($B406&lt;M$23,M405+PPMT(M$26/12,$B406,M$23,M$235,-M$27,0),IF($B406=M$23,M405+PPMT(M$26/12,$B406,M$23,M$235,-M$27,0)-M$27,0)))</f>
        <v/>
      </c>
      <c r="N406" s="280" t="n"/>
      <c r="O406" s="281" t="n"/>
    </row>
    <row r="407" hidden="1" outlineLevel="1">
      <c r="B407" s="2">
        <f>B406+1</f>
        <v/>
      </c>
      <c r="D407" s="279">
        <f>IF(B407&lt;$D$24,(+'CALCULETTE (2)'!G804/'CALCULETTE (2)'!$B$612),0)</f>
        <v/>
      </c>
      <c r="E407" s="279">
        <f>IF(E$1=0,"",IF($B407&lt;E$23,E406+PPMT(E$26/12,$B407,E$23,E$235,-E$27,0),IF($B407=E$23,E406+PPMT(E$26/12,$B407,E$23,E$235,-E$27,0)-E$27,0)))</f>
        <v/>
      </c>
      <c r="F407" s="279">
        <f>IF(F$1=0,"",IF($B407&lt;F$23,F406+PPMT(F$26/12,$B407,F$23,F$235,-F$27,0),IF($B407=F$23,F406+PPMT(F$26/12,$B407,F$23,F$235,-F$27,0)-F$27,0)))</f>
        <v/>
      </c>
      <c r="G407" s="279">
        <f>IF(G$1=0,"",IF($B407&lt;G$23,G406+PPMT(G$26/12,$B407,G$23,G$235,-G$27,0),IF($B407=G$23,G406+PPMT(G$26/12,$B407,G$23,G$235,-G$27,0)-G$27,0)))</f>
        <v/>
      </c>
      <c r="H407" s="279">
        <f>IF(H$1=0,"",IF($B407&lt;H$23,H406+PPMT(H$26/12,$B407,H$23,H$235,-H$27,0),IF($B407=H$23,H406+PPMT(H$26/12,$B407,H$23,H$235,-H$27,0)-H$27,0)))</f>
        <v/>
      </c>
      <c r="I407" s="279">
        <f>IF(I$1=0,"",IF($B407&lt;I$23,I406+PPMT(I$26/12,$B407,I$23,I$235,-I$27,0),IF($B407=I$23,I406+PPMT(I$26/12,$B407,I$23,I$235,-I$27,0)-I$27,0)))</f>
        <v/>
      </c>
      <c r="J407" s="279">
        <f>IF(J$1=0,"",IF($B407&lt;J$23,J406+PPMT(J$26/12,$B407,J$23,J$235,-J$27,0),IF($B407=J$23,J406+PPMT(J$26/12,$B407,J$23,J$235,-J$27,0)-J$27,0)))</f>
        <v/>
      </c>
      <c r="K407" s="279">
        <f>IF(K$1=0,"",IF($B407&lt;K$23,K406+PPMT(K$26/12,$B407,K$23,K$235,-K$27,0),IF($B407=K$23,K406+PPMT(K$26/12,$B407,K$23,K$235,-K$27,0)-K$27,0)))</f>
        <v/>
      </c>
      <c r="L407" s="279">
        <f>IF(L$1=0,"",IF($B407&lt;L$23,L406+PPMT(L$26/12,$B407,L$23,L$235,-L$27,0),IF($B407=L$23,L406+PPMT(L$26/12,$B407,L$23,L$235,-L$27,0)-L$27,0)))</f>
        <v/>
      </c>
      <c r="M407" s="279">
        <f>IF(M$1=0,"",IF($B407&lt;M$23,M406+PPMT(M$26/12,$B407,M$23,M$235,-M$27,0),IF($B407=M$23,M406+PPMT(M$26/12,$B407,M$23,M$235,-M$27,0)-M$27,0)))</f>
        <v/>
      </c>
      <c r="N407" s="280" t="n"/>
      <c r="O407" s="281" t="n"/>
    </row>
    <row r="408" hidden="1" outlineLevel="1">
      <c r="B408" s="2">
        <f>B407+1</f>
        <v/>
      </c>
      <c r="D408" s="279">
        <f>IF(B408&lt;$D$24,(+#REF!/'CALCULETTE (2)'!$B$612),0)</f>
        <v/>
      </c>
      <c r="E408" s="279">
        <f>IF(E$1=0,"",IF($B408&lt;E$23,E407+PPMT(E$26/12,$B408,E$23,E$235,-E$27,0),IF($B408=E$23,E407+PPMT(E$26/12,$B408,E$23,E$235,-E$27,0)-E$27,0)))</f>
        <v/>
      </c>
      <c r="F408" s="279">
        <f>IF(F$1=0,"",IF($B408&lt;F$23,F407+PPMT(F$26/12,$B408,F$23,F$235,-F$27,0),IF($B408=F$23,F407+PPMT(F$26/12,$B408,F$23,F$235,-F$27,0)-F$27,0)))</f>
        <v/>
      </c>
      <c r="G408" s="279">
        <f>IF(G$1=0,"",IF($B408&lt;G$23,G407+PPMT(G$26/12,$B408,G$23,G$235,-G$27,0),IF($B408=G$23,G407+PPMT(G$26/12,$B408,G$23,G$235,-G$27,0)-G$27,0)))</f>
        <v/>
      </c>
      <c r="H408" s="279">
        <f>IF(H$1=0,"",IF($B408&lt;H$23,H407+PPMT(H$26/12,$B408,H$23,H$235,-H$27,0),IF($B408=H$23,H407+PPMT(H$26/12,$B408,H$23,H$235,-H$27,0)-H$27,0)))</f>
        <v/>
      </c>
      <c r="I408" s="279">
        <f>IF(I$1=0,"",IF($B408&lt;I$23,I407+PPMT(I$26/12,$B408,I$23,I$235,-I$27,0),IF($B408=I$23,I407+PPMT(I$26/12,$B408,I$23,I$235,-I$27,0)-I$27,0)))</f>
        <v/>
      </c>
      <c r="J408" s="279">
        <f>IF(J$1=0,"",IF($B408&lt;J$23,J407+PPMT(J$26/12,$B408,J$23,J$235,-J$27,0),IF($B408=J$23,J407+PPMT(J$26/12,$B408,J$23,J$235,-J$27,0)-J$27,0)))</f>
        <v/>
      </c>
      <c r="K408" s="279">
        <f>IF(K$1=0,"",IF($B408&lt;K$23,K407+PPMT(K$26/12,$B408,K$23,K$235,-K$27,0),IF($B408=K$23,K407+PPMT(K$26/12,$B408,K$23,K$235,-K$27,0)-K$27,0)))</f>
        <v/>
      </c>
      <c r="L408" s="279">
        <f>IF(L$1=0,"",IF($B408&lt;L$23,L407+PPMT(L$26/12,$B408,L$23,L$235,-L$27,0),IF($B408=L$23,L407+PPMT(L$26/12,$B408,L$23,L$235,-L$27,0)-L$27,0)))</f>
        <v/>
      </c>
      <c r="M408" s="279">
        <f>IF(M$1=0,"",IF($B408&lt;M$23,M407+PPMT(M$26/12,$B408,M$23,M$235,-M$27,0),IF($B408=M$23,M407+PPMT(M$26/12,$B408,M$23,M$235,-M$27,0)-M$27,0)))</f>
        <v/>
      </c>
      <c r="N408" s="280" t="n"/>
      <c r="O408" s="281" t="n"/>
    </row>
    <row r="409" hidden="1" outlineLevel="1">
      <c r="B409" s="2">
        <f>B408+1</f>
        <v/>
      </c>
      <c r="D409" s="279">
        <f>IF(B409&lt;$D$24,(+#REF!/'CALCULETTE (2)'!$B$612),0)</f>
        <v/>
      </c>
      <c r="E409" s="279">
        <f>IF(E$1=0,"",IF($B409&lt;E$23,E408+PPMT(E$26/12,$B409,E$23,E$235,-E$27,0),IF($B409=E$23,E408+PPMT(E$26/12,$B409,E$23,E$235,-E$27,0)-E$27,0)))</f>
        <v/>
      </c>
      <c r="F409" s="279">
        <f>IF(F$1=0,"",IF($B409&lt;F$23,F408+PPMT(F$26/12,$B409,F$23,F$235,-F$27,0),IF($B409=F$23,F408+PPMT(F$26/12,$B409,F$23,F$235,-F$27,0)-F$27,0)))</f>
        <v/>
      </c>
      <c r="G409" s="279">
        <f>IF(G$1=0,"",IF($B409&lt;G$23,G408+PPMT(G$26/12,$B409,G$23,G$235,-G$27,0),IF($B409=G$23,G408+PPMT(G$26/12,$B409,G$23,G$235,-G$27,0)-G$27,0)))</f>
        <v/>
      </c>
      <c r="H409" s="279">
        <f>IF(H$1=0,"",IF($B409&lt;H$23,H408+PPMT(H$26/12,$B409,H$23,H$235,-H$27,0),IF($B409=H$23,H408+PPMT(H$26/12,$B409,H$23,H$235,-H$27,0)-H$27,0)))</f>
        <v/>
      </c>
      <c r="I409" s="279">
        <f>IF(I$1=0,"",IF($B409&lt;I$23,I408+PPMT(I$26/12,$B409,I$23,I$235,-I$27,0),IF($B409=I$23,I408+PPMT(I$26/12,$B409,I$23,I$235,-I$27,0)-I$27,0)))</f>
        <v/>
      </c>
      <c r="J409" s="279">
        <f>IF(J$1=0,"",IF($B409&lt;J$23,J408+PPMT(J$26/12,$B409,J$23,J$235,-J$27,0),IF($B409=J$23,J408+PPMT(J$26/12,$B409,J$23,J$235,-J$27,0)-J$27,0)))</f>
        <v/>
      </c>
      <c r="K409" s="279">
        <f>IF(K$1=0,"",IF($B409&lt;K$23,K408+PPMT(K$26/12,$B409,K$23,K$235,-K$27,0),IF($B409=K$23,K408+PPMT(K$26/12,$B409,K$23,K$235,-K$27,0)-K$27,0)))</f>
        <v/>
      </c>
      <c r="L409" s="279">
        <f>IF(L$1=0,"",IF($B409&lt;L$23,L408+PPMT(L$26/12,$B409,L$23,L$235,-L$27,0),IF($B409=L$23,L408+PPMT(L$26/12,$B409,L$23,L$235,-L$27,0)-L$27,0)))</f>
        <v/>
      </c>
      <c r="M409" s="279">
        <f>IF(M$1=0,"",IF($B409&lt;M$23,M408+PPMT(M$26/12,$B409,M$23,M$235,-M$27,0),IF($B409=M$23,M408+PPMT(M$26/12,$B409,M$23,M$235,-M$27,0)-M$27,0)))</f>
        <v/>
      </c>
      <c r="N409" s="280" t="n"/>
      <c r="O409" s="281" t="n"/>
    </row>
    <row r="410" hidden="1" outlineLevel="1">
      <c r="B410" s="2">
        <f>B409+1</f>
        <v/>
      </c>
      <c r="D410" s="279">
        <f>IF(B410&lt;$D$24,(+#REF!/'CALCULETTE (2)'!$B$612),0)</f>
        <v/>
      </c>
      <c r="E410" s="279">
        <f>IF(E$1=0,"",IF($B410&lt;E$23,E409+PPMT(E$26/12,$B410,E$23,E$235,-E$27,0),IF($B410=E$23,E409+PPMT(E$26/12,$B410,E$23,E$235,-E$27,0)-E$27,0)))</f>
        <v/>
      </c>
      <c r="F410" s="279">
        <f>IF(F$1=0,"",IF($B410&lt;F$23,F409+PPMT(F$26/12,$B410,F$23,F$235,-F$27,0),IF($B410=F$23,F409+PPMT(F$26/12,$B410,F$23,F$235,-F$27,0)-F$27,0)))</f>
        <v/>
      </c>
      <c r="G410" s="279">
        <f>IF(G$1=0,"",IF($B410&lt;G$23,G409+PPMT(G$26/12,$B410,G$23,G$235,-G$27,0),IF($B410=G$23,G409+PPMT(G$26/12,$B410,G$23,G$235,-G$27,0)-G$27,0)))</f>
        <v/>
      </c>
      <c r="H410" s="279">
        <f>IF(H$1=0,"",IF($B410&lt;H$23,H409+PPMT(H$26/12,$B410,H$23,H$235,-H$27,0),IF($B410=H$23,H409+PPMT(H$26/12,$B410,H$23,H$235,-H$27,0)-H$27,0)))</f>
        <v/>
      </c>
      <c r="I410" s="279">
        <f>IF(I$1=0,"",IF($B410&lt;I$23,I409+PPMT(I$26/12,$B410,I$23,I$235,-I$27,0),IF($B410=I$23,I409+PPMT(I$26/12,$B410,I$23,I$235,-I$27,0)-I$27,0)))</f>
        <v/>
      </c>
      <c r="J410" s="279">
        <f>IF(J$1=0,"",IF($B410&lt;J$23,J409+PPMT(J$26/12,$B410,J$23,J$235,-J$27,0),IF($B410=J$23,J409+PPMT(J$26/12,$B410,J$23,J$235,-J$27,0)-J$27,0)))</f>
        <v/>
      </c>
      <c r="K410" s="279">
        <f>IF(K$1=0,"",IF($B410&lt;K$23,K409+PPMT(K$26/12,$B410,K$23,K$235,-K$27,0),IF($B410=K$23,K409+PPMT(K$26/12,$B410,K$23,K$235,-K$27,0)-K$27,0)))</f>
        <v/>
      </c>
      <c r="L410" s="279">
        <f>IF(L$1=0,"",IF($B410&lt;L$23,L409+PPMT(L$26/12,$B410,L$23,L$235,-L$27,0),IF($B410=L$23,L409+PPMT(L$26/12,$B410,L$23,L$235,-L$27,0)-L$27,0)))</f>
        <v/>
      </c>
      <c r="M410" s="279">
        <f>IF(M$1=0,"",IF($B410&lt;M$23,M409+PPMT(M$26/12,$B410,M$23,M$235,-M$27,0),IF($B410=M$23,M409+PPMT(M$26/12,$B410,M$23,M$235,-M$27,0)-M$27,0)))</f>
        <v/>
      </c>
      <c r="N410" s="280" t="n"/>
      <c r="O410" s="281" t="n"/>
    </row>
    <row r="411" hidden="1" outlineLevel="1">
      <c r="B411" s="2">
        <f>B410+1</f>
        <v/>
      </c>
      <c r="D411" s="279">
        <f>IF(B411&lt;$D$24,(+#REF!/'CALCULETTE (2)'!$B$612),0)</f>
        <v/>
      </c>
      <c r="E411" s="279">
        <f>IF(E$1=0,"",IF($B411&lt;E$23,E410+PPMT(E$26/12,$B411,E$23,E$235,-E$27,0),IF($B411=E$23,E410+PPMT(E$26/12,$B411,E$23,E$235,-E$27,0)-E$27,0)))</f>
        <v/>
      </c>
      <c r="F411" s="279">
        <f>IF(F$1=0,"",IF($B411&lt;F$23,F410+PPMT(F$26/12,$B411,F$23,F$235,-F$27,0),IF($B411=F$23,F410+PPMT(F$26/12,$B411,F$23,F$235,-F$27,0)-F$27,0)))</f>
        <v/>
      </c>
      <c r="G411" s="279">
        <f>IF(G$1=0,"",IF($B411&lt;G$23,G410+PPMT(G$26/12,$B411,G$23,G$235,-G$27,0),IF($B411=G$23,G410+PPMT(G$26/12,$B411,G$23,G$235,-G$27,0)-G$27,0)))</f>
        <v/>
      </c>
      <c r="H411" s="279">
        <f>IF(H$1=0,"",IF($B411&lt;H$23,H410+PPMT(H$26/12,$B411,H$23,H$235,-H$27,0),IF($B411=H$23,H410+PPMT(H$26/12,$B411,H$23,H$235,-H$27,0)-H$27,0)))</f>
        <v/>
      </c>
      <c r="I411" s="279">
        <f>IF(I$1=0,"",IF($B411&lt;I$23,I410+PPMT(I$26/12,$B411,I$23,I$235,-I$27,0),IF($B411=I$23,I410+PPMT(I$26/12,$B411,I$23,I$235,-I$27,0)-I$27,0)))</f>
        <v/>
      </c>
      <c r="J411" s="279">
        <f>IF(J$1=0,"",IF($B411&lt;J$23,J410+PPMT(J$26/12,$B411,J$23,J$235,-J$27,0),IF($B411=J$23,J410+PPMT(J$26/12,$B411,J$23,J$235,-J$27,0)-J$27,0)))</f>
        <v/>
      </c>
      <c r="K411" s="279">
        <f>IF(K$1=0,"",IF($B411&lt;K$23,K410+PPMT(K$26/12,$B411,K$23,K$235,-K$27,0),IF($B411=K$23,K410+PPMT(K$26/12,$B411,K$23,K$235,-K$27,0)-K$27,0)))</f>
        <v/>
      </c>
      <c r="L411" s="279">
        <f>IF(L$1=0,"",IF($B411&lt;L$23,L410+PPMT(L$26/12,$B411,L$23,L$235,-L$27,0),IF($B411=L$23,L410+PPMT(L$26/12,$B411,L$23,L$235,-L$27,0)-L$27,0)))</f>
        <v/>
      </c>
      <c r="M411" s="279">
        <f>IF(M$1=0,"",IF($B411&lt;M$23,M410+PPMT(M$26/12,$B411,M$23,M$235,-M$27,0),IF($B411=M$23,M410+PPMT(M$26/12,$B411,M$23,M$235,-M$27,0)-M$27,0)))</f>
        <v/>
      </c>
      <c r="N411" s="280" t="n"/>
      <c r="O411" s="281" t="n"/>
    </row>
    <row r="412" hidden="1" outlineLevel="1">
      <c r="B412" s="2">
        <f>B411+1</f>
        <v/>
      </c>
      <c r="D412" s="279">
        <f>IF(B412&lt;$D$24,(+#REF!/'CALCULETTE (2)'!$B$612),0)</f>
        <v/>
      </c>
      <c r="E412" s="279">
        <f>IF(E$1=0,"",IF($B412&lt;E$23,E411+PPMT(E$26/12,$B412,E$23,E$235,-E$27,0),IF($B412=E$23,E411+PPMT(E$26/12,$B412,E$23,E$235,-E$27,0)-E$27,0)))</f>
        <v/>
      </c>
      <c r="F412" s="279">
        <f>IF(F$1=0,"",IF($B412&lt;F$23,F411+PPMT(F$26/12,$B412,F$23,F$235,-F$27,0),IF($B412=F$23,F411+PPMT(F$26/12,$B412,F$23,F$235,-F$27,0)-F$27,0)))</f>
        <v/>
      </c>
      <c r="G412" s="279">
        <f>IF(G$1=0,"",IF($B412&lt;G$23,G411+PPMT(G$26/12,$B412,G$23,G$235,-G$27,0),IF($B412=G$23,G411+PPMT(G$26/12,$B412,G$23,G$235,-G$27,0)-G$27,0)))</f>
        <v/>
      </c>
      <c r="H412" s="279">
        <f>IF(H$1=0,"",IF($B412&lt;H$23,H411+PPMT(H$26/12,$B412,H$23,H$235,-H$27,0),IF($B412=H$23,H411+PPMT(H$26/12,$B412,H$23,H$235,-H$27,0)-H$27,0)))</f>
        <v/>
      </c>
      <c r="I412" s="279">
        <f>IF(I$1=0,"",IF($B412&lt;I$23,I411+PPMT(I$26/12,$B412,I$23,I$235,-I$27,0),IF($B412=I$23,I411+PPMT(I$26/12,$B412,I$23,I$235,-I$27,0)-I$27,0)))</f>
        <v/>
      </c>
      <c r="J412" s="279">
        <f>IF(J$1=0,"",IF($B412&lt;J$23,J411+PPMT(J$26/12,$B412,J$23,J$235,-J$27,0),IF($B412=J$23,J411+PPMT(J$26/12,$B412,J$23,J$235,-J$27,0)-J$27,0)))</f>
        <v/>
      </c>
      <c r="K412" s="279">
        <f>IF(K$1=0,"",IF($B412&lt;K$23,K411+PPMT(K$26/12,$B412,K$23,K$235,-K$27,0),IF($B412=K$23,K411+PPMT(K$26/12,$B412,K$23,K$235,-K$27,0)-K$27,0)))</f>
        <v/>
      </c>
      <c r="L412" s="279">
        <f>IF(L$1=0,"",IF($B412&lt;L$23,L411+PPMT(L$26/12,$B412,L$23,L$235,-L$27,0),IF($B412=L$23,L411+PPMT(L$26/12,$B412,L$23,L$235,-L$27,0)-L$27,0)))</f>
        <v/>
      </c>
      <c r="M412" s="279">
        <f>IF(M$1=0,"",IF($B412&lt;M$23,M411+PPMT(M$26/12,$B412,M$23,M$235,-M$27,0),IF($B412=M$23,M411+PPMT(M$26/12,$B412,M$23,M$235,-M$27,0)-M$27,0)))</f>
        <v/>
      </c>
      <c r="N412" s="280" t="n"/>
      <c r="O412" s="281" t="n"/>
    </row>
    <row r="413" hidden="1" outlineLevel="1">
      <c r="B413" s="2">
        <f>B412+1</f>
        <v/>
      </c>
      <c r="D413" s="279">
        <f>IF(B413&lt;$D$24,(+#REF!/'CALCULETTE (2)'!$B$612),0)</f>
        <v/>
      </c>
      <c r="E413" s="279">
        <f>IF(E$1=0,"",IF($B413&lt;E$23,E412+PPMT(E$26/12,$B413,E$23,E$235,-E$27,0),IF($B413=E$23,E412+PPMT(E$26/12,$B413,E$23,E$235,-E$27,0)-E$27,0)))</f>
        <v/>
      </c>
      <c r="F413" s="279">
        <f>IF(F$1=0,"",IF($B413&lt;F$23,F412+PPMT(F$26/12,$B413,F$23,F$235,-F$27,0),IF($B413=F$23,F412+PPMT(F$26/12,$B413,F$23,F$235,-F$27,0)-F$27,0)))</f>
        <v/>
      </c>
      <c r="G413" s="279">
        <f>IF(G$1=0,"",IF($B413&lt;G$23,G412+PPMT(G$26/12,$B413,G$23,G$235,-G$27,0),IF($B413=G$23,G412+PPMT(G$26/12,$B413,G$23,G$235,-G$27,0)-G$27,0)))</f>
        <v/>
      </c>
      <c r="H413" s="279">
        <f>IF(H$1=0,"",IF($B413&lt;H$23,H412+PPMT(H$26/12,$B413,H$23,H$235,-H$27,0),IF($B413=H$23,H412+PPMT(H$26/12,$B413,H$23,H$235,-H$27,0)-H$27,0)))</f>
        <v/>
      </c>
      <c r="I413" s="279">
        <f>IF(I$1=0,"",IF($B413&lt;I$23,I412+PPMT(I$26/12,$B413,I$23,I$235,-I$27,0),IF($B413=I$23,I412+PPMT(I$26/12,$B413,I$23,I$235,-I$27,0)-I$27,0)))</f>
        <v/>
      </c>
      <c r="J413" s="279">
        <f>IF(J$1=0,"",IF($B413&lt;J$23,J412+PPMT(J$26/12,$B413,J$23,J$235,-J$27,0),IF($B413=J$23,J412+PPMT(J$26/12,$B413,J$23,J$235,-J$27,0)-J$27,0)))</f>
        <v/>
      </c>
      <c r="K413" s="279">
        <f>IF(K$1=0,"",IF($B413&lt;K$23,K412+PPMT(K$26/12,$B413,K$23,K$235,-K$27,0),IF($B413=K$23,K412+PPMT(K$26/12,$B413,K$23,K$235,-K$27,0)-K$27,0)))</f>
        <v/>
      </c>
      <c r="L413" s="279">
        <f>IF(L$1=0,"",IF($B413&lt;L$23,L412+PPMT(L$26/12,$B413,L$23,L$235,-L$27,0),IF($B413=L$23,L412+PPMT(L$26/12,$B413,L$23,L$235,-L$27,0)-L$27,0)))</f>
        <v/>
      </c>
      <c r="M413" s="279">
        <f>IF(M$1=0,"",IF($B413&lt;M$23,M412+PPMT(M$26/12,$B413,M$23,M$235,-M$27,0),IF($B413=M$23,M412+PPMT(M$26/12,$B413,M$23,M$235,-M$27,0)-M$27,0)))</f>
        <v/>
      </c>
      <c r="N413" s="280" t="n"/>
      <c r="O413" s="281" t="n"/>
    </row>
    <row r="414" hidden="1" outlineLevel="1">
      <c r="B414" s="2">
        <f>B413+1</f>
        <v/>
      </c>
      <c r="D414" s="279">
        <f>IF(B414&lt;$D$24,(+#REF!/'CALCULETTE (2)'!$B$612),0)</f>
        <v/>
      </c>
      <c r="E414" s="279">
        <f>IF(E$1=0,"",IF($B414&lt;E$23,E413+PPMT(E$26/12,$B414,E$23,E$235,-E$27,0),IF($B414=E$23,E413+PPMT(E$26/12,$B414,E$23,E$235,-E$27,0)-E$27,0)))</f>
        <v/>
      </c>
      <c r="F414" s="279">
        <f>IF(F$1=0,"",IF($B414&lt;F$23,F413+PPMT(F$26/12,$B414,F$23,F$235,-F$27,0),IF($B414=F$23,F413+PPMT(F$26/12,$B414,F$23,F$235,-F$27,0)-F$27,0)))</f>
        <v/>
      </c>
      <c r="G414" s="279">
        <f>IF(G$1=0,"",IF($B414&lt;G$23,G413+PPMT(G$26/12,$B414,G$23,G$235,-G$27,0),IF($B414=G$23,G413+PPMT(G$26/12,$B414,G$23,G$235,-G$27,0)-G$27,0)))</f>
        <v/>
      </c>
      <c r="H414" s="279">
        <f>IF(H$1=0,"",IF($B414&lt;H$23,H413+PPMT(H$26/12,$B414,H$23,H$235,-H$27,0),IF($B414=H$23,H413+PPMT(H$26/12,$B414,H$23,H$235,-H$27,0)-H$27,0)))</f>
        <v/>
      </c>
      <c r="I414" s="279">
        <f>IF(I$1=0,"",IF($B414&lt;I$23,I413+PPMT(I$26/12,$B414,I$23,I$235,-I$27,0),IF($B414=I$23,I413+PPMT(I$26/12,$B414,I$23,I$235,-I$27,0)-I$27,0)))</f>
        <v/>
      </c>
      <c r="J414" s="279">
        <f>IF(J$1=0,"",IF($B414&lt;J$23,J413+PPMT(J$26/12,$B414,J$23,J$235,-J$27,0),IF($B414=J$23,J413+PPMT(J$26/12,$B414,J$23,J$235,-J$27,0)-J$27,0)))</f>
        <v/>
      </c>
      <c r="K414" s="279">
        <f>IF(K$1=0,"",IF($B414&lt;K$23,K413+PPMT(K$26/12,$B414,K$23,K$235,-K$27,0),IF($B414=K$23,K413+PPMT(K$26/12,$B414,K$23,K$235,-K$27,0)-K$27,0)))</f>
        <v/>
      </c>
      <c r="L414" s="279">
        <f>IF(L$1=0,"",IF($B414&lt;L$23,L413+PPMT(L$26/12,$B414,L$23,L$235,-L$27,0),IF($B414=L$23,L413+PPMT(L$26/12,$B414,L$23,L$235,-L$27,0)-L$27,0)))</f>
        <v/>
      </c>
      <c r="M414" s="279">
        <f>IF(M$1=0,"",IF($B414&lt;M$23,M413+PPMT(M$26/12,$B414,M$23,M$235,-M$27,0),IF($B414=M$23,M413+PPMT(M$26/12,$B414,M$23,M$235,-M$27,0)-M$27,0)))</f>
        <v/>
      </c>
      <c r="N414" s="280" t="n"/>
      <c r="O414" s="281" t="n"/>
    </row>
    <row r="415" collapsed="1">
      <c r="D415" s="278" t="n"/>
    </row>
    <row r="416">
      <c r="D416" s="278" t="n"/>
    </row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>
      <c r="A608" s="179" t="n"/>
      <c r="B608" s="178" t="n"/>
      <c r="C608" s="179" t="n"/>
      <c r="D608" s="179" t="n"/>
      <c r="E608" s="179" t="n"/>
      <c r="F608" s="179" t="n"/>
      <c r="G608" s="179" t="n"/>
      <c r="H608" s="242" t="inlineStr">
        <is>
          <t>=(SI(A632&lt;$B$613;VPM($B$614/12;$B$613;-$B$612;$B$617;0);SI(A632=$B$613;VPM($B$614/12;$B$613;-$B$612;$B$617;0)+$B$617;0)))</t>
        </is>
      </c>
      <c r="I608" s="179" t="n"/>
      <c r="J608" s="179" t="n"/>
      <c r="K608" s="179" t="n"/>
      <c r="L608" s="179" t="n"/>
      <c r="M608" s="179" t="n"/>
      <c r="N608" s="179" t="n"/>
      <c r="O608" s="179" t="n"/>
      <c r="P608" s="179" t="n"/>
      <c r="Q608" s="179" t="n"/>
      <c r="R608" s="179" t="n"/>
      <c r="S608" s="179" t="n"/>
      <c r="T608" s="179" t="n"/>
      <c r="U608" s="179" t="n"/>
      <c r="V608" s="179" t="n"/>
    </row>
    <row r="609" ht="12.75" customHeight="1" thickBot="1">
      <c r="H609" s="25" t="inlineStr">
        <is>
          <t>=ARRONDI.SUP(SI(A632&lt;$B$613;VPM($B$614/12;$B$613;-$B$612*SI(CALCULETTE!$D$20=0;1;(1+$B$614/12));$B$617;$B$620);SI(A632=$B$613;VPM($B$614/12;$B$613;-$B$612*SI(CALCULETTE!$D$20=0;1;(1+$B$614/12));$B$617;$B$620)+$B$617;0));2)</t>
        </is>
      </c>
    </row>
    <row r="610" ht="15.75" customHeight="1">
      <c r="A610" s="43" t="n"/>
      <c r="B610" s="282" t="n"/>
      <c r="C610" s="44" t="n"/>
      <c r="D610" s="45" t="n"/>
      <c r="E610" s="46">
        <f>+D20*(1+B614/12)</f>
        <v/>
      </c>
      <c r="F610" s="46" t="n"/>
      <c r="G610" s="46" t="n"/>
      <c r="H610" s="243" t="inlineStr">
        <is>
          <t>=SI(A632&lt;$B$613;VPM($B$614/12;SI(SI(ESTVIDE(compensation!$B$4)=VRAI;0;1)&gt;0;+$B$613-1-0;$B$613-0);-$B$612;$B$617;$B$620);SI(A632=$B$613;VPM($B$614/12;$B$613;-$B$612;$B$617;$B$620)+$B$617;0))</t>
        </is>
      </c>
      <c r="I610" s="283" t="n"/>
      <c r="J610" s="46" t="n"/>
      <c r="K610" s="283" t="n"/>
      <c r="L610" s="190" t="n"/>
      <c r="M610" s="123" t="n"/>
      <c r="N610" s="46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190" t="n"/>
      <c r="Z610" s="46" t="n"/>
      <c r="AA610" s="60" t="n"/>
      <c r="AB610" s="284" t="n"/>
      <c r="AC610" s="46" t="n"/>
      <c r="AD610" s="46" t="n"/>
      <c r="AE610" s="46" t="n"/>
    </row>
    <row r="611" ht="12.75" customHeight="1" thickBot="1">
      <c r="A611" s="48" t="n"/>
      <c r="B611" s="285" t="n"/>
      <c r="C611" s="44" t="n"/>
      <c r="D611" s="46" t="n"/>
      <c r="E611" s="46" t="n"/>
      <c r="F611" s="46" t="n"/>
      <c r="G611" s="46" t="n"/>
      <c r="H611" s="46" t="n"/>
      <c r="I611" s="283" t="inlineStr">
        <is>
          <t>monatn fi</t>
        </is>
      </c>
      <c r="J611" s="46" t="inlineStr">
        <is>
          <t>vr</t>
        </is>
      </c>
      <c r="K611" s="283" t="inlineStr">
        <is>
          <t>échu ou à échoir</t>
        </is>
      </c>
      <c r="L611" s="190" t="n"/>
      <c r="M611" s="123" t="n"/>
      <c r="N611" s="46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190" t="n"/>
      <c r="Z611" s="46" t="n"/>
      <c r="AA611" s="60" t="n"/>
      <c r="AB611" s="284" t="n"/>
      <c r="AC611" s="46" t="n"/>
      <c r="AD611" s="46" t="n"/>
      <c r="AE611" s="46" t="n"/>
    </row>
    <row r="612">
      <c r="A612" s="49" t="inlineStr">
        <is>
          <t>Financed Amount</t>
        </is>
      </c>
      <c r="B612" s="286">
        <f>'CALCULETTE (2)'!D22*IF(CALCULETTE!$D$20=0,1,(1+$B$614/12))</f>
        <v/>
      </c>
      <c r="C612" s="46" t="n"/>
      <c r="D612" s="46" t="n"/>
      <c r="E612" s="287" t="n"/>
      <c r="F612" s="46" t="n"/>
      <c r="G612" s="46" t="n"/>
      <c r="H612" s="288">
        <f>PMT($B$614/12,$B$613,-$B$612,$B$617,1)</f>
        <v/>
      </c>
      <c r="I612" s="289">
        <f>+B612</f>
        <v/>
      </c>
      <c r="J612" s="46" t="n">
        <v>18232</v>
      </c>
      <c r="K612" s="46" t="n">
        <v>0</v>
      </c>
      <c r="L612" s="190" t="n"/>
      <c r="M612" s="123" t="n"/>
      <c r="N612" s="46" t="n"/>
      <c r="O612" s="46" t="n"/>
      <c r="P612" s="289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190" t="n"/>
      <c r="Z612" s="46" t="n"/>
      <c r="AA612" s="241" t="n"/>
      <c r="AB612" s="290" t="n"/>
      <c r="AC612" s="46" t="n"/>
      <c r="AD612" s="46" t="n"/>
      <c r="AE612" s="46" t="n"/>
    </row>
    <row r="613">
      <c r="A613" s="87" t="inlineStr">
        <is>
          <t>Duration</t>
        </is>
      </c>
      <c r="B613" s="126">
        <f>'CALCULETTE (2)'!D23</f>
        <v/>
      </c>
      <c r="C613" s="46" t="n"/>
      <c r="D613" s="241" t="inlineStr">
        <is>
          <t>Hors commissions</t>
        </is>
      </c>
      <c r="F613" s="46" t="n"/>
      <c r="G613" s="46" t="inlineStr">
        <is>
          <t>intérêt 1er mois</t>
        </is>
      </c>
      <c r="H613" s="288">
        <f>PMT($B$614/12,$B$613,-$B$612,$B$617,$B$620)</f>
        <v/>
      </c>
      <c r="I613" s="288">
        <f>$B$612</f>
        <v/>
      </c>
      <c r="J613" s="46" t="n">
        <v>18232</v>
      </c>
      <c r="K613" s="46" t="n">
        <v>1</v>
      </c>
      <c r="L613" s="190" t="n"/>
      <c r="M613" s="123" t="n"/>
      <c r="N613" s="46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190" t="n"/>
      <c r="Z613" s="46" t="n"/>
      <c r="AA613" s="193" t="n"/>
      <c r="AB613" s="194" t="n"/>
      <c r="AC613" s="46" t="n"/>
      <c r="AD613" s="46" t="n"/>
      <c r="AE613" s="46" t="n"/>
    </row>
    <row r="614">
      <c r="A614" s="87" t="inlineStr">
        <is>
          <t>Promo Rate (Customer APR)</t>
        </is>
      </c>
      <c r="B614" s="127">
        <f>'CALCULETTE (2)'!D26</f>
        <v/>
      </c>
      <c r="C614" s="46" t="n"/>
      <c r="D614" s="51" t="inlineStr">
        <is>
          <t>TRI std</t>
        </is>
      </c>
      <c r="E614" s="52">
        <f>V629</f>
        <v/>
      </c>
      <c r="F614" s="46" t="n"/>
      <c r="G614" s="46" t="n"/>
      <c r="H614" s="46" t="n"/>
      <c r="J614" s="46" t="n"/>
      <c r="K614" s="46" t="n"/>
      <c r="L614" s="190" t="n"/>
      <c r="M614" s="123" t="n"/>
      <c r="N614" s="46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190" t="n"/>
      <c r="Z614" s="46" t="n"/>
      <c r="AA614" s="193" t="n"/>
      <c r="AB614" s="195" t="n"/>
      <c r="AC614" s="46" t="n"/>
      <c r="AD614" s="46" t="n"/>
      <c r="AE614" s="46" t="n"/>
    </row>
    <row r="615">
      <c r="A615" s="87" t="inlineStr">
        <is>
          <t>Reference Rate</t>
        </is>
      </c>
      <c r="B615" s="127">
        <f>'CALCULETTE (2)'!D25</f>
        <v/>
      </c>
      <c r="C615" s="46" t="n"/>
      <c r="D615" s="51" t="inlineStr">
        <is>
          <t>TRI OPS</t>
        </is>
      </c>
      <c r="E615" s="52">
        <f>I629</f>
        <v/>
      </c>
      <c r="F615" s="46" t="n"/>
      <c r="G615" s="46" t="n"/>
      <c r="H615" s="46" t="n"/>
      <c r="I615" s="108" t="n"/>
      <c r="J615" s="46" t="n"/>
      <c r="K615" s="46" t="n"/>
      <c r="L615" s="190" t="n"/>
      <c r="M615" s="123" t="n"/>
      <c r="N615" s="46" t="n"/>
      <c r="O615" s="46" t="n"/>
      <c r="P615" s="46" t="n"/>
      <c r="Q615" s="46" t="n"/>
      <c r="R615" s="46" t="n"/>
      <c r="S615" s="46" t="n"/>
      <c r="T615" s="46" t="n"/>
      <c r="U615" s="46" t="n"/>
      <c r="V615" s="46" t="n"/>
      <c r="W615" s="46" t="n"/>
      <c r="X615" s="46" t="n"/>
      <c r="Y615" s="190" t="n"/>
      <c r="Z615" s="46" t="n"/>
      <c r="AA615" s="193" t="n"/>
      <c r="AB615" s="195" t="n"/>
      <c r="AC615" s="46" t="n"/>
      <c r="AD615" s="46" t="n"/>
      <c r="AE615" s="46" t="n"/>
    </row>
    <row r="616">
      <c r="A616" s="87" t="inlineStr">
        <is>
          <t>RV</t>
        </is>
      </c>
      <c r="B616" s="127">
        <f>'CALCULETTE (2)'!D27</f>
        <v/>
      </c>
      <c r="C616" s="46" t="n"/>
      <c r="D616" s="128" t="inlineStr">
        <is>
          <t>Ecart</t>
        </is>
      </c>
      <c r="E616" s="53">
        <f>E614-E615</f>
        <v/>
      </c>
      <c r="F616" s="46" t="n"/>
      <c r="G616" s="46" t="n"/>
      <c r="H616" s="46" t="n"/>
      <c r="I616" s="289" t="n"/>
      <c r="J616" s="46" t="n"/>
      <c r="K616" s="46" t="n"/>
      <c r="L616" s="190" t="n"/>
      <c r="M616" s="123" t="n"/>
      <c r="N616" s="46" t="n"/>
      <c r="O616" s="46" t="n"/>
      <c r="P616" s="46" t="n"/>
      <c r="Q616" s="46" t="n"/>
      <c r="R616" s="46" t="n"/>
      <c r="S616" s="46" t="n"/>
      <c r="T616" s="46" t="n"/>
      <c r="U616" s="46" t="n"/>
      <c r="V616" s="46" t="n"/>
      <c r="W616" s="46" t="n"/>
      <c r="X616" s="46" t="n"/>
      <c r="Y616" s="190" t="n"/>
      <c r="Z616" s="46" t="n"/>
      <c r="AA616" s="193" t="n"/>
      <c r="AB616" s="195" t="n"/>
      <c r="AC616" s="46" t="n"/>
      <c r="AD616" s="46" t="n"/>
      <c r="AE616" s="46" t="n"/>
    </row>
    <row r="617">
      <c r="A617" s="87" t="inlineStr">
        <is>
          <t xml:space="preserve">RV </t>
        </is>
      </c>
      <c r="B617" s="291">
        <f>B616*B612</f>
        <v/>
      </c>
      <c r="C617" s="46" t="n"/>
      <c r="D617" s="241" t="inlineStr">
        <is>
          <t>yc commissions</t>
        </is>
      </c>
      <c r="F617" s="46" t="n"/>
      <c r="G617" s="46" t="n"/>
      <c r="H617" s="46" t="n"/>
      <c r="I617" s="46" t="n"/>
      <c r="J617" s="46" t="n"/>
      <c r="K617" s="46" t="n"/>
      <c r="L617" s="190" t="n"/>
      <c r="M617" s="123" t="n"/>
      <c r="N617" s="46" t="n"/>
      <c r="O617" s="46" t="n"/>
      <c r="P617" s="46" t="n"/>
      <c r="Q617" s="46" t="n"/>
      <c r="R617" s="46" t="n"/>
      <c r="S617" s="46" t="n"/>
      <c r="T617" s="46" t="n"/>
      <c r="U617" s="46" t="n"/>
      <c r="V617" s="46" t="n"/>
      <c r="W617" s="46" t="n"/>
      <c r="X617" s="46" t="n"/>
      <c r="Y617" s="190" t="n"/>
      <c r="Z617" s="46" t="n"/>
      <c r="AA617" s="193" t="n"/>
      <c r="AB617" s="292" t="n"/>
      <c r="AC617" s="46" t="n"/>
      <c r="AD617" s="46" t="n"/>
      <c r="AE617" s="46" t="n"/>
    </row>
    <row r="618">
      <c r="A618" s="87" t="inlineStr">
        <is>
          <t>Dealer Commission (Standard)</t>
        </is>
      </c>
      <c r="B618" s="130">
        <f>'CALCULETTE (2)'!D33</f>
        <v/>
      </c>
      <c r="C618" s="46" t="n"/>
      <c r="D618" s="51" t="inlineStr">
        <is>
          <t>TRI std</t>
        </is>
      </c>
      <c r="E618" s="52">
        <f>X629</f>
        <v/>
      </c>
      <c r="F618" s="46" t="n"/>
      <c r="G618" s="46" t="n"/>
      <c r="H618" s="46" t="n"/>
      <c r="I618" s="46" t="n"/>
      <c r="J618" s="46" t="n"/>
      <c r="K618" s="46" t="n"/>
      <c r="L618" s="190" t="n"/>
      <c r="M618" s="123" t="n"/>
      <c r="N618" s="46" t="n"/>
      <c r="O618" s="46" t="n"/>
      <c r="P618" s="289">
        <f>SUM(D632:D750)</f>
        <v/>
      </c>
      <c r="Q618" s="289">
        <f>SUM(Q632:Q750)</f>
        <v/>
      </c>
      <c r="R618" s="214" t="n"/>
      <c r="S618" s="46" t="n"/>
      <c r="T618" s="46" t="n"/>
      <c r="U618" s="46" t="n"/>
      <c r="V618" s="46" t="n"/>
      <c r="W618" s="46" t="n"/>
      <c r="X618" s="46" t="n"/>
      <c r="Y618" s="190" t="n"/>
      <c r="Z618" s="46" t="n"/>
      <c r="AA618" s="193" t="n"/>
      <c r="AB618" s="197" t="n"/>
      <c r="AC618" s="46" t="n"/>
      <c r="AD618" s="46" t="n"/>
      <c r="AE618" s="46" t="n"/>
    </row>
    <row r="619">
      <c r="A619" s="87" t="inlineStr">
        <is>
          <t>Dealer Commission (Agreed)</t>
        </is>
      </c>
      <c r="B619" s="130">
        <f>'CALCULETTE (2)'!D34</f>
        <v/>
      </c>
      <c r="C619" s="46" t="n"/>
      <c r="D619" s="51" t="inlineStr">
        <is>
          <t>TRI OPS</t>
        </is>
      </c>
      <c r="E619" s="52">
        <f>K629</f>
        <v/>
      </c>
      <c r="F619" s="46" t="n"/>
      <c r="G619" s="46" t="n"/>
      <c r="H619" s="46" t="n"/>
      <c r="I619" s="46" t="n"/>
      <c r="J619" s="288" t="n"/>
      <c r="K619" s="46" t="n"/>
      <c r="L619" s="190" t="n"/>
      <c r="M619" s="123" t="n"/>
      <c r="N619" s="46" t="n"/>
      <c r="O619" s="46" t="n"/>
      <c r="P619" s="289">
        <f>Q618-P618</f>
        <v/>
      </c>
      <c r="Q619" s="46" t="n"/>
      <c r="R619" s="46" t="n"/>
      <c r="S619" s="46" t="n"/>
      <c r="T619" s="46" t="n"/>
      <c r="U619" s="46" t="n"/>
      <c r="V619" s="46" t="n"/>
      <c r="W619" s="46" t="n"/>
      <c r="X619" s="46" t="n"/>
      <c r="Y619" s="190" t="n"/>
      <c r="Z619" s="46" t="n"/>
      <c r="AA619" s="193" t="n"/>
      <c r="AB619" s="197" t="n"/>
      <c r="AC619" s="46" t="n"/>
      <c r="AD619" s="46" t="n"/>
      <c r="AE619" s="46" t="n"/>
    </row>
    <row r="620" ht="12.75" customHeight="1" thickBot="1">
      <c r="A620" s="131" t="inlineStr">
        <is>
          <t>Echu ou à echoir</t>
        </is>
      </c>
      <c r="B620" s="132" t="n">
        <v>1</v>
      </c>
      <c r="C620" s="46" t="n"/>
      <c r="D620" s="128" t="inlineStr">
        <is>
          <t>Ecart</t>
        </is>
      </c>
      <c r="E620" s="53">
        <f>E618-E619</f>
        <v/>
      </c>
      <c r="F620" s="46" t="n"/>
      <c r="G620" s="46" t="n"/>
      <c r="H620" s="46" t="n"/>
      <c r="I620" s="46" t="n"/>
      <c r="J620" s="46" t="n"/>
      <c r="K620" s="46" t="n"/>
      <c r="L620" s="190" t="n"/>
      <c r="M620" s="123" t="n"/>
      <c r="N620" s="46" t="n"/>
      <c r="O620" s="46" t="n"/>
      <c r="P620" s="46" t="n"/>
      <c r="Q620" s="46" t="n"/>
      <c r="R620" s="46" t="n"/>
      <c r="S620" s="46" t="n"/>
      <c r="T620" s="46" t="n"/>
      <c r="U620" s="46" t="n"/>
      <c r="V620" s="46" t="n"/>
      <c r="W620" s="46" t="n"/>
      <c r="X620" s="46" t="n"/>
      <c r="Y620" s="190" t="n"/>
      <c r="Z620" s="46" t="n"/>
      <c r="AA620" s="198" t="n"/>
      <c r="AB620" s="199" t="n"/>
      <c r="AC620" s="46" t="n"/>
      <c r="AD620" s="46" t="n"/>
      <c r="AE620" s="46" t="n"/>
    </row>
    <row r="621" ht="12.75" customHeight="1" thickBot="1">
      <c r="A621" s="133" t="inlineStr">
        <is>
          <t>Early repayment (by month)</t>
        </is>
      </c>
      <c r="B621" s="293" t="n">
        <v>0.005</v>
      </c>
      <c r="C621" s="46" t="n"/>
      <c r="D621" s="128" t="n"/>
      <c r="E621" s="53" t="n"/>
      <c r="F621" s="46" t="n"/>
      <c r="G621" s="46" t="n"/>
      <c r="H621" s="46" t="n"/>
      <c r="I621" s="46" t="n"/>
      <c r="J621" s="46" t="n"/>
      <c r="K621" s="46" t="n"/>
      <c r="L621" s="190" t="n"/>
      <c r="M621" s="123" t="n"/>
      <c r="N621" s="46" t="n"/>
      <c r="O621" s="46" t="n"/>
      <c r="P621" s="46" t="n"/>
      <c r="Q621" s="46" t="n"/>
      <c r="R621" s="46" t="n"/>
      <c r="S621" s="46" t="n"/>
      <c r="T621" s="46" t="n"/>
      <c r="U621" s="46" t="n"/>
      <c r="V621" s="46" t="n"/>
      <c r="W621" s="46" t="n"/>
      <c r="X621" s="46" t="n"/>
      <c r="Y621" s="190" t="n"/>
      <c r="Z621" s="46" t="n"/>
      <c r="AA621" s="200" t="n"/>
      <c r="AB621" s="201" t="n"/>
      <c r="AC621" s="46" t="n"/>
      <c r="AD621" s="46" t="n"/>
      <c r="AE621" s="46" t="n"/>
    </row>
    <row r="622">
      <c r="A622" s="78" t="inlineStr">
        <is>
          <t>Ecart intérêts</t>
        </is>
      </c>
      <c r="B622" s="294">
        <f>U629-H629</f>
        <v/>
      </c>
      <c r="C622" s="46" t="n"/>
      <c r="D622" s="46" t="n"/>
      <c r="E622" s="46" t="n"/>
      <c r="F622" s="46" t="n"/>
      <c r="G622" s="46" t="n"/>
      <c r="H622" s="46" t="n"/>
      <c r="I622" s="46" t="n"/>
      <c r="J622" s="46" t="n"/>
      <c r="K622" s="46" t="n"/>
      <c r="L622" s="190" t="n"/>
      <c r="M622" s="123" t="n"/>
      <c r="N622" s="46" t="n"/>
      <c r="O622" s="46" t="n"/>
      <c r="P622" s="46" t="n"/>
      <c r="Q622" s="46" t="n"/>
      <c r="R622" s="46" t="n"/>
      <c r="S622" s="46" t="n"/>
      <c r="T622" s="46" t="n"/>
      <c r="U622" s="46" t="n"/>
      <c r="V622" s="46" t="n"/>
      <c r="W622" s="46" t="n"/>
      <c r="X622" s="46" t="n"/>
      <c r="Y622" s="190" t="n"/>
      <c r="Z622" s="46" t="n"/>
      <c r="AA622" s="202" t="n"/>
      <c r="AB622" s="295" t="n"/>
      <c r="AC622" s="46" t="n"/>
      <c r="AD622" s="46" t="n"/>
      <c r="AE622" s="46" t="n"/>
    </row>
    <row r="623">
      <c r="A623" s="79" t="inlineStr">
        <is>
          <t>Ecart commissions</t>
        </is>
      </c>
      <c r="B623" s="296">
        <f>W629-J629</f>
        <v/>
      </c>
      <c r="C623" s="46" t="n"/>
      <c r="D623" s="46" t="n"/>
      <c r="E623" s="99">
        <f>IF(A632&lt;$B$613,PMT($B$614/12,IF(IF(ISBLANK(compensation!$B$4)=TRUE,0,1)&gt;0,+$B$613-1-0,$B$613-0),-$B$612,$B$617,$B$620),IF(A632=$B$613,PMT($B$614/12,$B$613,-$B$612,$B$617,$B$620)+$B$617,0))</f>
        <v/>
      </c>
      <c r="F623" s="99" t="n"/>
      <c r="G623" s="99" t="n"/>
      <c r="H623" s="99" t="n"/>
      <c r="I623" s="297" t="n"/>
      <c r="J623" s="46" t="n"/>
      <c r="K623" s="298" t="n"/>
      <c r="L623" s="190" t="n"/>
      <c r="M623" s="299" t="n"/>
      <c r="N623" s="46" t="n"/>
      <c r="O623" s="46" t="n"/>
      <c r="P623" s="46" t="n"/>
      <c r="Q623" s="46" t="n"/>
      <c r="R623" s="99">
        <f>IF(N632&lt;$B$613,PMT($B$615/12,$B$613,-$B$612,$B$617,$B$620),IF(N632=$B$613,PMT($B$615/12,$B$613,-$B$612,$B$617,$B$620)+$B$617,0))</f>
        <v/>
      </c>
      <c r="S623" s="46" t="n"/>
      <c r="T623" s="99" t="n"/>
      <c r="U623" s="99" t="n"/>
      <c r="V623" s="46" t="n"/>
      <c r="W623" s="46" t="n"/>
      <c r="X623" s="46" t="n"/>
      <c r="Y623" s="190" t="n"/>
      <c r="Z623" s="46" t="n"/>
      <c r="AA623" s="202" t="n"/>
      <c r="AB623" s="295" t="n"/>
      <c r="AC623" s="46" t="n"/>
      <c r="AD623" s="46" t="n"/>
      <c r="AE623" s="46" t="n"/>
    </row>
    <row r="624" ht="15" customHeight="1">
      <c r="A624" s="77" t="inlineStr">
        <is>
          <t>Subisidied amount per unit(€)</t>
        </is>
      </c>
      <c r="B624" s="300">
        <f>(U629+W629)-(H629+J629)</f>
        <v/>
      </c>
      <c r="C624" s="301">
        <f>B624-'CALCULETTE (2)'!D37</f>
        <v/>
      </c>
      <c r="D624" s="138" t="inlineStr">
        <is>
          <t>VPM</t>
        </is>
      </c>
      <c r="E624" s="99">
        <f>ROUNDUP(IF(A632&lt;$B$613,PMT($B$614/12,$B$613,-$B$612,$B$617,$B$620),IF(A632=$B$613,PMT($B$614/12,$B$613,-$B$612,$B$617,$B$620)+$B$617,0)),2)</f>
        <v/>
      </c>
      <c r="F624" s="99">
        <f>+E623*1.2</f>
        <v/>
      </c>
      <c r="G624" s="99" t="n"/>
      <c r="H624" s="99" t="n"/>
      <c r="I624" s="289" t="n"/>
      <c r="J624" s="139" t="n"/>
      <c r="K624" s="298" t="n"/>
      <c r="L624" s="190" t="n"/>
      <c r="M624" s="123" t="n"/>
      <c r="N624" s="46" t="n"/>
      <c r="O624" s="46" t="n"/>
      <c r="P624" s="46" t="n"/>
      <c r="Q624" s="138" t="inlineStr">
        <is>
          <t>VPM</t>
        </is>
      </c>
      <c r="R624" s="99">
        <f>ROUNDUP(IF(N632&lt;$B$613,PMT($B$615/12,$B$613,-$B$612*IF('CALCULETTE (2)'!$D$20=0,1,(1+$B$615/12)),$B$617,$B$620),IF(N632=$B$613,PMT($B$615/12,$B$613,-$B$612*IF('CALCULETTE (2)'!$D$20=0,1,(1+$B$615/12)),$B$617,$B$620)+$B$617,0)),2)</f>
        <v/>
      </c>
      <c r="S624" s="99">
        <f>+R624*1.2</f>
        <v/>
      </c>
      <c r="T624" s="99" t="n"/>
      <c r="U624" s="99" t="n"/>
      <c r="V624" s="46" t="n"/>
      <c r="W624" s="46" t="n"/>
      <c r="X624" s="46" t="n"/>
      <c r="Y624" s="190" t="n"/>
      <c r="Z624" s="46" t="n"/>
      <c r="AA624" s="204" t="n"/>
      <c r="AB624" s="302" t="n"/>
      <c r="AC624" s="46" t="n"/>
      <c r="AD624" s="46" t="n"/>
      <c r="AE624" s="46" t="n"/>
    </row>
    <row r="625" ht="15.75" customHeight="1" thickBot="1">
      <c r="A625" s="54" t="inlineStr">
        <is>
          <t xml:space="preserve">Rate /prod </t>
        </is>
      </c>
      <c r="B625" s="80">
        <f>B624/B612</f>
        <v/>
      </c>
      <c r="C625" s="289">
        <f>+C632+B617</f>
        <v/>
      </c>
      <c r="D625" s="138" t="n"/>
      <c r="E625" s="46" t="n"/>
      <c r="F625" s="46" t="n"/>
      <c r="G625" s="46" t="n"/>
      <c r="H625" s="289">
        <f>+U629-H629</f>
        <v/>
      </c>
      <c r="I625" s="289">
        <f>+Q629-D629</f>
        <v/>
      </c>
      <c r="J625" s="46" t="n"/>
      <c r="K625" s="46" t="n"/>
      <c r="L625" s="190" t="n"/>
      <c r="M625" s="123" t="n"/>
      <c r="N625" s="46" t="n"/>
      <c r="O625" s="46" t="n"/>
      <c r="P625" s="46" t="n"/>
      <c r="Q625" s="46" t="n"/>
      <c r="R625" s="46" t="n"/>
      <c r="S625" s="46" t="n"/>
      <c r="T625" s="46" t="n"/>
      <c r="U625" s="46" t="n"/>
      <c r="V625" s="46" t="n"/>
      <c r="W625" s="46" t="n"/>
      <c r="X625" s="46" t="n"/>
      <c r="Y625" s="190" t="n"/>
      <c r="Z625" s="46" t="n"/>
      <c r="AA625" s="206" t="n"/>
      <c r="AB625" s="207" t="n"/>
      <c r="AC625" s="46" t="n"/>
      <c r="AD625" s="46" t="n"/>
      <c r="AE625" s="46" t="n"/>
    </row>
    <row r="626">
      <c r="A626" s="60" t="n"/>
      <c r="B626" s="100" t="n"/>
      <c r="C626" s="289" t="n"/>
      <c r="D626" s="46" t="n"/>
      <c r="E626" s="46" t="n"/>
      <c r="F626" s="303" t="n"/>
      <c r="G626" s="303" t="n"/>
      <c r="H626" s="303" t="n"/>
      <c r="I626" s="46" t="n"/>
      <c r="J626" s="46" t="n"/>
      <c r="K626" s="46" t="n"/>
      <c r="L626" s="190" t="n"/>
      <c r="M626" s="123" t="n"/>
      <c r="N626" s="46" t="n"/>
      <c r="O626" s="46" t="n"/>
      <c r="P626" s="46" t="n"/>
      <c r="Q626" s="46" t="n"/>
      <c r="R626" s="46" t="n"/>
      <c r="S626" s="303" t="n"/>
      <c r="T626" s="303">
        <f>T628-'CALCULETTE (2)'!D40</f>
        <v/>
      </c>
      <c r="U626" s="303" t="n"/>
      <c r="V626" s="46" t="n"/>
      <c r="W626" s="46" t="n"/>
      <c r="X626" s="46" t="n"/>
      <c r="Y626" s="190" t="n"/>
      <c r="Z626" s="46" t="n"/>
      <c r="AA626" s="46" t="n"/>
      <c r="AB626" s="46" t="n"/>
      <c r="AC626" s="46" t="n"/>
      <c r="AD626" s="46" t="n"/>
      <c r="AE626" s="46" t="n"/>
    </row>
    <row r="627">
      <c r="A627" s="236" t="inlineStr">
        <is>
          <t>AVEC TAUX CLIENT OPS</t>
        </is>
      </c>
      <c r="B627" s="304" t="n"/>
      <c r="C627" s="304" t="n"/>
      <c r="D627" s="304" t="n"/>
      <c r="E627" s="304" t="n"/>
      <c r="F627" s="304" t="n"/>
      <c r="G627" s="304" t="n"/>
      <c r="H627" s="304" t="n"/>
      <c r="I627" s="304" t="n"/>
      <c r="J627" s="304" t="n"/>
      <c r="K627" s="304" t="n"/>
      <c r="L627" s="304" t="n"/>
      <c r="M627" s="123" t="n"/>
      <c r="N627" s="236" t="inlineStr">
        <is>
          <t>AVEC TAUX STANDARD TOTAL</t>
        </is>
      </c>
      <c r="O627" s="304" t="n"/>
      <c r="P627" s="304" t="n"/>
      <c r="Q627" s="304" t="n"/>
      <c r="R627" s="304" t="n"/>
      <c r="S627" s="304" t="n"/>
      <c r="T627" s="304" t="n"/>
      <c r="U627" s="304" t="n"/>
      <c r="V627" s="304" t="n"/>
      <c r="W627" s="304" t="n"/>
      <c r="X627" s="304" t="n"/>
      <c r="Y627" s="304" t="n"/>
      <c r="Z627" s="46" t="n"/>
      <c r="AA627" s="46" t="n"/>
      <c r="AB627" s="46" t="n"/>
      <c r="AC627" s="46" t="n"/>
      <c r="AD627" s="46" t="n"/>
      <c r="AE627" s="46" t="n"/>
    </row>
    <row r="628">
      <c r="A628" s="55" t="n"/>
      <c r="B628" s="305" t="n"/>
      <c r="C628" s="141" t="n"/>
      <c r="D628" s="306">
        <f>+D629/B612</f>
        <v/>
      </c>
      <c r="E628" s="60" t="n"/>
      <c r="F628" s="307">
        <f>+F629/B612</f>
        <v/>
      </c>
      <c r="G628" s="307">
        <f>+G629/B612</f>
        <v/>
      </c>
      <c r="H628" s="307" t="n"/>
      <c r="I628" s="57" t="inlineStr">
        <is>
          <t>TRI hors com</t>
        </is>
      </c>
      <c r="J628" s="307" t="n"/>
      <c r="K628" s="57" t="inlineStr">
        <is>
          <t>TRI avec com</t>
        </is>
      </c>
      <c r="L628" s="143" t="n"/>
      <c r="M628" s="144" t="n"/>
      <c r="N628" s="55" t="n"/>
      <c r="O628" s="305" t="n"/>
      <c r="P628" s="141" t="n"/>
      <c r="Q628" s="306">
        <f>+Q629/B612</f>
        <v/>
      </c>
      <c r="R628" s="60" t="n"/>
      <c r="S628" s="307">
        <f>+S629/B612</f>
        <v/>
      </c>
      <c r="T628" s="307">
        <f>+T629/B612</f>
        <v/>
      </c>
      <c r="U628" s="307" t="n"/>
      <c r="V628" s="57" t="inlineStr">
        <is>
          <t>TRI</t>
        </is>
      </c>
      <c r="W628" s="307" t="n"/>
      <c r="X628" s="57" t="inlineStr">
        <is>
          <t>TRI avec com</t>
        </is>
      </c>
      <c r="Y628" s="143" t="n"/>
      <c r="Z628" s="58" t="n"/>
      <c r="AA628" s="58" t="n"/>
      <c r="AB628" s="58" t="n"/>
      <c r="AC628" s="58" t="n"/>
      <c r="AD628" s="58" t="n"/>
      <c r="AE628" s="58" t="n"/>
    </row>
    <row r="629">
      <c r="A629" s="59" t="n"/>
      <c r="B629" s="308" t="n"/>
      <c r="C629" s="60" t="n"/>
      <c r="D629" s="308">
        <f>SUM(D632:D812)</f>
        <v/>
      </c>
      <c r="E629" s="146" t="n"/>
      <c r="F629" s="309">
        <f>SUM(F631:F812)/12</f>
        <v/>
      </c>
      <c r="G629" s="309">
        <f>SUM(G631:G812)/12</f>
        <v/>
      </c>
      <c r="H629" s="308">
        <f>SUM(H632:H812)</f>
        <v/>
      </c>
      <c r="I629" s="62">
        <f>IRR(I631:I812)*12</f>
        <v/>
      </c>
      <c r="J629" s="308">
        <f>SUM(J631:J812)</f>
        <v/>
      </c>
      <c r="K629" s="62">
        <f>IRR(K631:K812)*12</f>
        <v/>
      </c>
      <c r="L629" s="147" t="n"/>
      <c r="M629" s="148" t="n"/>
      <c r="N629" s="59" t="n"/>
      <c r="O629" s="308" t="n"/>
      <c r="P629" s="60" t="n"/>
      <c r="Q629" s="308">
        <f>SUM(Q632:Q812)</f>
        <v/>
      </c>
      <c r="R629" s="146" t="n"/>
      <c r="S629" s="309">
        <f>SUM(S631:S812)/12</f>
        <v/>
      </c>
      <c r="T629" s="309">
        <f>SUM(T631:T812)/12</f>
        <v/>
      </c>
      <c r="U629" s="308">
        <f>SUM(U632:U812)</f>
        <v/>
      </c>
      <c r="V629" s="63">
        <f>IRR(V631:V812)*12</f>
        <v/>
      </c>
      <c r="W629" s="308">
        <f>SUM(W631:W812)</f>
        <v/>
      </c>
      <c r="X629" s="62">
        <f>IRR(X631:X812)*12</f>
        <v/>
      </c>
      <c r="Y629" s="147" t="n"/>
      <c r="Z629" s="46" t="n"/>
      <c r="AA629" s="46" t="n"/>
      <c r="AB629" s="46" t="n"/>
      <c r="AC629" s="46" t="n"/>
      <c r="AD629" s="46" t="n"/>
      <c r="AE629" s="46" t="n"/>
    </row>
    <row r="630" ht="24" customHeight="1">
      <c r="A630" s="64" t="n"/>
      <c r="B630" s="65" t="inlineStr">
        <is>
          <t>CRD début</t>
        </is>
      </c>
      <c r="C630" s="65" t="inlineStr">
        <is>
          <t>mensu</t>
        </is>
      </c>
      <c r="D630" s="65" t="inlineStr">
        <is>
          <t>interêts</t>
        </is>
      </c>
      <c r="E630" s="65" t="inlineStr">
        <is>
          <t>amort</t>
        </is>
      </c>
      <c r="F630" s="66" t="inlineStr">
        <is>
          <t>CRD fin contractuel</t>
        </is>
      </c>
      <c r="G630" s="66" t="inlineStr">
        <is>
          <t>CRD fin yc RA</t>
        </is>
      </c>
      <c r="H630" s="65" t="inlineStr">
        <is>
          <t>interêts yc RA</t>
        </is>
      </c>
      <c r="I630" s="67" t="n"/>
      <c r="J630" s="66" t="inlineStr">
        <is>
          <t>Com°</t>
        </is>
      </c>
      <c r="K630" s="67" t="n"/>
      <c r="L630" s="149" t="inlineStr">
        <is>
          <t>profil theo</t>
        </is>
      </c>
      <c r="M630" s="150" t="n"/>
      <c r="N630" s="64" t="n"/>
      <c r="O630" s="65" t="inlineStr">
        <is>
          <t>CRD début</t>
        </is>
      </c>
      <c r="P630" s="65" t="inlineStr">
        <is>
          <t>mensu</t>
        </is>
      </c>
      <c r="Q630" s="65" t="inlineStr">
        <is>
          <t>interêts</t>
        </is>
      </c>
      <c r="R630" s="65" t="inlineStr">
        <is>
          <t>amort</t>
        </is>
      </c>
      <c r="S630" s="66" t="inlineStr">
        <is>
          <t>CRD fin</t>
        </is>
      </c>
      <c r="T630" s="66" t="inlineStr">
        <is>
          <t>CRD fin yc RA</t>
        </is>
      </c>
      <c r="U630" s="65" t="inlineStr">
        <is>
          <t>interêts yc RA</t>
        </is>
      </c>
      <c r="V630" s="67" t="n"/>
      <c r="W630" s="66" t="inlineStr">
        <is>
          <t>Com°</t>
        </is>
      </c>
      <c r="X630" s="67" t="n"/>
      <c r="Y630" s="151" t="inlineStr">
        <is>
          <t>profil theo</t>
        </is>
      </c>
      <c r="Z630" s="68" t="n"/>
      <c r="AA630" s="68" t="n"/>
      <c r="AB630" s="68" t="n"/>
      <c r="AC630" s="68" t="n"/>
      <c r="AD630" s="68" t="n"/>
      <c r="AE630" s="68" t="n"/>
    </row>
    <row r="631">
      <c r="A631" s="69" t="n">
        <v>0</v>
      </c>
      <c r="B631" s="152" t="n"/>
      <c r="C631" s="152" t="n"/>
      <c r="D631" s="152" t="n"/>
      <c r="E631" s="152" t="n"/>
      <c r="F631" s="310">
        <f>$B$612</f>
        <v/>
      </c>
      <c r="G631" s="310" t="n"/>
      <c r="H631" s="310" t="n"/>
      <c r="I631" s="311">
        <f>-B612</f>
        <v/>
      </c>
      <c r="J631" s="312">
        <f>-$B$619*$B$612</f>
        <v/>
      </c>
      <c r="K631" s="311">
        <f>I631+J631</f>
        <v/>
      </c>
      <c r="L631" s="153" t="n"/>
      <c r="M631" s="154" t="n"/>
      <c r="N631" s="69" t="n"/>
      <c r="O631" s="152" t="n"/>
      <c r="P631" s="152" t="n"/>
      <c r="Q631" s="152" t="n"/>
      <c r="R631" s="152" t="n"/>
      <c r="S631" s="310">
        <f>$B$612</f>
        <v/>
      </c>
      <c r="T631" s="310" t="n"/>
      <c r="U631" s="310" t="n"/>
      <c r="V631" s="311">
        <f>-B612</f>
        <v/>
      </c>
      <c r="W631" s="312">
        <f>-$B$618*$B$612</f>
        <v/>
      </c>
      <c r="X631" s="311">
        <f>V631+W631</f>
        <v/>
      </c>
      <c r="Y631" s="155" t="n"/>
      <c r="Z631" s="72" t="n"/>
      <c r="AA631" s="313">
        <f>+V631-I631</f>
        <v/>
      </c>
      <c r="AB631" s="72" t="n"/>
      <c r="AC631" s="72" t="n"/>
      <c r="AD631" s="72" t="n"/>
      <c r="AE631" s="72" t="n"/>
    </row>
    <row r="632">
      <c r="A632" s="73" t="n">
        <v>1</v>
      </c>
      <c r="B632" s="289">
        <f>B612</f>
        <v/>
      </c>
      <c r="C632" s="287">
        <f>(IF(A632&lt;$B$613,PMT($B$614/12,$B$613,-$B$612,$B$617,$B$620),IF(A632=$B$613,PMT($B$614/12,$B$613,-$B$612,$B$617,$B$620)+$B$617,0)))</f>
        <v/>
      </c>
      <c r="D632" s="289">
        <f>IF(A632&lt;=$B$613,B632*$B$614/12,0)</f>
        <v/>
      </c>
      <c r="E632" s="289">
        <f>C632-D632</f>
        <v/>
      </c>
      <c r="F632" s="314">
        <f>(B632-E632)</f>
        <v/>
      </c>
      <c r="G632" s="112">
        <f>B632*(1-B$621)^($A632)</f>
        <v/>
      </c>
      <c r="H632" s="112">
        <f>IF(A632&lt;=$B$613,G632*$B$614/12,0)</f>
        <v/>
      </c>
      <c r="I632" s="315">
        <f>C632</f>
        <v/>
      </c>
      <c r="J632" s="314" t="n"/>
      <c r="K632" s="315">
        <f>C632</f>
        <v/>
      </c>
      <c r="L632" s="316">
        <f>F632/$B$612*100</f>
        <v/>
      </c>
      <c r="M632" s="317" t="n"/>
      <c r="N632" s="73" t="n">
        <v>1</v>
      </c>
      <c r="O632" s="289">
        <f>B612</f>
        <v/>
      </c>
      <c r="P632" s="287">
        <f>(IF(N632&lt;$B$613,PMT($B$615/12,$B$613,-$B$612,$B$617,0),IF(N632=$B$613,PMT($B$615/12,$B$613,-$B$612,$B$617,0)+$B$617,0)))</f>
        <v/>
      </c>
      <c r="Q632" s="289">
        <f>IF(N632&lt;=$B$613,O632*$B$615/12,0)</f>
        <v/>
      </c>
      <c r="R632" s="289">
        <f>P632-Q632</f>
        <v/>
      </c>
      <c r="S632" s="314">
        <f>(O632-R632)</f>
        <v/>
      </c>
      <c r="T632" s="112">
        <f>O632*(1-B$621)^($N632)</f>
        <v/>
      </c>
      <c r="U632" s="112">
        <f>IF(N632&lt;=$B$613,T632*$B$615/12,0)</f>
        <v/>
      </c>
      <c r="V632" s="315">
        <f>P632</f>
        <v/>
      </c>
      <c r="W632" s="314" t="n"/>
      <c r="X632" s="315">
        <f>P632</f>
        <v/>
      </c>
      <c r="Y632" s="316">
        <f>S632/$B$612*100</f>
        <v/>
      </c>
      <c r="Z632" s="46" t="n"/>
      <c r="AA632" s="313">
        <f>+V632-I632</f>
        <v/>
      </c>
      <c r="AB632" s="46" t="n"/>
      <c r="AC632" s="46" t="n"/>
      <c r="AD632" s="46" t="n"/>
      <c r="AE632" s="46" t="n"/>
    </row>
    <row r="633">
      <c r="A633" s="73" t="n">
        <v>2</v>
      </c>
      <c r="B633" s="289">
        <f>+F632</f>
        <v/>
      </c>
      <c r="C633" s="287">
        <f>(IF(A633&lt;$B$613,PMT($B$614/12,$B$613,-$B$612,$B$617,$B$620),IF(A633=$B$613,PMT($B$614/12,$B$613,-$B$612,$B$617,$B$620)+$B$617,0)))</f>
        <v/>
      </c>
      <c r="D633" s="289">
        <f>IF(A633&lt;=$B$613,B633*$B$614/12,0)</f>
        <v/>
      </c>
      <c r="E633" s="289">
        <f>C633-D633</f>
        <v/>
      </c>
      <c r="F633" s="314">
        <f>(B633-E633)</f>
        <v/>
      </c>
      <c r="G633" s="112">
        <f>B633*(1-B$621)^($A633)</f>
        <v/>
      </c>
      <c r="H633" s="112">
        <f>IF(A633&lt;=$B$613,G633*$B$614/12,0)</f>
        <v/>
      </c>
      <c r="I633" s="315">
        <f>C633</f>
        <v/>
      </c>
      <c r="J633" s="314" t="n"/>
      <c r="K633" s="315">
        <f>C633</f>
        <v/>
      </c>
      <c r="L633" s="316">
        <f>F633/$B$612*100</f>
        <v/>
      </c>
      <c r="M633" s="317" t="n"/>
      <c r="N633" s="73" t="n">
        <v>2</v>
      </c>
      <c r="O633" s="289">
        <f>+S632</f>
        <v/>
      </c>
      <c r="P633" s="287">
        <f>(IF(N633&lt;$B$613,PMT($B$615/12,$B$613,-$B$612,$B$617,0),IF(N633=$B$613,PMT($B$615/12,$B$613,-$B$612,$B$617,0)+$B$617,0)))</f>
        <v/>
      </c>
      <c r="Q633" s="289">
        <f>IF(N633&lt;=$B$613,O633*$B$615/12,0)</f>
        <v/>
      </c>
      <c r="R633" s="289">
        <f>P633-Q633</f>
        <v/>
      </c>
      <c r="S633" s="314">
        <f>(O633-R633)</f>
        <v/>
      </c>
      <c r="T633" s="112">
        <f>O633*(1-B$621)^($N633)</f>
        <v/>
      </c>
      <c r="U633" s="112">
        <f>IF(N633&lt;=$B$613,T633*$B$615/12,0)</f>
        <v/>
      </c>
      <c r="V633" s="315">
        <f>P633</f>
        <v/>
      </c>
      <c r="W633" s="314" t="n"/>
      <c r="X633" s="315">
        <f>P633</f>
        <v/>
      </c>
      <c r="Y633" s="316">
        <f>S633/$B$612*100</f>
        <v/>
      </c>
      <c r="Z633" s="46" t="n"/>
      <c r="AA633" s="313">
        <f>+V633-I633</f>
        <v/>
      </c>
      <c r="AB633" s="46" t="n"/>
      <c r="AC633" s="46" t="n"/>
      <c r="AD633" s="46" t="n"/>
      <c r="AE633" s="46" t="n"/>
    </row>
    <row r="634">
      <c r="A634" s="73" t="n">
        <v>3</v>
      </c>
      <c r="B634" s="289">
        <f>+F633</f>
        <v/>
      </c>
      <c r="C634" s="287">
        <f>(IF(A634&lt;$B$613,PMT($B$614/12,$B$613,-$B$612,$B$617,$B$620),IF(A634=$B$613,PMT($B$614/12,$B$613,-$B$612,$B$617,$B$620)+$B$617,0)))</f>
        <v/>
      </c>
      <c r="D634" s="289">
        <f>IF(A634&lt;=$B$613,B634*$B$614/12,0)</f>
        <v/>
      </c>
      <c r="E634" s="289">
        <f>C634-D634</f>
        <v/>
      </c>
      <c r="F634" s="314">
        <f>(B634-E634)</f>
        <v/>
      </c>
      <c r="G634" s="112">
        <f>B634*(1-B$621)^($A634)</f>
        <v/>
      </c>
      <c r="H634" s="112">
        <f>IF(A634&lt;=$B$613,G634*$B$614/12,0)</f>
        <v/>
      </c>
      <c r="I634" s="315">
        <f>C634</f>
        <v/>
      </c>
      <c r="J634" s="314" t="n"/>
      <c r="K634" s="315">
        <f>C634</f>
        <v/>
      </c>
      <c r="L634" s="316">
        <f>F634/$B$612*100</f>
        <v/>
      </c>
      <c r="M634" s="317" t="n"/>
      <c r="N634" s="73" t="n">
        <v>3</v>
      </c>
      <c r="O634" s="289">
        <f>+S633</f>
        <v/>
      </c>
      <c r="P634" s="287">
        <f>(IF(N634&lt;$B$613,PMT($B$615/12,$B$613,-$B$612,$B$617,0),IF(N634=$B$613,PMT($B$615/12,$B$613,-$B$612,$B$617,0)+$B$617,0)))</f>
        <v/>
      </c>
      <c r="Q634" s="289">
        <f>IF(N634&lt;=$B$613,O634*$B$615/12,0)</f>
        <v/>
      </c>
      <c r="R634" s="289">
        <f>P634-Q634</f>
        <v/>
      </c>
      <c r="S634" s="314">
        <f>(O634-R634)</f>
        <v/>
      </c>
      <c r="T634" s="112">
        <f>O634*(1-B$621)^($N634)</f>
        <v/>
      </c>
      <c r="U634" s="112">
        <f>IF(N634&lt;=$B$613,T634*$B$615/12,0)</f>
        <v/>
      </c>
      <c r="V634" s="315">
        <f>P634</f>
        <v/>
      </c>
      <c r="W634" s="314" t="n"/>
      <c r="X634" s="315">
        <f>P634</f>
        <v/>
      </c>
      <c r="Y634" s="316">
        <f>S634/$B$612*100</f>
        <v/>
      </c>
      <c r="Z634" s="46" t="n"/>
      <c r="AA634" s="313">
        <f>+V634-I634</f>
        <v/>
      </c>
      <c r="AB634" s="46" t="n"/>
      <c r="AC634" s="46" t="n"/>
      <c r="AD634" s="46" t="n"/>
      <c r="AE634" s="46" t="n"/>
    </row>
    <row r="635">
      <c r="A635" s="73" t="n">
        <v>4</v>
      </c>
      <c r="B635" s="289">
        <f>+F634</f>
        <v/>
      </c>
      <c r="C635" s="287">
        <f>(IF(A635&lt;$B$613,PMT($B$614/12,$B$613,-$B$612,$B$617,$B$620),IF(A635=$B$613,PMT($B$614/12,$B$613,-$B$612,$B$617,$B$620)+$B$617,0)))</f>
        <v/>
      </c>
      <c r="D635" s="289">
        <f>IF(A635&lt;=$B$613,B635*$B$614/12,0)</f>
        <v/>
      </c>
      <c r="E635" s="289">
        <f>C635-D635</f>
        <v/>
      </c>
      <c r="F635" s="314">
        <f>(B635-E635)</f>
        <v/>
      </c>
      <c r="G635" s="112">
        <f>B635*(1-B$621)^($A635)</f>
        <v/>
      </c>
      <c r="H635" s="112">
        <f>IF(A635&lt;=$B$613,G635*$B$614/12,0)</f>
        <v/>
      </c>
      <c r="I635" s="315">
        <f>C635</f>
        <v/>
      </c>
      <c r="J635" s="314" t="n"/>
      <c r="K635" s="315">
        <f>C635</f>
        <v/>
      </c>
      <c r="L635" s="316">
        <f>F635/$B$612*100</f>
        <v/>
      </c>
      <c r="M635" s="317" t="n"/>
      <c r="N635" s="73" t="n">
        <v>4</v>
      </c>
      <c r="O635" s="289">
        <f>+S634</f>
        <v/>
      </c>
      <c r="P635" s="287">
        <f>(IF(N635&lt;$B$613,PMT($B$615/12,$B$613,-$B$612,$B$617,0),IF(N635=$B$613,PMT($B$615/12,$B$613,-$B$612,$B$617,0)+$B$617,0)))</f>
        <v/>
      </c>
      <c r="Q635" s="289">
        <f>IF(N635&lt;=$B$613,O635*$B$615/12,0)</f>
        <v/>
      </c>
      <c r="R635" s="289">
        <f>P635-Q635</f>
        <v/>
      </c>
      <c r="S635" s="314">
        <f>(O635-R635)</f>
        <v/>
      </c>
      <c r="T635" s="112">
        <f>O635*(1-B$621)^($N635)</f>
        <v/>
      </c>
      <c r="U635" s="112">
        <f>IF(N635&lt;=$B$613,T635*$B$615/12,0)</f>
        <v/>
      </c>
      <c r="V635" s="315">
        <f>P635</f>
        <v/>
      </c>
      <c r="W635" s="314" t="n"/>
      <c r="X635" s="315">
        <f>P635</f>
        <v/>
      </c>
      <c r="Y635" s="316">
        <f>S635/$B$612*100</f>
        <v/>
      </c>
      <c r="Z635" s="46" t="n"/>
      <c r="AA635" s="313">
        <f>+V635-I635</f>
        <v/>
      </c>
      <c r="AB635" s="46" t="n"/>
      <c r="AC635" s="46" t="n"/>
      <c r="AD635" s="46" t="n"/>
      <c r="AE635" s="46" t="n"/>
    </row>
    <row r="636">
      <c r="A636" s="73" t="n">
        <v>5</v>
      </c>
      <c r="B636" s="289">
        <f>+F635</f>
        <v/>
      </c>
      <c r="C636" s="287">
        <f>(IF(A636&lt;$B$613,PMT($B$614/12,$B$613,-$B$612,$B$617,$B$620),IF(A636=$B$613,PMT($B$614/12,$B$613,-$B$612,$B$617,$B$620)+$B$617,0)))</f>
        <v/>
      </c>
      <c r="D636" s="289">
        <f>IF(A636&lt;=$B$613,B636*$B$614/12,0)</f>
        <v/>
      </c>
      <c r="E636" s="289">
        <f>C636-D636</f>
        <v/>
      </c>
      <c r="F636" s="314">
        <f>(B636-E636)</f>
        <v/>
      </c>
      <c r="G636" s="112">
        <f>B636*(1-B$621)^($A636)</f>
        <v/>
      </c>
      <c r="H636" s="112">
        <f>IF(A636&lt;=$B$613,G636*$B$614/12,0)</f>
        <v/>
      </c>
      <c r="I636" s="315">
        <f>C636</f>
        <v/>
      </c>
      <c r="J636" s="314" t="n"/>
      <c r="K636" s="315">
        <f>C636</f>
        <v/>
      </c>
      <c r="L636" s="316">
        <f>F636/$B$612*100</f>
        <v/>
      </c>
      <c r="M636" s="317" t="n"/>
      <c r="N636" s="73" t="n">
        <v>5</v>
      </c>
      <c r="O636" s="289">
        <f>+S635</f>
        <v/>
      </c>
      <c r="P636" s="287">
        <f>(IF(N636&lt;$B$613,PMT($B$615/12,$B$613,-$B$612,$B$617,0),IF(N636=$B$613,PMT($B$615/12,$B$613,-$B$612,$B$617,0)+$B$617,0)))</f>
        <v/>
      </c>
      <c r="Q636" s="289">
        <f>IF(N636&lt;=$B$613,O636*$B$615/12,0)</f>
        <v/>
      </c>
      <c r="R636" s="289">
        <f>P636-Q636</f>
        <v/>
      </c>
      <c r="S636" s="314">
        <f>(O636-R636)</f>
        <v/>
      </c>
      <c r="T636" s="112">
        <f>O636*(1-B$621)^($N636)</f>
        <v/>
      </c>
      <c r="U636" s="112">
        <f>IF(N636&lt;=$B$613,T636*$B$615/12,0)</f>
        <v/>
      </c>
      <c r="V636" s="315">
        <f>P636</f>
        <v/>
      </c>
      <c r="W636" s="314" t="n"/>
      <c r="X636" s="315">
        <f>P636</f>
        <v/>
      </c>
      <c r="Y636" s="316">
        <f>S636/$B$612*100</f>
        <v/>
      </c>
      <c r="Z636" s="46" t="n"/>
      <c r="AA636" s="313">
        <f>+V636-I636</f>
        <v/>
      </c>
      <c r="AB636" s="46" t="n"/>
      <c r="AC636" s="46" t="n"/>
      <c r="AD636" s="46" t="n"/>
      <c r="AE636" s="46" t="n"/>
    </row>
    <row r="637">
      <c r="A637" s="73" t="n">
        <v>6</v>
      </c>
      <c r="B637" s="289">
        <f>+F636</f>
        <v/>
      </c>
      <c r="C637" s="287">
        <f>(IF(A637&lt;$B$613,PMT($B$614/12,$B$613,-$B$612,$B$617,$B$620),IF(A637=$B$613,PMT($B$614/12,$B$613,-$B$612,$B$617,$B$620)+$B$617,0)))</f>
        <v/>
      </c>
      <c r="D637" s="289">
        <f>IF(A637&lt;=$B$613,B637*$B$614/12,0)</f>
        <v/>
      </c>
      <c r="E637" s="289">
        <f>C637-D637</f>
        <v/>
      </c>
      <c r="F637" s="314">
        <f>(B637-E637)</f>
        <v/>
      </c>
      <c r="G637" s="112">
        <f>B637*(1-B$621)^($A637)</f>
        <v/>
      </c>
      <c r="H637" s="112">
        <f>IF(A637&lt;=$B$613,G637*$B$614/12,0)</f>
        <v/>
      </c>
      <c r="I637" s="315">
        <f>C637</f>
        <v/>
      </c>
      <c r="J637" s="314" t="n"/>
      <c r="K637" s="315">
        <f>C637</f>
        <v/>
      </c>
      <c r="L637" s="316">
        <f>F637/$B$612*100</f>
        <v/>
      </c>
      <c r="M637" s="317" t="n"/>
      <c r="N637" s="73" t="n">
        <v>6</v>
      </c>
      <c r="O637" s="289">
        <f>+S636</f>
        <v/>
      </c>
      <c r="P637" s="287">
        <f>(IF(N637&lt;$B$613,PMT($B$615/12,$B$613,-$B$612,$B$617,0),IF(N637=$B$613,PMT($B$615/12,$B$613,-$B$612,$B$617,0)+$B$617,0)))</f>
        <v/>
      </c>
      <c r="Q637" s="289">
        <f>IF(N637&lt;=$B$613,O637*$B$615/12,0)</f>
        <v/>
      </c>
      <c r="R637" s="289">
        <f>P637-Q637</f>
        <v/>
      </c>
      <c r="S637" s="314">
        <f>(O637-R637)</f>
        <v/>
      </c>
      <c r="T637" s="112">
        <f>O637*(1-B$621)^($N637)</f>
        <v/>
      </c>
      <c r="U637" s="112">
        <f>IF(N637&lt;=$B$613,T637*$B$615/12,0)</f>
        <v/>
      </c>
      <c r="V637" s="315">
        <f>P637</f>
        <v/>
      </c>
      <c r="W637" s="314" t="n"/>
      <c r="X637" s="315">
        <f>P637</f>
        <v/>
      </c>
      <c r="Y637" s="316">
        <f>S637/$B$612*100</f>
        <v/>
      </c>
      <c r="Z637" s="46" t="n"/>
      <c r="AA637" s="313">
        <f>+V637-I637</f>
        <v/>
      </c>
      <c r="AB637" s="46" t="n"/>
      <c r="AC637" s="46" t="n"/>
      <c r="AD637" s="46" t="n"/>
      <c r="AE637" s="46" t="n"/>
    </row>
    <row r="638">
      <c r="A638" s="73" t="n">
        <v>7</v>
      </c>
      <c r="B638" s="289">
        <f>+F637</f>
        <v/>
      </c>
      <c r="C638" s="287">
        <f>(IF(A638&lt;$B$613,PMT($B$614/12,$B$613,-$B$612,$B$617,$B$620),IF(A638=$B$613,PMT($B$614/12,$B$613,-$B$612,$B$617,$B$620)+$B$617,0)))</f>
        <v/>
      </c>
      <c r="D638" s="289">
        <f>IF(A638&lt;=$B$613,B638*$B$614/12,0)</f>
        <v/>
      </c>
      <c r="E638" s="289">
        <f>C638-D638</f>
        <v/>
      </c>
      <c r="F638" s="314">
        <f>(B638-E638)</f>
        <v/>
      </c>
      <c r="G638" s="112">
        <f>B638*(1-B$621)^($A638)</f>
        <v/>
      </c>
      <c r="H638" s="112">
        <f>IF(A638&lt;=$B$613,G638*$B$614/12,0)</f>
        <v/>
      </c>
      <c r="I638" s="315">
        <f>C638</f>
        <v/>
      </c>
      <c r="J638" s="314" t="n"/>
      <c r="K638" s="315">
        <f>C638</f>
        <v/>
      </c>
      <c r="L638" s="316">
        <f>F638/$B$612*100</f>
        <v/>
      </c>
      <c r="M638" s="317" t="n"/>
      <c r="N638" s="73" t="n">
        <v>7</v>
      </c>
      <c r="O638" s="289">
        <f>+S637</f>
        <v/>
      </c>
      <c r="P638" s="287">
        <f>(IF(N638&lt;$B$613,PMT($B$615/12,$B$613,-$B$612,$B$617,0),IF(N638=$B$613,PMT($B$615/12,$B$613,-$B$612,$B$617,0)+$B$617,0)))</f>
        <v/>
      </c>
      <c r="Q638" s="289">
        <f>IF(N638&lt;=$B$613,O638*$B$615/12,0)</f>
        <v/>
      </c>
      <c r="R638" s="289">
        <f>P638-Q638</f>
        <v/>
      </c>
      <c r="S638" s="314">
        <f>(O638-R638)</f>
        <v/>
      </c>
      <c r="T638" s="112">
        <f>O638*(1-B$621)^($N638)</f>
        <v/>
      </c>
      <c r="U638" s="112">
        <f>IF(N638&lt;=$B$613,T638*$B$615/12,0)</f>
        <v/>
      </c>
      <c r="V638" s="315">
        <f>P638</f>
        <v/>
      </c>
      <c r="W638" s="314" t="n"/>
      <c r="X638" s="315">
        <f>P638</f>
        <v/>
      </c>
      <c r="Y638" s="316">
        <f>S638/$B$612*100</f>
        <v/>
      </c>
      <c r="Z638" s="46" t="n"/>
      <c r="AA638" s="313">
        <f>+V638-I638</f>
        <v/>
      </c>
      <c r="AB638" s="46" t="n"/>
      <c r="AC638" s="46" t="n"/>
      <c r="AD638" s="46" t="n"/>
      <c r="AE638" s="46" t="n"/>
    </row>
    <row r="639">
      <c r="A639" s="73" t="n">
        <v>8</v>
      </c>
      <c r="B639" s="289">
        <f>+F638</f>
        <v/>
      </c>
      <c r="C639" s="287">
        <f>(IF(A639&lt;$B$613,PMT($B$614/12,$B$613,-$B$612,$B$617,$B$620),IF(A639=$B$613,PMT($B$614/12,$B$613,-$B$612,$B$617,$B$620)+$B$617,0)))</f>
        <v/>
      </c>
      <c r="D639" s="289">
        <f>IF(A639&lt;=$B$613,B639*$B$614/12,0)</f>
        <v/>
      </c>
      <c r="E639" s="289">
        <f>C639-D639</f>
        <v/>
      </c>
      <c r="F639" s="314">
        <f>(B639-E639)</f>
        <v/>
      </c>
      <c r="G639" s="112">
        <f>B639*(1-B$621)^($A639)</f>
        <v/>
      </c>
      <c r="H639" s="112">
        <f>IF(A639&lt;=$B$613,G639*$B$614/12,0)</f>
        <v/>
      </c>
      <c r="I639" s="315">
        <f>C639</f>
        <v/>
      </c>
      <c r="J639" s="314" t="n"/>
      <c r="K639" s="315">
        <f>C639</f>
        <v/>
      </c>
      <c r="L639" s="316">
        <f>F639/$B$612*100</f>
        <v/>
      </c>
      <c r="M639" s="317" t="n"/>
      <c r="N639" s="73" t="n">
        <v>8</v>
      </c>
      <c r="O639" s="289">
        <f>+S638</f>
        <v/>
      </c>
      <c r="P639" s="287">
        <f>(IF(N639&lt;$B$613,PMT($B$615/12,$B$613,-$B$612,$B$617,0),IF(N639=$B$613,PMT($B$615/12,$B$613,-$B$612,$B$617,0)+$B$617,0)))</f>
        <v/>
      </c>
      <c r="Q639" s="289">
        <f>IF(N639&lt;=$B$613,O639*$B$615/12,0)</f>
        <v/>
      </c>
      <c r="R639" s="289">
        <f>P639-Q639</f>
        <v/>
      </c>
      <c r="S639" s="314">
        <f>(O639-R639)</f>
        <v/>
      </c>
      <c r="T639" s="112">
        <f>O639*(1-B$621)^($N639)</f>
        <v/>
      </c>
      <c r="U639" s="112">
        <f>IF(N639&lt;=$B$613,T639*$B$615/12,0)</f>
        <v/>
      </c>
      <c r="V639" s="315">
        <f>P639</f>
        <v/>
      </c>
      <c r="W639" s="314" t="n"/>
      <c r="X639" s="315">
        <f>P639</f>
        <v/>
      </c>
      <c r="Y639" s="316">
        <f>S639/$B$612*100</f>
        <v/>
      </c>
      <c r="Z639" s="46" t="n"/>
      <c r="AA639" s="313">
        <f>+V639-I639</f>
        <v/>
      </c>
      <c r="AB639" s="46" t="n"/>
      <c r="AC639" s="46" t="n"/>
      <c r="AD639" s="46" t="n"/>
      <c r="AE639" s="46" t="n"/>
    </row>
    <row r="640">
      <c r="A640" s="73" t="n">
        <v>9</v>
      </c>
      <c r="B640" s="289">
        <f>+F639</f>
        <v/>
      </c>
      <c r="C640" s="287">
        <f>(IF(A640&lt;$B$613,PMT($B$614/12,$B$613,-$B$612,$B$617,$B$620),IF(A640=$B$613,PMT($B$614/12,$B$613,-$B$612,$B$617,$B$620)+$B$617,0)))</f>
        <v/>
      </c>
      <c r="D640" s="289">
        <f>IF(A640&lt;=$B$613,B640*$B$614/12,0)</f>
        <v/>
      </c>
      <c r="E640" s="289">
        <f>C640-D640</f>
        <v/>
      </c>
      <c r="F640" s="314">
        <f>(B640-E640)</f>
        <v/>
      </c>
      <c r="G640" s="112">
        <f>B640*(1-B$621)^($A640)</f>
        <v/>
      </c>
      <c r="H640" s="112">
        <f>IF(A640&lt;=$B$613,G640*$B$614/12,0)</f>
        <v/>
      </c>
      <c r="I640" s="315">
        <f>C640</f>
        <v/>
      </c>
      <c r="J640" s="314" t="n"/>
      <c r="K640" s="315">
        <f>C640</f>
        <v/>
      </c>
      <c r="L640" s="316">
        <f>F640/$B$612*100</f>
        <v/>
      </c>
      <c r="M640" s="317" t="n"/>
      <c r="N640" s="73" t="n">
        <v>9</v>
      </c>
      <c r="O640" s="289">
        <f>+S639</f>
        <v/>
      </c>
      <c r="P640" s="287">
        <f>(IF(N640&lt;$B$613,PMT($B$615/12,$B$613,-$B$612,$B$617,0),IF(N640=$B$613,PMT($B$615/12,$B$613,-$B$612,$B$617,0)+$B$617,0)))</f>
        <v/>
      </c>
      <c r="Q640" s="289">
        <f>IF(N640&lt;=$B$613,O640*$B$615/12,0)</f>
        <v/>
      </c>
      <c r="R640" s="289">
        <f>P640-Q640</f>
        <v/>
      </c>
      <c r="S640" s="314">
        <f>(O640-R640)</f>
        <v/>
      </c>
      <c r="T640" s="112">
        <f>O640*(1-B$621)^($N640)</f>
        <v/>
      </c>
      <c r="U640" s="112">
        <f>IF(N640&lt;=$B$613,T640*$B$615/12,0)</f>
        <v/>
      </c>
      <c r="V640" s="315">
        <f>P640</f>
        <v/>
      </c>
      <c r="W640" s="314" t="n"/>
      <c r="X640" s="315">
        <f>P640</f>
        <v/>
      </c>
      <c r="Y640" s="316">
        <f>S640/$B$612*100</f>
        <v/>
      </c>
      <c r="Z640" s="46" t="n"/>
      <c r="AA640" s="313">
        <f>+V640-I640</f>
        <v/>
      </c>
      <c r="AB640" s="46" t="n"/>
      <c r="AC640" s="46" t="n"/>
      <c r="AD640" s="46" t="n"/>
      <c r="AE640" s="46" t="n"/>
    </row>
    <row r="641">
      <c r="A641" s="73" t="n">
        <v>10</v>
      </c>
      <c r="B641" s="289">
        <f>+F640</f>
        <v/>
      </c>
      <c r="C641" s="287">
        <f>(IF(A641&lt;$B$613,PMT($B$614/12,$B$613,-$B$612,$B$617,$B$620),IF(A641=$B$613,PMT($B$614/12,$B$613,-$B$612,$B$617,$B$620)+$B$617,0)))</f>
        <v/>
      </c>
      <c r="D641" s="289">
        <f>IF(A641&lt;=$B$613,B641*$B$614/12,0)</f>
        <v/>
      </c>
      <c r="E641" s="289">
        <f>C641-D641</f>
        <v/>
      </c>
      <c r="F641" s="314">
        <f>(B641-E641)</f>
        <v/>
      </c>
      <c r="G641" s="112">
        <f>B641*(1-B$621)^($A641)</f>
        <v/>
      </c>
      <c r="H641" s="112">
        <f>IF(A641&lt;=$B$613,G641*$B$614/12,0)</f>
        <v/>
      </c>
      <c r="I641" s="315">
        <f>C641</f>
        <v/>
      </c>
      <c r="J641" s="314" t="n"/>
      <c r="K641" s="315">
        <f>C641</f>
        <v/>
      </c>
      <c r="L641" s="316">
        <f>F641/$B$612*100</f>
        <v/>
      </c>
      <c r="M641" s="317" t="n"/>
      <c r="N641" s="73" t="n">
        <v>10</v>
      </c>
      <c r="O641" s="289">
        <f>+S640</f>
        <v/>
      </c>
      <c r="P641" s="287">
        <f>(IF(N641&lt;$B$613,PMT($B$615/12,$B$613,-$B$612,$B$617,0),IF(N641=$B$613,PMT($B$615/12,$B$613,-$B$612,$B$617,0)+$B$617,0)))</f>
        <v/>
      </c>
      <c r="Q641" s="289">
        <f>IF(N641&lt;=$B$613,O641*$B$615/12,0)</f>
        <v/>
      </c>
      <c r="R641" s="289">
        <f>P641-Q641</f>
        <v/>
      </c>
      <c r="S641" s="314">
        <f>(O641-R641)</f>
        <v/>
      </c>
      <c r="T641" s="112">
        <f>O641*(1-B$621)^($N641)</f>
        <v/>
      </c>
      <c r="U641" s="112">
        <f>IF(N641&lt;=$B$613,T641*$B$615/12,0)</f>
        <v/>
      </c>
      <c r="V641" s="315">
        <f>P641</f>
        <v/>
      </c>
      <c r="W641" s="314" t="n"/>
      <c r="X641" s="315">
        <f>P641</f>
        <v/>
      </c>
      <c r="Y641" s="316">
        <f>S641/$B$612*100</f>
        <v/>
      </c>
      <c r="Z641" s="46" t="n"/>
      <c r="AA641" s="313">
        <f>+V641-I641</f>
        <v/>
      </c>
      <c r="AB641" s="46" t="n"/>
      <c r="AC641" s="46" t="n"/>
      <c r="AD641" s="46" t="n"/>
      <c r="AE641" s="46" t="n"/>
    </row>
    <row r="642">
      <c r="A642" s="73" t="n">
        <v>11</v>
      </c>
      <c r="B642" s="289">
        <f>+F641</f>
        <v/>
      </c>
      <c r="C642" s="287">
        <f>(IF(A642&lt;$B$613,PMT($B$614/12,$B$613,-$B$612,$B$617,$B$620),IF(A642=$B$613,PMT($B$614/12,$B$613,-$B$612,$B$617,$B$620)+$B$617,0)))</f>
        <v/>
      </c>
      <c r="D642" s="289">
        <f>IF(A642&lt;=$B$613,B642*$B$614/12,0)</f>
        <v/>
      </c>
      <c r="E642" s="289">
        <f>C642-D642</f>
        <v/>
      </c>
      <c r="F642" s="314">
        <f>(B642-E642)</f>
        <v/>
      </c>
      <c r="G642" s="112">
        <f>B642*(1-B$621)^($A642)</f>
        <v/>
      </c>
      <c r="H642" s="112">
        <f>IF(A642&lt;=$B$613,G642*$B$614/12,0)</f>
        <v/>
      </c>
      <c r="I642" s="315">
        <f>C642</f>
        <v/>
      </c>
      <c r="J642" s="314" t="n"/>
      <c r="K642" s="315">
        <f>C642</f>
        <v/>
      </c>
      <c r="L642" s="316">
        <f>F642/$B$612*100</f>
        <v/>
      </c>
      <c r="M642" s="317" t="n"/>
      <c r="N642" s="73" t="n">
        <v>11</v>
      </c>
      <c r="O642" s="289">
        <f>+S641</f>
        <v/>
      </c>
      <c r="P642" s="287">
        <f>(IF(N642&lt;$B$613,PMT($B$615/12,$B$613,-$B$612,$B$617,0),IF(N642=$B$613,PMT($B$615/12,$B$613,-$B$612,$B$617,0)+$B$617,0)))</f>
        <v/>
      </c>
      <c r="Q642" s="289">
        <f>IF(N642&lt;=$B$613,O642*$B$615/12,0)</f>
        <v/>
      </c>
      <c r="R642" s="289">
        <f>P642-Q642</f>
        <v/>
      </c>
      <c r="S642" s="314">
        <f>(O642-R642)</f>
        <v/>
      </c>
      <c r="T642" s="112">
        <f>O642*(1-B$621)^($N642)</f>
        <v/>
      </c>
      <c r="U642" s="112">
        <f>IF(N642&lt;=$B$613,T642*$B$615/12,0)</f>
        <v/>
      </c>
      <c r="V642" s="315">
        <f>P642</f>
        <v/>
      </c>
      <c r="W642" s="314" t="n"/>
      <c r="X642" s="315">
        <f>P642</f>
        <v/>
      </c>
      <c r="Y642" s="316">
        <f>S642/$B$612*100</f>
        <v/>
      </c>
      <c r="Z642" s="46" t="n"/>
      <c r="AA642" s="313">
        <f>+V642-I642</f>
        <v/>
      </c>
      <c r="AB642" s="46" t="n"/>
      <c r="AC642" s="46" t="n"/>
      <c r="AD642" s="46" t="n"/>
      <c r="AE642" s="46" t="n"/>
    </row>
    <row r="643">
      <c r="A643" s="73" t="n">
        <v>12</v>
      </c>
      <c r="B643" s="289">
        <f>+F642</f>
        <v/>
      </c>
      <c r="C643" s="287">
        <f>(IF(A643&lt;$B$613,PMT($B$614/12,$B$613,-$B$612,$B$617,$B$620),IF(A643=$B$613,PMT($B$614/12,$B$613,-$B$612,$B$617,$B$620)+$B$617,0)))</f>
        <v/>
      </c>
      <c r="D643" s="289">
        <f>IF(A643&lt;=$B$613,B643*$B$614/12,0)</f>
        <v/>
      </c>
      <c r="E643" s="289">
        <f>C643-D643</f>
        <v/>
      </c>
      <c r="F643" s="314">
        <f>(B643-E643)</f>
        <v/>
      </c>
      <c r="G643" s="112">
        <f>B643*(1-B$621)^($A643)</f>
        <v/>
      </c>
      <c r="H643" s="112">
        <f>IF(A643&lt;=$B$613,G643*$B$614/12,0)</f>
        <v/>
      </c>
      <c r="I643" s="315">
        <f>C643</f>
        <v/>
      </c>
      <c r="J643" s="314" t="n"/>
      <c r="K643" s="315">
        <f>C643</f>
        <v/>
      </c>
      <c r="L643" s="316">
        <f>F643/$B$612*100</f>
        <v/>
      </c>
      <c r="M643" s="317" t="n"/>
      <c r="N643" s="73" t="n">
        <v>12</v>
      </c>
      <c r="O643" s="289">
        <f>+S642</f>
        <v/>
      </c>
      <c r="P643" s="287">
        <f>(IF(N643&lt;$B$613,PMT($B$615/12,$B$613,-$B$612,$B$617,0),IF(N643=$B$613,PMT($B$615/12,$B$613,-$B$612,$B$617,0)+$B$617,0)))</f>
        <v/>
      </c>
      <c r="Q643" s="289">
        <f>IF(N643&lt;=$B$613,O643*$B$615/12,0)</f>
        <v/>
      </c>
      <c r="R643" s="289">
        <f>P643-Q643</f>
        <v/>
      </c>
      <c r="S643" s="314">
        <f>(O643-R643)</f>
        <v/>
      </c>
      <c r="T643" s="112">
        <f>O643*(1-B$621)^($N643)</f>
        <v/>
      </c>
      <c r="U643" s="112">
        <f>IF(N643&lt;=$B$613,T643*$B$615/12,0)</f>
        <v/>
      </c>
      <c r="V643" s="315">
        <f>P643</f>
        <v/>
      </c>
      <c r="W643" s="314" t="n"/>
      <c r="X643" s="315">
        <f>P643</f>
        <v/>
      </c>
      <c r="Y643" s="316">
        <f>S643/$B$612*100</f>
        <v/>
      </c>
      <c r="Z643" s="46" t="n"/>
      <c r="AA643" s="313">
        <f>+V643-I643</f>
        <v/>
      </c>
      <c r="AB643" s="46" t="n"/>
      <c r="AC643" s="46" t="n"/>
      <c r="AD643" s="46" t="n"/>
      <c r="AE643" s="46" t="n"/>
    </row>
    <row r="644">
      <c r="A644" s="73" t="n">
        <v>13</v>
      </c>
      <c r="B644" s="289">
        <f>+F643</f>
        <v/>
      </c>
      <c r="C644" s="287">
        <f>(IF(A644&lt;$B$613,PMT($B$614/12,$B$613,-$B$612,$B$617,$B$620),IF(A644=$B$613,PMT($B$614/12,$B$613,-$B$612,$B$617,$B$620)+$B$617,0)))</f>
        <v/>
      </c>
      <c r="D644" s="289">
        <f>IF(A644&lt;=$B$613,B644*$B$614/12,0)</f>
        <v/>
      </c>
      <c r="E644" s="289">
        <f>C644-D644</f>
        <v/>
      </c>
      <c r="F644" s="314">
        <f>(B644-E644)</f>
        <v/>
      </c>
      <c r="G644" s="112">
        <f>B644*(1-B$621)^($A644)</f>
        <v/>
      </c>
      <c r="H644" s="112">
        <f>IF(A644&lt;=$B$613,G644*$B$614/12,0)</f>
        <v/>
      </c>
      <c r="I644" s="315">
        <f>C644</f>
        <v/>
      </c>
      <c r="J644" s="314" t="n"/>
      <c r="K644" s="315">
        <f>C644</f>
        <v/>
      </c>
      <c r="L644" s="316">
        <f>F644/$B$612*100</f>
        <v/>
      </c>
      <c r="M644" s="317" t="n"/>
      <c r="N644" s="73" t="n">
        <v>13</v>
      </c>
      <c r="O644" s="289">
        <f>+S643</f>
        <v/>
      </c>
      <c r="P644" s="287">
        <f>(IF(N644&lt;$B$613,PMT($B$615/12,$B$613,-$B$612,$B$617,0),IF(N644=$B$613,PMT($B$615/12,$B$613,-$B$612,$B$617,0)+$B$617,0)))</f>
        <v/>
      </c>
      <c r="Q644" s="289">
        <f>IF(N644&lt;=$B$613,O644*$B$615/12,0)</f>
        <v/>
      </c>
      <c r="R644" s="289">
        <f>P644-Q644</f>
        <v/>
      </c>
      <c r="S644" s="314">
        <f>(O644-R644)</f>
        <v/>
      </c>
      <c r="T644" s="112">
        <f>O644*(1-B$621)^($N644)</f>
        <v/>
      </c>
      <c r="U644" s="112">
        <f>IF(N644&lt;=$B$613,T644*$B$615/12,0)</f>
        <v/>
      </c>
      <c r="V644" s="315">
        <f>P644</f>
        <v/>
      </c>
      <c r="W644" s="314" t="n"/>
      <c r="X644" s="315">
        <f>P644</f>
        <v/>
      </c>
      <c r="Y644" s="316">
        <f>S644/$B$612*100</f>
        <v/>
      </c>
      <c r="Z644" s="46" t="n"/>
      <c r="AA644" s="313">
        <f>+V644-I644</f>
        <v/>
      </c>
      <c r="AB644" s="46" t="n"/>
      <c r="AC644" s="46" t="n"/>
      <c r="AD644" s="46" t="n"/>
      <c r="AE644" s="46" t="n"/>
    </row>
    <row r="645">
      <c r="A645" s="73" t="n">
        <v>14</v>
      </c>
      <c r="B645" s="289">
        <f>+F644</f>
        <v/>
      </c>
      <c r="C645" s="287">
        <f>(IF(A645&lt;$B$613,PMT($B$614/12,$B$613,-$B$612,$B$617,$B$620),IF(A645=$B$613,PMT($B$614/12,$B$613,-$B$612,$B$617,$B$620)+$B$617,0)))</f>
        <v/>
      </c>
      <c r="D645" s="289">
        <f>IF(A645&lt;=$B$613,B645*$B$614/12,0)</f>
        <v/>
      </c>
      <c r="E645" s="289">
        <f>C645-D645</f>
        <v/>
      </c>
      <c r="F645" s="314">
        <f>(B645-E645)</f>
        <v/>
      </c>
      <c r="G645" s="112">
        <f>B645*(1-B$621)^($A645)</f>
        <v/>
      </c>
      <c r="H645" s="112">
        <f>IF(A645&lt;=$B$613,G645*$B$614/12,0)</f>
        <v/>
      </c>
      <c r="I645" s="315">
        <f>C645</f>
        <v/>
      </c>
      <c r="J645" s="314" t="n"/>
      <c r="K645" s="315">
        <f>C645</f>
        <v/>
      </c>
      <c r="L645" s="316">
        <f>F645/$B$612*100</f>
        <v/>
      </c>
      <c r="M645" s="317" t="n"/>
      <c r="N645" s="73" t="n">
        <v>14</v>
      </c>
      <c r="O645" s="289">
        <f>+S644</f>
        <v/>
      </c>
      <c r="P645" s="287">
        <f>(IF(N645&lt;$B$613,PMT($B$615/12,$B$613,-$B$612,$B$617,0),IF(N645=$B$613,PMT($B$615/12,$B$613,-$B$612,$B$617,0)+$B$617,0)))</f>
        <v/>
      </c>
      <c r="Q645" s="289">
        <f>IF(N645&lt;=$B$613,O645*$B$615/12,0)</f>
        <v/>
      </c>
      <c r="R645" s="289">
        <f>P645-Q645</f>
        <v/>
      </c>
      <c r="S645" s="314">
        <f>(O645-R645)</f>
        <v/>
      </c>
      <c r="T645" s="112">
        <f>O645*(1-B$621)^($N645)</f>
        <v/>
      </c>
      <c r="U645" s="112">
        <f>IF(N645&lt;=$B$613,T645*$B$615/12,0)</f>
        <v/>
      </c>
      <c r="V645" s="315">
        <f>P645</f>
        <v/>
      </c>
      <c r="W645" s="314" t="n"/>
      <c r="X645" s="315">
        <f>P645</f>
        <v/>
      </c>
      <c r="Y645" s="316">
        <f>S645/$B$612*100</f>
        <v/>
      </c>
      <c r="Z645" s="46" t="n"/>
      <c r="AA645" s="313">
        <f>+V645-I645</f>
        <v/>
      </c>
      <c r="AB645" s="46" t="n"/>
      <c r="AC645" s="46" t="n"/>
      <c r="AD645" s="46" t="n"/>
      <c r="AE645" s="46" t="n"/>
    </row>
    <row r="646">
      <c r="A646" s="73" t="n">
        <v>15</v>
      </c>
      <c r="B646" s="289">
        <f>+F645</f>
        <v/>
      </c>
      <c r="C646" s="287">
        <f>(IF(A646&lt;$B$613,PMT($B$614/12,$B$613,-$B$612,$B$617,$B$620),IF(A646=$B$613,PMT($B$614/12,$B$613,-$B$612,$B$617,$B$620)+$B$617,0)))</f>
        <v/>
      </c>
      <c r="D646" s="289">
        <f>IF(A646&lt;=$B$613,B646*$B$614/12,0)</f>
        <v/>
      </c>
      <c r="E646" s="289">
        <f>C646-D646</f>
        <v/>
      </c>
      <c r="F646" s="314">
        <f>(B646-E646)</f>
        <v/>
      </c>
      <c r="G646" s="112">
        <f>B646*(1-B$621)^($A646)</f>
        <v/>
      </c>
      <c r="H646" s="112">
        <f>IF(A646&lt;=$B$613,G646*$B$614/12,0)</f>
        <v/>
      </c>
      <c r="I646" s="315">
        <f>C646</f>
        <v/>
      </c>
      <c r="J646" s="314" t="n"/>
      <c r="K646" s="315">
        <f>C646</f>
        <v/>
      </c>
      <c r="L646" s="316">
        <f>F646/$B$612*100</f>
        <v/>
      </c>
      <c r="M646" s="317" t="n"/>
      <c r="N646" s="73" t="n">
        <v>15</v>
      </c>
      <c r="O646" s="289">
        <f>+S645</f>
        <v/>
      </c>
      <c r="P646" s="287">
        <f>(IF(N646&lt;$B$613,PMT($B$615/12,$B$613,-$B$612,$B$617,0),IF(N646=$B$613,PMT($B$615/12,$B$613,-$B$612,$B$617,0)+$B$617,0)))</f>
        <v/>
      </c>
      <c r="Q646" s="289">
        <f>IF(N646&lt;=$B$613,O646*$B$615/12,0)</f>
        <v/>
      </c>
      <c r="R646" s="289">
        <f>P646-Q646</f>
        <v/>
      </c>
      <c r="S646" s="314">
        <f>(O646-R646)</f>
        <v/>
      </c>
      <c r="T646" s="112">
        <f>O646*(1-B$621)^($N646)</f>
        <v/>
      </c>
      <c r="U646" s="112">
        <f>IF(N646&lt;=$B$613,T646*$B$615/12,0)</f>
        <v/>
      </c>
      <c r="V646" s="315">
        <f>P646</f>
        <v/>
      </c>
      <c r="W646" s="314" t="n"/>
      <c r="X646" s="315">
        <f>P646</f>
        <v/>
      </c>
      <c r="Y646" s="316">
        <f>S646/$B$612*100</f>
        <v/>
      </c>
      <c r="Z646" s="46" t="n"/>
      <c r="AA646" s="313">
        <f>+V646-I646</f>
        <v/>
      </c>
      <c r="AB646" s="46" t="n"/>
      <c r="AC646" s="46" t="n"/>
      <c r="AD646" s="46" t="n"/>
      <c r="AE646" s="46" t="n"/>
    </row>
    <row r="647">
      <c r="A647" s="73" t="n">
        <v>16</v>
      </c>
      <c r="B647" s="289">
        <f>+F646</f>
        <v/>
      </c>
      <c r="C647" s="287">
        <f>(IF(A647&lt;$B$613,PMT($B$614/12,$B$613,-$B$612,$B$617,$B$620),IF(A647=$B$613,PMT($B$614/12,$B$613,-$B$612,$B$617,$B$620)+$B$617,0)))</f>
        <v/>
      </c>
      <c r="D647" s="289">
        <f>IF(A647&lt;=$B$613,B647*$B$614/12,0)</f>
        <v/>
      </c>
      <c r="E647" s="289">
        <f>C647-D647</f>
        <v/>
      </c>
      <c r="F647" s="314">
        <f>(B647-E647)</f>
        <v/>
      </c>
      <c r="G647" s="112">
        <f>B647*(1-B$621)^($A647)</f>
        <v/>
      </c>
      <c r="H647" s="112">
        <f>IF(A647&lt;=$B$613,G647*$B$614/12,0)</f>
        <v/>
      </c>
      <c r="I647" s="315">
        <f>C647</f>
        <v/>
      </c>
      <c r="J647" s="314" t="n"/>
      <c r="K647" s="315">
        <f>C647</f>
        <v/>
      </c>
      <c r="L647" s="316">
        <f>F647/$B$612*100</f>
        <v/>
      </c>
      <c r="M647" s="317" t="n"/>
      <c r="N647" s="73" t="n">
        <v>16</v>
      </c>
      <c r="O647" s="289">
        <f>+S646</f>
        <v/>
      </c>
      <c r="P647" s="287">
        <f>(IF(N647&lt;$B$613,PMT($B$615/12,$B$613,-$B$612,$B$617,0),IF(N647=$B$613,PMT($B$615/12,$B$613,-$B$612,$B$617,0)+$B$617,0)))</f>
        <v/>
      </c>
      <c r="Q647" s="289">
        <f>IF(N647&lt;=$B$613,O647*$B$615/12,0)</f>
        <v/>
      </c>
      <c r="R647" s="289">
        <f>P647-Q647</f>
        <v/>
      </c>
      <c r="S647" s="314">
        <f>(O647-R647)</f>
        <v/>
      </c>
      <c r="T647" s="112">
        <f>O647*(1-B$621)^($N647)</f>
        <v/>
      </c>
      <c r="U647" s="112">
        <f>IF(N647&lt;=$B$613,T647*$B$615/12,0)</f>
        <v/>
      </c>
      <c r="V647" s="315">
        <f>P647</f>
        <v/>
      </c>
      <c r="W647" s="314" t="n"/>
      <c r="X647" s="315">
        <f>P647</f>
        <v/>
      </c>
      <c r="Y647" s="316">
        <f>S647/$B$612*100</f>
        <v/>
      </c>
      <c r="Z647" s="46" t="n"/>
      <c r="AA647" s="313">
        <f>+V647-I647</f>
        <v/>
      </c>
      <c r="AB647" s="46" t="n"/>
      <c r="AC647" s="46" t="n"/>
      <c r="AD647" s="46" t="n"/>
      <c r="AE647" s="46" t="n"/>
    </row>
    <row r="648">
      <c r="A648" s="73" t="n">
        <v>17</v>
      </c>
      <c r="B648" s="289">
        <f>+F647</f>
        <v/>
      </c>
      <c r="C648" s="287">
        <f>(IF(A648&lt;$B$613,PMT($B$614/12,$B$613,-$B$612,$B$617,$B$620),IF(A648=$B$613,PMT($B$614/12,$B$613,-$B$612,$B$617,$B$620)+$B$617,0)))</f>
        <v/>
      </c>
      <c r="D648" s="289">
        <f>IF(A648&lt;=$B$613,B648*$B$614/12,0)</f>
        <v/>
      </c>
      <c r="E648" s="289">
        <f>C648-D648</f>
        <v/>
      </c>
      <c r="F648" s="314">
        <f>(B648-E648)</f>
        <v/>
      </c>
      <c r="G648" s="112">
        <f>B648*(1-B$621)^($A648)</f>
        <v/>
      </c>
      <c r="H648" s="112">
        <f>IF(A648&lt;=$B$613,G648*$B$614/12,0)</f>
        <v/>
      </c>
      <c r="I648" s="315">
        <f>C648</f>
        <v/>
      </c>
      <c r="J648" s="314" t="n"/>
      <c r="K648" s="315">
        <f>C648</f>
        <v/>
      </c>
      <c r="L648" s="316">
        <f>F648/$B$612*100</f>
        <v/>
      </c>
      <c r="M648" s="317" t="n"/>
      <c r="N648" s="73" t="n">
        <v>17</v>
      </c>
      <c r="O648" s="289">
        <f>+S647</f>
        <v/>
      </c>
      <c r="P648" s="287">
        <f>(IF(N648&lt;$B$613,PMT($B$615/12,$B$613,-$B$612,$B$617,0),IF(N648=$B$613,PMT($B$615/12,$B$613,-$B$612,$B$617,0)+$B$617,0)))</f>
        <v/>
      </c>
      <c r="Q648" s="289">
        <f>IF(N648&lt;=$B$613,O648*$B$615/12,0)</f>
        <v/>
      </c>
      <c r="R648" s="289">
        <f>P648-Q648</f>
        <v/>
      </c>
      <c r="S648" s="314">
        <f>(O648-R648)</f>
        <v/>
      </c>
      <c r="T648" s="112">
        <f>O648*(1-B$621)^($N648)</f>
        <v/>
      </c>
      <c r="U648" s="112">
        <f>IF(N648&lt;=$B$613,T648*$B$615/12,0)</f>
        <v/>
      </c>
      <c r="V648" s="315">
        <f>P648</f>
        <v/>
      </c>
      <c r="W648" s="314" t="n"/>
      <c r="X648" s="315">
        <f>P648</f>
        <v/>
      </c>
      <c r="Y648" s="316">
        <f>S648/$B$612*100</f>
        <v/>
      </c>
      <c r="Z648" s="46" t="n"/>
      <c r="AA648" s="313">
        <f>+V648-I648</f>
        <v/>
      </c>
      <c r="AB648" s="46" t="n"/>
      <c r="AC648" s="46" t="n"/>
      <c r="AD648" s="46" t="n"/>
      <c r="AE648" s="46" t="n"/>
    </row>
    <row r="649">
      <c r="A649" s="73" t="n">
        <v>18</v>
      </c>
      <c r="B649" s="289">
        <f>+F648</f>
        <v/>
      </c>
      <c r="C649" s="287">
        <f>(IF(A649&lt;$B$613,PMT($B$614/12,$B$613,-$B$612,$B$617,$B$620),IF(A649=$B$613,PMT($B$614/12,$B$613,-$B$612,$B$617,$B$620)+$B$617,0)))</f>
        <v/>
      </c>
      <c r="D649" s="289">
        <f>IF(A649&lt;=$B$613,B649*$B$614/12,0)</f>
        <v/>
      </c>
      <c r="E649" s="289">
        <f>C649-D649</f>
        <v/>
      </c>
      <c r="F649" s="314">
        <f>(B649-E649)</f>
        <v/>
      </c>
      <c r="G649" s="112">
        <f>B649*(1-B$621)^($A649)</f>
        <v/>
      </c>
      <c r="H649" s="112">
        <f>IF(A649&lt;=$B$613,G649*$B$614/12,0)</f>
        <v/>
      </c>
      <c r="I649" s="315">
        <f>C649</f>
        <v/>
      </c>
      <c r="J649" s="314" t="n"/>
      <c r="K649" s="315">
        <f>C649</f>
        <v/>
      </c>
      <c r="L649" s="316">
        <f>F649/$B$612*100</f>
        <v/>
      </c>
      <c r="M649" s="317" t="n"/>
      <c r="N649" s="73" t="n">
        <v>18</v>
      </c>
      <c r="O649" s="289">
        <f>+S648</f>
        <v/>
      </c>
      <c r="P649" s="287">
        <f>(IF(N649&lt;$B$613,PMT($B$615/12,$B$613,-$B$612,$B$617,0),IF(N649=$B$613,PMT($B$615/12,$B$613,-$B$612,$B$617,0)+$B$617,0)))</f>
        <v/>
      </c>
      <c r="Q649" s="289">
        <f>IF(N649&lt;=$B$613,O649*$B$615/12,0)</f>
        <v/>
      </c>
      <c r="R649" s="289">
        <f>P649-Q649</f>
        <v/>
      </c>
      <c r="S649" s="314">
        <f>(O649-R649)</f>
        <v/>
      </c>
      <c r="T649" s="112">
        <f>O649*(1-B$621)^($N649)</f>
        <v/>
      </c>
      <c r="U649" s="112">
        <f>IF(N649&lt;=$B$613,T649*$B$615/12,0)</f>
        <v/>
      </c>
      <c r="V649" s="315">
        <f>P649</f>
        <v/>
      </c>
      <c r="W649" s="314" t="n"/>
      <c r="X649" s="315">
        <f>P649</f>
        <v/>
      </c>
      <c r="Y649" s="316">
        <f>S649/$B$612*100</f>
        <v/>
      </c>
      <c r="Z649" s="46" t="n"/>
      <c r="AA649" s="313">
        <f>+V649-I649</f>
        <v/>
      </c>
      <c r="AB649" s="46" t="n"/>
      <c r="AC649" s="46" t="n"/>
      <c r="AD649" s="46" t="n"/>
      <c r="AE649" s="46" t="n"/>
    </row>
    <row r="650">
      <c r="A650" s="73" t="n">
        <v>19</v>
      </c>
      <c r="B650" s="289">
        <f>+F649</f>
        <v/>
      </c>
      <c r="C650" s="287">
        <f>(IF(A650&lt;$B$613,PMT($B$614/12,$B$613,-$B$612,$B$617,$B$620),IF(A650=$B$613,PMT($B$614/12,$B$613,-$B$612,$B$617,$B$620)+$B$617,0)))</f>
        <v/>
      </c>
      <c r="D650" s="289">
        <f>IF(A650&lt;=$B$613,B650*$B$614/12,0)</f>
        <v/>
      </c>
      <c r="E650" s="289">
        <f>C650-D650</f>
        <v/>
      </c>
      <c r="F650" s="314">
        <f>(B650-E650)</f>
        <v/>
      </c>
      <c r="G650" s="112">
        <f>B650*(1-B$621)^($A650)</f>
        <v/>
      </c>
      <c r="H650" s="112">
        <f>IF(A650&lt;=$B$613,G650*$B$614/12,0)</f>
        <v/>
      </c>
      <c r="I650" s="315">
        <f>C650</f>
        <v/>
      </c>
      <c r="J650" s="314" t="n"/>
      <c r="K650" s="315">
        <f>C650</f>
        <v/>
      </c>
      <c r="L650" s="316">
        <f>F650/$B$612*100</f>
        <v/>
      </c>
      <c r="M650" s="317" t="n"/>
      <c r="N650" s="73" t="n">
        <v>19</v>
      </c>
      <c r="O650" s="289">
        <f>+S649</f>
        <v/>
      </c>
      <c r="P650" s="287">
        <f>(IF(N650&lt;$B$613,PMT($B$615/12,$B$613,-$B$612,$B$617,0),IF(N650=$B$613,PMT($B$615/12,$B$613,-$B$612,$B$617,0)+$B$617,0)))</f>
        <v/>
      </c>
      <c r="Q650" s="289">
        <f>IF(N650&lt;=$B$613,O650*$B$615/12,0)</f>
        <v/>
      </c>
      <c r="R650" s="289">
        <f>P650-Q650</f>
        <v/>
      </c>
      <c r="S650" s="314">
        <f>(O650-R650)</f>
        <v/>
      </c>
      <c r="T650" s="112">
        <f>O650*(1-B$621)^($N650)</f>
        <v/>
      </c>
      <c r="U650" s="112">
        <f>IF(N650&lt;=$B$613,T650*$B$615/12,0)</f>
        <v/>
      </c>
      <c r="V650" s="315">
        <f>P650</f>
        <v/>
      </c>
      <c r="W650" s="314" t="n"/>
      <c r="X650" s="315">
        <f>P650</f>
        <v/>
      </c>
      <c r="Y650" s="316">
        <f>S650/$B$612*100</f>
        <v/>
      </c>
      <c r="Z650" s="46" t="n"/>
      <c r="AA650" s="313">
        <f>+V650-I650</f>
        <v/>
      </c>
      <c r="AB650" s="46" t="n"/>
      <c r="AC650" s="46" t="n"/>
      <c r="AD650" s="46" t="n"/>
      <c r="AE650" s="46" t="n"/>
    </row>
    <row r="651">
      <c r="A651" s="73" t="n">
        <v>20</v>
      </c>
      <c r="B651" s="289">
        <f>+F650</f>
        <v/>
      </c>
      <c r="C651" s="287">
        <f>(IF(A651&lt;$B$613,PMT($B$614/12,$B$613,-$B$612,$B$617,$B$620),IF(A651=$B$613,PMT($B$614/12,$B$613,-$B$612,$B$617,$B$620)+$B$617,0)))</f>
        <v/>
      </c>
      <c r="D651" s="289">
        <f>IF(A651&lt;=$B$613,B651*$B$614/12,0)</f>
        <v/>
      </c>
      <c r="E651" s="289">
        <f>C651-D651</f>
        <v/>
      </c>
      <c r="F651" s="314">
        <f>(B651-E651)</f>
        <v/>
      </c>
      <c r="G651" s="112">
        <f>B651*(1-B$621)^($A651)</f>
        <v/>
      </c>
      <c r="H651" s="112">
        <f>IF(A651&lt;=$B$613,G651*$B$614/12,0)</f>
        <v/>
      </c>
      <c r="I651" s="315">
        <f>C651</f>
        <v/>
      </c>
      <c r="J651" s="314" t="n"/>
      <c r="K651" s="315">
        <f>C651</f>
        <v/>
      </c>
      <c r="L651" s="316">
        <f>F651/$B$612*100</f>
        <v/>
      </c>
      <c r="M651" s="317" t="n"/>
      <c r="N651" s="73" t="n">
        <v>20</v>
      </c>
      <c r="O651" s="289">
        <f>+S650</f>
        <v/>
      </c>
      <c r="P651" s="287">
        <f>(IF(N651&lt;$B$613,PMT($B$615/12,$B$613,-$B$612,$B$617,0),IF(N651=$B$613,PMT($B$615/12,$B$613,-$B$612,$B$617,0)+$B$617,0)))</f>
        <v/>
      </c>
      <c r="Q651" s="289">
        <f>IF(N651&lt;=$B$613,O651*$B$615/12,0)</f>
        <v/>
      </c>
      <c r="R651" s="289">
        <f>P651-Q651</f>
        <v/>
      </c>
      <c r="S651" s="314">
        <f>(O651-R651)</f>
        <v/>
      </c>
      <c r="T651" s="112">
        <f>O651*(1-B$621)^($N651)</f>
        <v/>
      </c>
      <c r="U651" s="112">
        <f>IF(N651&lt;=$B$613,T651*$B$615/12,0)</f>
        <v/>
      </c>
      <c r="V651" s="315">
        <f>P651</f>
        <v/>
      </c>
      <c r="W651" s="314" t="n"/>
      <c r="X651" s="315">
        <f>P651</f>
        <v/>
      </c>
      <c r="Y651" s="316">
        <f>S651/$B$612*100</f>
        <v/>
      </c>
      <c r="Z651" s="46" t="n"/>
      <c r="AA651" s="313">
        <f>+V651-I651</f>
        <v/>
      </c>
      <c r="AB651" s="46" t="n"/>
      <c r="AC651" s="46" t="n"/>
      <c r="AD651" s="46" t="n"/>
      <c r="AE651" s="46" t="n"/>
    </row>
    <row r="652">
      <c r="A652" s="73" t="n">
        <v>21</v>
      </c>
      <c r="B652" s="289">
        <f>+F651</f>
        <v/>
      </c>
      <c r="C652" s="287">
        <f>(IF(A652&lt;$B$613,PMT($B$614/12,$B$613,-$B$612,$B$617,$B$620),IF(A652=$B$613,PMT($B$614/12,$B$613,-$B$612,$B$617,$B$620)+$B$617,0)))</f>
        <v/>
      </c>
      <c r="D652" s="289">
        <f>IF(A652&lt;=$B$613,B652*$B$614/12,0)</f>
        <v/>
      </c>
      <c r="E652" s="289">
        <f>C652-D652</f>
        <v/>
      </c>
      <c r="F652" s="314">
        <f>(B652-E652)</f>
        <v/>
      </c>
      <c r="G652" s="112">
        <f>B652*(1-B$621)^($A652)</f>
        <v/>
      </c>
      <c r="H652" s="112">
        <f>IF(A652&lt;=$B$613,G652*$B$614/12,0)</f>
        <v/>
      </c>
      <c r="I652" s="315">
        <f>C652</f>
        <v/>
      </c>
      <c r="J652" s="314" t="n"/>
      <c r="K652" s="315">
        <f>C652</f>
        <v/>
      </c>
      <c r="L652" s="316">
        <f>F652/$B$612*100</f>
        <v/>
      </c>
      <c r="M652" s="317" t="n"/>
      <c r="N652" s="73" t="n">
        <v>21</v>
      </c>
      <c r="O652" s="289">
        <f>+S651</f>
        <v/>
      </c>
      <c r="P652" s="287">
        <f>(IF(N652&lt;$B$613,PMT($B$615/12,$B$613,-$B$612,$B$617,0),IF(N652=$B$613,PMT($B$615/12,$B$613,-$B$612,$B$617,0)+$B$617,0)))</f>
        <v/>
      </c>
      <c r="Q652" s="289">
        <f>IF(N652&lt;=$B$613,O652*$B$615/12,0)</f>
        <v/>
      </c>
      <c r="R652" s="289">
        <f>P652-Q652</f>
        <v/>
      </c>
      <c r="S652" s="314">
        <f>(O652-R652)</f>
        <v/>
      </c>
      <c r="T652" s="112">
        <f>O652*(1-B$621)^($N652)</f>
        <v/>
      </c>
      <c r="U652" s="112">
        <f>IF(N652&lt;=$B$613,T652*$B$615/12,0)</f>
        <v/>
      </c>
      <c r="V652" s="315">
        <f>P652</f>
        <v/>
      </c>
      <c r="W652" s="314" t="n"/>
      <c r="X652" s="315">
        <f>P652</f>
        <v/>
      </c>
      <c r="Y652" s="316">
        <f>S652/$B$612*100</f>
        <v/>
      </c>
      <c r="Z652" s="46" t="n"/>
      <c r="AA652" s="313">
        <f>+V652-I652</f>
        <v/>
      </c>
      <c r="AB652" s="46" t="n"/>
      <c r="AC652" s="46" t="n"/>
      <c r="AD652" s="46" t="n"/>
      <c r="AE652" s="46" t="n"/>
    </row>
    <row r="653">
      <c r="A653" s="73" t="n">
        <v>22</v>
      </c>
      <c r="B653" s="289">
        <f>+F652</f>
        <v/>
      </c>
      <c r="C653" s="287">
        <f>(IF(A653&lt;$B$613,PMT($B$614/12,$B$613,-$B$612,$B$617,$B$620),IF(A653=$B$613,PMT($B$614/12,$B$613,-$B$612,$B$617,$B$620)+$B$617,0)))</f>
        <v/>
      </c>
      <c r="D653" s="289">
        <f>IF(A653&lt;=$B$613,B653*$B$614/12,0)</f>
        <v/>
      </c>
      <c r="E653" s="289">
        <f>C653-D653</f>
        <v/>
      </c>
      <c r="F653" s="314">
        <f>(B653-E653)</f>
        <v/>
      </c>
      <c r="G653" s="112">
        <f>B653*(1-B$621)^($A653)</f>
        <v/>
      </c>
      <c r="H653" s="112">
        <f>IF(A653&lt;=$B$613,G653*$B$614/12,0)</f>
        <v/>
      </c>
      <c r="I653" s="315">
        <f>C653</f>
        <v/>
      </c>
      <c r="J653" s="314" t="n"/>
      <c r="K653" s="315">
        <f>C653</f>
        <v/>
      </c>
      <c r="L653" s="316">
        <f>F653/$B$612*100</f>
        <v/>
      </c>
      <c r="M653" s="317" t="n"/>
      <c r="N653" s="73" t="n">
        <v>22</v>
      </c>
      <c r="O653" s="289">
        <f>+S652</f>
        <v/>
      </c>
      <c r="P653" s="287">
        <f>(IF(N653&lt;$B$613,PMT($B$615/12,$B$613,-$B$612,$B$617,0),IF(N653=$B$613,PMT($B$615/12,$B$613,-$B$612,$B$617,0)+$B$617,0)))</f>
        <v/>
      </c>
      <c r="Q653" s="289">
        <f>IF(N653&lt;=$B$613,O653*$B$615/12,0)</f>
        <v/>
      </c>
      <c r="R653" s="289">
        <f>P653-Q653</f>
        <v/>
      </c>
      <c r="S653" s="314">
        <f>(O653-R653)</f>
        <v/>
      </c>
      <c r="T653" s="112">
        <f>O653*(1-B$621)^($N653)</f>
        <v/>
      </c>
      <c r="U653" s="112">
        <f>IF(N653&lt;=$B$613,T653*$B$615/12,0)</f>
        <v/>
      </c>
      <c r="V653" s="315">
        <f>P653</f>
        <v/>
      </c>
      <c r="W653" s="314" t="n"/>
      <c r="X653" s="315">
        <f>P653</f>
        <v/>
      </c>
      <c r="Y653" s="316">
        <f>S653/$B$612*100</f>
        <v/>
      </c>
      <c r="Z653" s="46" t="n"/>
      <c r="AA653" s="313">
        <f>+V653-I653</f>
        <v/>
      </c>
      <c r="AB653" s="46" t="n"/>
      <c r="AC653" s="46" t="n"/>
      <c r="AD653" s="46" t="n"/>
      <c r="AE653" s="46" t="n"/>
    </row>
    <row r="654">
      <c r="A654" s="73" t="n">
        <v>23</v>
      </c>
      <c r="B654" s="289">
        <f>+F653</f>
        <v/>
      </c>
      <c r="C654" s="287">
        <f>(IF(A654&lt;$B$613,PMT($B$614/12,$B$613,-$B$612,$B$617,$B$620),IF(A654=$B$613,PMT($B$614/12,$B$613,-$B$612,$B$617,$B$620)+$B$617,0)))</f>
        <v/>
      </c>
      <c r="D654" s="289">
        <f>IF(A654&lt;=$B$613,B654*$B$614/12,0)</f>
        <v/>
      </c>
      <c r="E654" s="289">
        <f>C654-D654</f>
        <v/>
      </c>
      <c r="F654" s="314">
        <f>(B654-E654)</f>
        <v/>
      </c>
      <c r="G654" s="112">
        <f>B654*(1-B$621)^($A654)</f>
        <v/>
      </c>
      <c r="H654" s="112">
        <f>IF(A654&lt;=$B$613,G654*$B$614/12,0)</f>
        <v/>
      </c>
      <c r="I654" s="315">
        <f>C654</f>
        <v/>
      </c>
      <c r="J654" s="314" t="n"/>
      <c r="K654" s="315">
        <f>C654</f>
        <v/>
      </c>
      <c r="L654" s="316">
        <f>F654/$B$612*100</f>
        <v/>
      </c>
      <c r="M654" s="317" t="n"/>
      <c r="N654" s="73" t="n">
        <v>23</v>
      </c>
      <c r="O654" s="289">
        <f>+S653</f>
        <v/>
      </c>
      <c r="P654" s="287">
        <f>(IF(N654&lt;$B$613,PMT($B$615/12,$B$613,-$B$612,$B$617,0),IF(N654=$B$613,PMT($B$615/12,$B$613,-$B$612,$B$617,0)+$B$617,0)))</f>
        <v/>
      </c>
      <c r="Q654" s="289">
        <f>IF(N654&lt;=$B$613,O654*$B$615/12,0)</f>
        <v/>
      </c>
      <c r="R654" s="289">
        <f>P654-Q654</f>
        <v/>
      </c>
      <c r="S654" s="314">
        <f>(O654-R654)</f>
        <v/>
      </c>
      <c r="T654" s="112">
        <f>O654*(1-B$621)^($N654)</f>
        <v/>
      </c>
      <c r="U654" s="112">
        <f>IF(N654&lt;=$B$613,T654*$B$615/12,0)</f>
        <v/>
      </c>
      <c r="V654" s="315">
        <f>P654</f>
        <v/>
      </c>
      <c r="W654" s="314" t="n"/>
      <c r="X654" s="315">
        <f>P654</f>
        <v/>
      </c>
      <c r="Y654" s="316">
        <f>S654/$B$612*100</f>
        <v/>
      </c>
      <c r="Z654" s="46" t="n"/>
      <c r="AA654" s="313">
        <f>+V654-I654</f>
        <v/>
      </c>
      <c r="AB654" s="46" t="n"/>
      <c r="AC654" s="46" t="n"/>
      <c r="AD654" s="46" t="n"/>
      <c r="AE654" s="46" t="n"/>
    </row>
    <row r="655">
      <c r="A655" s="73" t="n">
        <v>24</v>
      </c>
      <c r="B655" s="289">
        <f>+F654</f>
        <v/>
      </c>
      <c r="C655" s="287">
        <f>(IF(A655&lt;$B$613,PMT($B$614/12,$B$613,-$B$612,$B$617,$B$620),IF(A655=$B$613,PMT($B$614/12,$B$613,-$B$612,$B$617,$B$620)+$B$617,0)))</f>
        <v/>
      </c>
      <c r="D655" s="289">
        <f>IF(A655&lt;=$B$613,B655*$B$614/12,0)</f>
        <v/>
      </c>
      <c r="E655" s="289">
        <f>C655-D655</f>
        <v/>
      </c>
      <c r="F655" s="314">
        <f>(B655-E655)</f>
        <v/>
      </c>
      <c r="G655" s="112">
        <f>B655*(1-B$621)^($A655)</f>
        <v/>
      </c>
      <c r="H655" s="112">
        <f>IF(A655&lt;=$B$613,G655*$B$614/12,0)</f>
        <v/>
      </c>
      <c r="I655" s="315">
        <f>C655</f>
        <v/>
      </c>
      <c r="J655" s="314" t="n"/>
      <c r="K655" s="315">
        <f>C655</f>
        <v/>
      </c>
      <c r="L655" s="316">
        <f>F655/$B$612*100</f>
        <v/>
      </c>
      <c r="M655" s="317" t="n"/>
      <c r="N655" s="73" t="n">
        <v>24</v>
      </c>
      <c r="O655" s="289">
        <f>+S654</f>
        <v/>
      </c>
      <c r="P655" s="287">
        <f>(IF(N655&lt;$B$613,PMT($B$615/12,$B$613,-$B$612,$B$617,0),IF(N655=$B$613,PMT($B$615/12,$B$613,-$B$612,$B$617,0)+$B$617,0)))</f>
        <v/>
      </c>
      <c r="Q655" s="289">
        <f>IF(N655&lt;=$B$613,O655*$B$615/12,0)</f>
        <v/>
      </c>
      <c r="R655" s="289">
        <f>P655-Q655</f>
        <v/>
      </c>
      <c r="S655" s="314">
        <f>(O655-R655)</f>
        <v/>
      </c>
      <c r="T655" s="112">
        <f>O655*(1-B$621)^($N655)</f>
        <v/>
      </c>
      <c r="U655" s="112">
        <f>IF(N655&lt;=$B$613,T655*$B$615/12,0)</f>
        <v/>
      </c>
      <c r="V655" s="315">
        <f>P655</f>
        <v/>
      </c>
      <c r="W655" s="314" t="n"/>
      <c r="X655" s="315">
        <f>P655</f>
        <v/>
      </c>
      <c r="Y655" s="316">
        <f>S655/$B$612*100</f>
        <v/>
      </c>
      <c r="Z655" s="46" t="n"/>
      <c r="AA655" s="313">
        <f>+V655-I655</f>
        <v/>
      </c>
      <c r="AB655" s="46" t="n"/>
      <c r="AC655" s="46" t="n"/>
      <c r="AD655" s="46" t="n"/>
      <c r="AE655" s="46" t="n"/>
    </row>
    <row r="656">
      <c r="A656" s="73" t="n">
        <v>25</v>
      </c>
      <c r="B656" s="289">
        <f>+F655</f>
        <v/>
      </c>
      <c r="C656" s="287">
        <f>(IF(A656&lt;$B$613,PMT($B$614/12,$B$613,-$B$612,$B$617,$B$620),IF(A656=$B$613,PMT($B$614/12,$B$613,-$B$612,$B$617,$B$620)+$B$617,0)))</f>
        <v/>
      </c>
      <c r="D656" s="289">
        <f>IF(A656&lt;=$B$613,B656*$B$614/12,0)</f>
        <v/>
      </c>
      <c r="E656" s="289">
        <f>C656-D656</f>
        <v/>
      </c>
      <c r="F656" s="314">
        <f>(B656-E656)</f>
        <v/>
      </c>
      <c r="G656" s="112">
        <f>B656*(1-B$621)^($A656)</f>
        <v/>
      </c>
      <c r="H656" s="112">
        <f>IF(A656&lt;=$B$613,G656*$B$614/12,0)</f>
        <v/>
      </c>
      <c r="I656" s="315">
        <f>C656</f>
        <v/>
      </c>
      <c r="J656" s="314" t="n"/>
      <c r="K656" s="315">
        <f>C656</f>
        <v/>
      </c>
      <c r="L656" s="316">
        <f>F656/$B$612*100</f>
        <v/>
      </c>
      <c r="M656" s="317" t="n"/>
      <c r="N656" s="73" t="n">
        <v>25</v>
      </c>
      <c r="O656" s="289">
        <f>+S655</f>
        <v/>
      </c>
      <c r="P656" s="287">
        <f>(IF(N656&lt;$B$613,PMT($B$615/12,$B$613,-$B$612,$B$617,0),IF(N656=$B$613,PMT($B$615/12,$B$613,-$B$612,$B$617,0)+$B$617,0)))</f>
        <v/>
      </c>
      <c r="Q656" s="289">
        <f>IF(N656&lt;=$B$613,O656*$B$615/12,0)</f>
        <v/>
      </c>
      <c r="R656" s="289">
        <f>P656-Q656</f>
        <v/>
      </c>
      <c r="S656" s="314">
        <f>(O656-R656)</f>
        <v/>
      </c>
      <c r="T656" s="112">
        <f>O656*(1-B$621)^($N656)</f>
        <v/>
      </c>
      <c r="U656" s="112">
        <f>IF(N656&lt;=$B$613,T656*$B$615/12,0)</f>
        <v/>
      </c>
      <c r="V656" s="315">
        <f>P656</f>
        <v/>
      </c>
      <c r="W656" s="314" t="n"/>
      <c r="X656" s="315">
        <f>P656</f>
        <v/>
      </c>
      <c r="Y656" s="316">
        <f>S656/$B$612*100</f>
        <v/>
      </c>
      <c r="Z656" s="46" t="n"/>
      <c r="AA656" s="313">
        <f>+V656-I656</f>
        <v/>
      </c>
      <c r="AB656" s="46" t="n"/>
      <c r="AC656" s="46" t="n"/>
      <c r="AD656" s="46" t="n"/>
      <c r="AE656" s="46" t="n"/>
    </row>
    <row r="657">
      <c r="A657" s="73" t="n">
        <v>26</v>
      </c>
      <c r="B657" s="289">
        <f>+F656</f>
        <v/>
      </c>
      <c r="C657" s="287">
        <f>(IF(A657&lt;$B$613,PMT($B$614/12,$B$613,-$B$612,$B$617,$B$620),IF(A657=$B$613,PMT($B$614/12,$B$613,-$B$612,$B$617,$B$620)+$B$617,0)))</f>
        <v/>
      </c>
      <c r="D657" s="289">
        <f>IF(A657&lt;=$B$613,B657*$B$614/12,0)</f>
        <v/>
      </c>
      <c r="E657" s="289">
        <f>C657-D657</f>
        <v/>
      </c>
      <c r="F657" s="314">
        <f>(B657-E657)</f>
        <v/>
      </c>
      <c r="G657" s="112">
        <f>B657*(1-B$621)^($A657)</f>
        <v/>
      </c>
      <c r="H657" s="112">
        <f>IF(A657&lt;=$B$613,G657*$B$614/12,0)</f>
        <v/>
      </c>
      <c r="I657" s="315">
        <f>C657</f>
        <v/>
      </c>
      <c r="J657" s="314" t="n"/>
      <c r="K657" s="315">
        <f>C657</f>
        <v/>
      </c>
      <c r="L657" s="316">
        <f>F657/$B$612*100</f>
        <v/>
      </c>
      <c r="M657" s="317" t="n"/>
      <c r="N657" s="73" t="n">
        <v>26</v>
      </c>
      <c r="O657" s="289">
        <f>+S656</f>
        <v/>
      </c>
      <c r="P657" s="287">
        <f>(IF(N657&lt;$B$613,PMT($B$615/12,$B$613,-$B$612,$B$617,0),IF(N657=$B$613,PMT($B$615/12,$B$613,-$B$612,$B$617,0)+$B$617,0)))</f>
        <v/>
      </c>
      <c r="Q657" s="289">
        <f>IF(N657&lt;=$B$613,O657*$B$615/12,0)</f>
        <v/>
      </c>
      <c r="R657" s="289">
        <f>P657-Q657</f>
        <v/>
      </c>
      <c r="S657" s="314">
        <f>(O657-R657)</f>
        <v/>
      </c>
      <c r="T657" s="112">
        <f>O657*(1-B$621)^($N657)</f>
        <v/>
      </c>
      <c r="U657" s="112">
        <f>IF(N657&lt;=$B$613,T657*$B$615/12,0)</f>
        <v/>
      </c>
      <c r="V657" s="315">
        <f>P657</f>
        <v/>
      </c>
      <c r="W657" s="314" t="n"/>
      <c r="X657" s="315">
        <f>P657</f>
        <v/>
      </c>
      <c r="Y657" s="316">
        <f>S657/$B$612*100</f>
        <v/>
      </c>
      <c r="Z657" s="46" t="n"/>
      <c r="AA657" s="313">
        <f>+V657-I657</f>
        <v/>
      </c>
      <c r="AB657" s="46" t="n"/>
      <c r="AC657" s="46" t="n"/>
      <c r="AD657" s="46" t="n"/>
      <c r="AE657" s="46" t="n"/>
    </row>
    <row r="658">
      <c r="A658" s="73" t="n">
        <v>27</v>
      </c>
      <c r="B658" s="289">
        <f>+F657</f>
        <v/>
      </c>
      <c r="C658" s="287">
        <f>(IF(A658&lt;$B$613,PMT($B$614/12,$B$613,-$B$612,$B$617,$B$620),IF(A658=$B$613,PMT($B$614/12,$B$613,-$B$612,$B$617,$B$620)+$B$617,0)))</f>
        <v/>
      </c>
      <c r="D658" s="289">
        <f>IF(A658&lt;=$B$613,B658*$B$614/12,0)</f>
        <v/>
      </c>
      <c r="E658" s="289">
        <f>C658-D658</f>
        <v/>
      </c>
      <c r="F658" s="314">
        <f>(B658-E658)</f>
        <v/>
      </c>
      <c r="G658" s="112">
        <f>B658*(1-B$621)^($A658)</f>
        <v/>
      </c>
      <c r="H658" s="112">
        <f>IF(A658&lt;=$B$613,G658*$B$614/12,0)</f>
        <v/>
      </c>
      <c r="I658" s="315">
        <f>C658</f>
        <v/>
      </c>
      <c r="J658" s="314" t="n"/>
      <c r="K658" s="315">
        <f>C658</f>
        <v/>
      </c>
      <c r="L658" s="316">
        <f>F658/$B$612*100</f>
        <v/>
      </c>
      <c r="M658" s="317" t="n"/>
      <c r="N658" s="73" t="n">
        <v>27</v>
      </c>
      <c r="O658" s="289">
        <f>+S657</f>
        <v/>
      </c>
      <c r="P658" s="287">
        <f>(IF(N658&lt;$B$613,PMT($B$615/12,$B$613,-$B$612,$B$617,0),IF(N658=$B$613,PMT($B$615/12,$B$613,-$B$612,$B$617,0)+$B$617,0)))</f>
        <v/>
      </c>
      <c r="Q658" s="289">
        <f>IF(N658&lt;=$B$613,O658*$B$615/12,0)</f>
        <v/>
      </c>
      <c r="R658" s="289">
        <f>P658-Q658</f>
        <v/>
      </c>
      <c r="S658" s="314">
        <f>(O658-R658)</f>
        <v/>
      </c>
      <c r="T658" s="112">
        <f>O658*(1-B$621)^($N658)</f>
        <v/>
      </c>
      <c r="U658" s="112">
        <f>IF(N658&lt;=$B$613,T658*$B$615/12,0)</f>
        <v/>
      </c>
      <c r="V658" s="315">
        <f>P658</f>
        <v/>
      </c>
      <c r="W658" s="314" t="n"/>
      <c r="X658" s="315">
        <f>P658</f>
        <v/>
      </c>
      <c r="Y658" s="316">
        <f>S658/$B$612*100</f>
        <v/>
      </c>
      <c r="Z658" s="46" t="n"/>
      <c r="AA658" s="313">
        <f>+V658-I658</f>
        <v/>
      </c>
      <c r="AB658" s="46" t="n"/>
      <c r="AC658" s="46" t="n"/>
      <c r="AD658" s="46" t="n"/>
      <c r="AE658" s="46" t="n"/>
    </row>
    <row r="659">
      <c r="A659" s="73" t="n">
        <v>28</v>
      </c>
      <c r="B659" s="289">
        <f>+F658</f>
        <v/>
      </c>
      <c r="C659" s="287">
        <f>(IF(A659&lt;$B$613,PMT($B$614/12,$B$613,-$B$612,$B$617,$B$620),IF(A659=$B$613,PMT($B$614/12,$B$613,-$B$612,$B$617,$B$620)+$B$617,0)))</f>
        <v/>
      </c>
      <c r="D659" s="289">
        <f>IF(A659&lt;=$B$613,B659*$B$614/12,0)</f>
        <v/>
      </c>
      <c r="E659" s="289">
        <f>C659-D659</f>
        <v/>
      </c>
      <c r="F659" s="314">
        <f>(B659-E659)</f>
        <v/>
      </c>
      <c r="G659" s="112">
        <f>B659*(1-B$621)^($A659)</f>
        <v/>
      </c>
      <c r="H659" s="112">
        <f>IF(A659&lt;=$B$613,G659*$B$614/12,0)</f>
        <v/>
      </c>
      <c r="I659" s="315">
        <f>C659</f>
        <v/>
      </c>
      <c r="J659" s="314" t="n"/>
      <c r="K659" s="315">
        <f>C659</f>
        <v/>
      </c>
      <c r="L659" s="316">
        <f>F659/$B$612*100</f>
        <v/>
      </c>
      <c r="M659" s="317" t="n"/>
      <c r="N659" s="73" t="n">
        <v>28</v>
      </c>
      <c r="O659" s="289">
        <f>+S658</f>
        <v/>
      </c>
      <c r="P659" s="287">
        <f>(IF(N659&lt;$B$613,PMT($B$615/12,$B$613,-$B$612,$B$617,0),IF(N659=$B$613,PMT($B$615/12,$B$613,-$B$612,$B$617,0)+$B$617,0)))</f>
        <v/>
      </c>
      <c r="Q659" s="289">
        <f>IF(N659&lt;=$B$613,O659*$B$615/12,0)</f>
        <v/>
      </c>
      <c r="R659" s="289">
        <f>P659-Q659</f>
        <v/>
      </c>
      <c r="S659" s="314">
        <f>(O659-R659)</f>
        <v/>
      </c>
      <c r="T659" s="112">
        <f>O659*(1-B$621)^($N659)</f>
        <v/>
      </c>
      <c r="U659" s="112">
        <f>IF(N659&lt;=$B$613,T659*$B$615/12,0)</f>
        <v/>
      </c>
      <c r="V659" s="315">
        <f>P659</f>
        <v/>
      </c>
      <c r="W659" s="314" t="n"/>
      <c r="X659" s="315">
        <f>P659</f>
        <v/>
      </c>
      <c r="Y659" s="316">
        <f>S659/$B$612*100</f>
        <v/>
      </c>
      <c r="Z659" s="46" t="n"/>
      <c r="AA659" s="313">
        <f>+V659-I659</f>
        <v/>
      </c>
      <c r="AB659" s="46" t="n"/>
      <c r="AC659" s="46" t="n"/>
      <c r="AD659" s="46" t="n"/>
      <c r="AE659" s="46" t="n"/>
    </row>
    <row r="660">
      <c r="A660" s="73" t="n">
        <v>29</v>
      </c>
      <c r="B660" s="289">
        <f>+F659</f>
        <v/>
      </c>
      <c r="C660" s="287">
        <f>(IF(A660&lt;$B$613,PMT($B$614/12,$B$613,-$B$612,$B$617,$B$620),IF(A660=$B$613,PMT($B$614/12,$B$613,-$B$612,$B$617,$B$620)+$B$617,0)))</f>
        <v/>
      </c>
      <c r="D660" s="289">
        <f>IF(A660&lt;=$B$613,B660*$B$614/12,0)</f>
        <v/>
      </c>
      <c r="E660" s="289">
        <f>C660-D660</f>
        <v/>
      </c>
      <c r="F660" s="314">
        <f>(B660-E660)</f>
        <v/>
      </c>
      <c r="G660" s="112">
        <f>B660*(1-B$621)^($A660)</f>
        <v/>
      </c>
      <c r="H660" s="112">
        <f>IF(A660&lt;=$B$613,G660*$B$614/12,0)</f>
        <v/>
      </c>
      <c r="I660" s="315">
        <f>C660</f>
        <v/>
      </c>
      <c r="J660" s="314" t="n"/>
      <c r="K660" s="315">
        <f>C660</f>
        <v/>
      </c>
      <c r="L660" s="316">
        <f>F660/$B$612*100</f>
        <v/>
      </c>
      <c r="M660" s="317" t="n"/>
      <c r="N660" s="73" t="n">
        <v>29</v>
      </c>
      <c r="O660" s="289">
        <f>+S659</f>
        <v/>
      </c>
      <c r="P660" s="287">
        <f>(IF(N660&lt;$B$613,PMT($B$615/12,$B$613,-$B$612,$B$617,0),IF(N660=$B$613,PMT($B$615/12,$B$613,-$B$612,$B$617,0)+$B$617,0)))</f>
        <v/>
      </c>
      <c r="Q660" s="289">
        <f>IF(N660&lt;=$B$613,O660*$B$615/12,0)</f>
        <v/>
      </c>
      <c r="R660" s="289">
        <f>P660-Q660</f>
        <v/>
      </c>
      <c r="S660" s="314">
        <f>(O660-R660)</f>
        <v/>
      </c>
      <c r="T660" s="112">
        <f>O660*(1-B$621)^($N660)</f>
        <v/>
      </c>
      <c r="U660" s="112">
        <f>IF(N660&lt;=$B$613,T660*$B$615/12,0)</f>
        <v/>
      </c>
      <c r="V660" s="315">
        <f>P660</f>
        <v/>
      </c>
      <c r="W660" s="314" t="n"/>
      <c r="X660" s="315">
        <f>P660</f>
        <v/>
      </c>
      <c r="Y660" s="316">
        <f>S660/$B$612*100</f>
        <v/>
      </c>
      <c r="Z660" s="46" t="n"/>
      <c r="AA660" s="313">
        <f>+V660-I660</f>
        <v/>
      </c>
      <c r="AB660" s="46" t="n"/>
      <c r="AC660" s="46" t="n"/>
      <c r="AD660" s="46" t="n"/>
      <c r="AE660" s="46" t="n"/>
    </row>
    <row r="661">
      <c r="A661" s="73" t="n">
        <v>30</v>
      </c>
      <c r="B661" s="289">
        <f>+F660</f>
        <v/>
      </c>
      <c r="C661" s="287">
        <f>(IF(A661&lt;$B$613,PMT($B$614/12,$B$613,-$B$612,$B$617,$B$620),IF(A661=$B$613,PMT($B$614/12,$B$613,-$B$612,$B$617,$B$620)+$B$617,0)))</f>
        <v/>
      </c>
      <c r="D661" s="289">
        <f>IF(A661&lt;=$B$613,B661*$B$614/12,0)</f>
        <v/>
      </c>
      <c r="E661" s="289">
        <f>C661-D661</f>
        <v/>
      </c>
      <c r="F661" s="314">
        <f>(B661-E661)</f>
        <v/>
      </c>
      <c r="G661" s="112">
        <f>B661*(1-B$621)^($A661)</f>
        <v/>
      </c>
      <c r="H661" s="112">
        <f>IF(A661&lt;=$B$613,G661*$B$614/12,0)</f>
        <v/>
      </c>
      <c r="I661" s="315">
        <f>C661</f>
        <v/>
      </c>
      <c r="J661" s="314" t="n"/>
      <c r="K661" s="315">
        <f>C661</f>
        <v/>
      </c>
      <c r="L661" s="316">
        <f>F661/$B$612*100</f>
        <v/>
      </c>
      <c r="M661" s="317" t="n"/>
      <c r="N661" s="73" t="n">
        <v>30</v>
      </c>
      <c r="O661" s="289">
        <f>+S660</f>
        <v/>
      </c>
      <c r="P661" s="287">
        <f>(IF(N661&lt;$B$613,PMT($B$615/12,$B$613,-$B$612,$B$617,0),IF(N661=$B$613,PMT($B$615/12,$B$613,-$B$612,$B$617,0)+$B$617,0)))</f>
        <v/>
      </c>
      <c r="Q661" s="289">
        <f>IF(N661&lt;=$B$613,O661*$B$615/12,0)</f>
        <v/>
      </c>
      <c r="R661" s="289">
        <f>P661-Q661</f>
        <v/>
      </c>
      <c r="S661" s="314">
        <f>(O661-R661)</f>
        <v/>
      </c>
      <c r="T661" s="112">
        <f>O661*(1-B$621)^($N661)</f>
        <v/>
      </c>
      <c r="U661" s="112">
        <f>IF(N661&lt;=$B$613,T661*$B$615/12,0)</f>
        <v/>
      </c>
      <c r="V661" s="315">
        <f>P661</f>
        <v/>
      </c>
      <c r="W661" s="314" t="n"/>
      <c r="X661" s="315">
        <f>P661</f>
        <v/>
      </c>
      <c r="Y661" s="316">
        <f>S661/$B$612*100</f>
        <v/>
      </c>
      <c r="Z661" s="46" t="n"/>
      <c r="AA661" s="313">
        <f>+V661-I661</f>
        <v/>
      </c>
      <c r="AB661" s="46" t="n"/>
      <c r="AC661" s="46" t="n"/>
      <c r="AD661" s="46" t="n"/>
      <c r="AE661" s="46" t="n"/>
    </row>
    <row r="662">
      <c r="A662" s="73" t="n">
        <v>31</v>
      </c>
      <c r="B662" s="289">
        <f>+F661</f>
        <v/>
      </c>
      <c r="C662" s="287">
        <f>(IF(A662&lt;$B$613,PMT($B$614/12,$B$613,-$B$612,$B$617,$B$620),IF(A662=$B$613,PMT($B$614/12,$B$613,-$B$612,$B$617,$B$620)+$B$617,0)))</f>
        <v/>
      </c>
      <c r="D662" s="289">
        <f>IF(A662&lt;=$B$613,B662*$B$614/12,0)</f>
        <v/>
      </c>
      <c r="E662" s="289">
        <f>C662-D662</f>
        <v/>
      </c>
      <c r="F662" s="314">
        <f>(B662-E662)</f>
        <v/>
      </c>
      <c r="G662" s="112">
        <f>B662*(1-B$621)^($A662)</f>
        <v/>
      </c>
      <c r="H662" s="112">
        <f>IF(A662&lt;=$B$613,G662*$B$614/12,0)</f>
        <v/>
      </c>
      <c r="I662" s="315">
        <f>C662</f>
        <v/>
      </c>
      <c r="J662" s="314" t="n"/>
      <c r="K662" s="315">
        <f>C662</f>
        <v/>
      </c>
      <c r="L662" s="316">
        <f>F662/$B$612*100</f>
        <v/>
      </c>
      <c r="M662" s="317" t="n"/>
      <c r="N662" s="73" t="n">
        <v>31</v>
      </c>
      <c r="O662" s="289">
        <f>+S661</f>
        <v/>
      </c>
      <c r="P662" s="287">
        <f>(IF(N662&lt;$B$613,PMT($B$615/12,$B$613,-$B$612,$B$617,0),IF(N662=$B$613,PMT($B$615/12,$B$613,-$B$612,$B$617,0)+$B$617,0)))</f>
        <v/>
      </c>
      <c r="Q662" s="289">
        <f>IF(N662&lt;=$B$613,O662*$B$615/12,0)</f>
        <v/>
      </c>
      <c r="R662" s="289">
        <f>P662-Q662</f>
        <v/>
      </c>
      <c r="S662" s="314">
        <f>(O662-R662)</f>
        <v/>
      </c>
      <c r="T662" s="112">
        <f>O662*(1-B$621)^($N662)</f>
        <v/>
      </c>
      <c r="U662" s="112">
        <f>IF(N662&lt;=$B$613,T662*$B$615/12,0)</f>
        <v/>
      </c>
      <c r="V662" s="315">
        <f>P662</f>
        <v/>
      </c>
      <c r="W662" s="314" t="n"/>
      <c r="X662" s="315">
        <f>P662</f>
        <v/>
      </c>
      <c r="Y662" s="316">
        <f>S662/$B$612*100</f>
        <v/>
      </c>
      <c r="Z662" s="46" t="n"/>
      <c r="AA662" s="313">
        <f>+V662-I662</f>
        <v/>
      </c>
      <c r="AB662" s="46" t="n"/>
      <c r="AC662" s="46" t="n"/>
      <c r="AD662" s="46" t="n"/>
      <c r="AE662" s="46" t="n"/>
    </row>
    <row r="663">
      <c r="A663" s="73" t="n">
        <v>32</v>
      </c>
      <c r="B663" s="289">
        <f>+F662</f>
        <v/>
      </c>
      <c r="C663" s="287">
        <f>(IF(A663&lt;$B$613,PMT($B$614/12,$B$613,-$B$612,$B$617,$B$620),IF(A663=$B$613,PMT($B$614/12,$B$613,-$B$612,$B$617,$B$620)+$B$617,0)))</f>
        <v/>
      </c>
      <c r="D663" s="289">
        <f>IF(A663&lt;=$B$613,B663*$B$614/12,0)</f>
        <v/>
      </c>
      <c r="E663" s="289">
        <f>C663-D663</f>
        <v/>
      </c>
      <c r="F663" s="314">
        <f>(B663-E663)</f>
        <v/>
      </c>
      <c r="G663" s="112">
        <f>B663*(1-B$621)^($A663)</f>
        <v/>
      </c>
      <c r="H663" s="112">
        <f>IF(A663&lt;=$B$613,G663*$B$614/12,0)</f>
        <v/>
      </c>
      <c r="I663" s="315">
        <f>C663</f>
        <v/>
      </c>
      <c r="J663" s="314" t="n"/>
      <c r="K663" s="315">
        <f>C663</f>
        <v/>
      </c>
      <c r="L663" s="316">
        <f>F663/$B$612*100</f>
        <v/>
      </c>
      <c r="M663" s="317" t="n"/>
      <c r="N663" s="73" t="n">
        <v>32</v>
      </c>
      <c r="O663" s="289">
        <f>+S662</f>
        <v/>
      </c>
      <c r="P663" s="287">
        <f>(IF(N663&lt;$B$613,PMT($B$615/12,$B$613,-$B$612,$B$617,0),IF(N663=$B$613,PMT($B$615/12,$B$613,-$B$612,$B$617,0)+$B$617,0)))</f>
        <v/>
      </c>
      <c r="Q663" s="289">
        <f>IF(N663&lt;=$B$613,O663*$B$615/12,0)</f>
        <v/>
      </c>
      <c r="R663" s="289">
        <f>P663-Q663</f>
        <v/>
      </c>
      <c r="S663" s="314">
        <f>(O663-R663)</f>
        <v/>
      </c>
      <c r="T663" s="112">
        <f>O663*(1-B$621)^($N663)</f>
        <v/>
      </c>
      <c r="U663" s="112">
        <f>IF(N663&lt;=$B$613,T663*$B$615/12,0)</f>
        <v/>
      </c>
      <c r="V663" s="315">
        <f>P663</f>
        <v/>
      </c>
      <c r="W663" s="314" t="n"/>
      <c r="X663" s="315">
        <f>P663</f>
        <v/>
      </c>
      <c r="Y663" s="316">
        <f>S663/$B$612*100</f>
        <v/>
      </c>
      <c r="Z663" s="46" t="n"/>
      <c r="AA663" s="313">
        <f>+V663-I663</f>
        <v/>
      </c>
      <c r="AB663" s="46" t="n"/>
      <c r="AC663" s="46" t="n"/>
      <c r="AD663" s="46" t="n"/>
      <c r="AE663" s="46" t="n"/>
    </row>
    <row r="664">
      <c r="A664" s="73" t="n">
        <v>33</v>
      </c>
      <c r="B664" s="289">
        <f>+F663</f>
        <v/>
      </c>
      <c r="C664" s="287">
        <f>(IF(A664&lt;$B$613,PMT($B$614/12,$B$613,-$B$612,$B$617,$B$620),IF(A664=$B$613,PMT($B$614/12,$B$613,-$B$612,$B$617,$B$620)+$B$617,0)))</f>
        <v/>
      </c>
      <c r="D664" s="289">
        <f>IF(A664&lt;=$B$613,B664*$B$614/12,0)</f>
        <v/>
      </c>
      <c r="E664" s="289">
        <f>C664-D664</f>
        <v/>
      </c>
      <c r="F664" s="314">
        <f>(B664-E664)</f>
        <v/>
      </c>
      <c r="G664" s="112">
        <f>B664*(1-B$621)^($A664)</f>
        <v/>
      </c>
      <c r="H664" s="112">
        <f>IF(A664&lt;=$B$613,G664*$B$614/12,0)</f>
        <v/>
      </c>
      <c r="I664" s="315">
        <f>C664</f>
        <v/>
      </c>
      <c r="J664" s="314" t="n"/>
      <c r="K664" s="315">
        <f>C664</f>
        <v/>
      </c>
      <c r="L664" s="316">
        <f>F664/$B$612*100</f>
        <v/>
      </c>
      <c r="M664" s="317" t="n"/>
      <c r="N664" s="73" t="n">
        <v>33</v>
      </c>
      <c r="O664" s="289">
        <f>+S663</f>
        <v/>
      </c>
      <c r="P664" s="287">
        <f>(IF(N664&lt;$B$613,PMT($B$615/12,$B$613,-$B$612,$B$617,0),IF(N664=$B$613,PMT($B$615/12,$B$613,-$B$612,$B$617,0)+$B$617,0)))</f>
        <v/>
      </c>
      <c r="Q664" s="289">
        <f>IF(N664&lt;=$B$613,O664*$B$615/12,0)</f>
        <v/>
      </c>
      <c r="R664" s="289">
        <f>P664-Q664</f>
        <v/>
      </c>
      <c r="S664" s="314">
        <f>(O664-R664)</f>
        <v/>
      </c>
      <c r="T664" s="112">
        <f>O664*(1-B$621)^($N664)</f>
        <v/>
      </c>
      <c r="U664" s="112">
        <f>IF(N664&lt;=$B$613,T664*$B$615/12,0)</f>
        <v/>
      </c>
      <c r="V664" s="315">
        <f>P664</f>
        <v/>
      </c>
      <c r="W664" s="314" t="n"/>
      <c r="X664" s="315">
        <f>P664</f>
        <v/>
      </c>
      <c r="Y664" s="316">
        <f>S664/$B$612*100</f>
        <v/>
      </c>
      <c r="Z664" s="46" t="n"/>
      <c r="AA664" s="313">
        <f>+V664-I664</f>
        <v/>
      </c>
      <c r="AB664" s="46" t="n"/>
      <c r="AC664" s="46" t="n"/>
      <c r="AD664" s="46" t="n"/>
      <c r="AE664" s="46" t="n"/>
    </row>
    <row r="665">
      <c r="A665" s="73" t="n">
        <v>34</v>
      </c>
      <c r="B665" s="289">
        <f>+F664</f>
        <v/>
      </c>
      <c r="C665" s="287">
        <f>(IF(A665&lt;$B$613,PMT($B$614/12,$B$613,-$B$612,$B$617,$B$620),IF(A665=$B$613,PMT($B$614/12,$B$613,-$B$612,$B$617,$B$620)+$B$617,0)))</f>
        <v/>
      </c>
      <c r="D665" s="289">
        <f>IF(A665&lt;=$B$613,B665*$B$614/12,0)</f>
        <v/>
      </c>
      <c r="E665" s="289">
        <f>C665-D665</f>
        <v/>
      </c>
      <c r="F665" s="314">
        <f>(B665-E665)</f>
        <v/>
      </c>
      <c r="G665" s="112">
        <f>B665*(1-B$621)^($A665)</f>
        <v/>
      </c>
      <c r="H665" s="112">
        <f>IF(A665&lt;=$B$613,G665*$B$614/12,0)</f>
        <v/>
      </c>
      <c r="I665" s="315">
        <f>C665</f>
        <v/>
      </c>
      <c r="J665" s="314" t="n"/>
      <c r="K665" s="315">
        <f>C665</f>
        <v/>
      </c>
      <c r="L665" s="316">
        <f>F665/$B$612*100</f>
        <v/>
      </c>
      <c r="M665" s="317" t="n"/>
      <c r="N665" s="73" t="n">
        <v>34</v>
      </c>
      <c r="O665" s="289">
        <f>+S664</f>
        <v/>
      </c>
      <c r="P665" s="287">
        <f>(IF(N665&lt;$B$613,PMT($B$615/12,$B$613,-$B$612,$B$617,0),IF(N665=$B$613,PMT($B$615/12,$B$613,-$B$612,$B$617,0)+$B$617,0)))</f>
        <v/>
      </c>
      <c r="Q665" s="289">
        <f>IF(N665&lt;=$B$613,O665*$B$615/12,0)</f>
        <v/>
      </c>
      <c r="R665" s="289">
        <f>P665-Q665</f>
        <v/>
      </c>
      <c r="S665" s="314">
        <f>(O665-R665)</f>
        <v/>
      </c>
      <c r="T665" s="112">
        <f>O665*(1-B$621)^($N665)</f>
        <v/>
      </c>
      <c r="U665" s="112">
        <f>IF(N665&lt;=$B$613,T665*$B$615/12,0)</f>
        <v/>
      </c>
      <c r="V665" s="315">
        <f>P665</f>
        <v/>
      </c>
      <c r="W665" s="314" t="n"/>
      <c r="X665" s="315">
        <f>P665</f>
        <v/>
      </c>
      <c r="Y665" s="316">
        <f>S665/$B$612*100</f>
        <v/>
      </c>
      <c r="Z665" s="46" t="n"/>
      <c r="AA665" s="313">
        <f>+V665-I665</f>
        <v/>
      </c>
      <c r="AB665" s="46" t="n"/>
      <c r="AC665" s="46" t="n"/>
      <c r="AD665" s="46" t="n"/>
      <c r="AE665" s="46" t="n"/>
    </row>
    <row r="666">
      <c r="A666" s="73" t="n">
        <v>35</v>
      </c>
      <c r="B666" s="289">
        <f>+F665</f>
        <v/>
      </c>
      <c r="C666" s="287">
        <f>(IF(A666&lt;$B$613,PMT($B$614/12,$B$613,-$B$612,$B$617,$B$620),IF(A666=$B$613,PMT($B$614/12,$B$613,-$B$612,$B$617,$B$620)+$B$617,0)))</f>
        <v/>
      </c>
      <c r="D666" s="289">
        <f>IF(A666&lt;=$B$613,B666*$B$614/12,0)</f>
        <v/>
      </c>
      <c r="E666" s="289">
        <f>C666-D666</f>
        <v/>
      </c>
      <c r="F666" s="314">
        <f>(B666-E666)</f>
        <v/>
      </c>
      <c r="G666" s="112">
        <f>B666*(1-B$621)^($A666)</f>
        <v/>
      </c>
      <c r="H666" s="112">
        <f>IF(A666&lt;=$B$613,G666*$B$614/12,0)</f>
        <v/>
      </c>
      <c r="I666" s="315">
        <f>C666</f>
        <v/>
      </c>
      <c r="J666" s="314" t="n"/>
      <c r="K666" s="315">
        <f>C666</f>
        <v/>
      </c>
      <c r="L666" s="316">
        <f>F666/$B$612*100</f>
        <v/>
      </c>
      <c r="M666" s="317" t="n"/>
      <c r="N666" s="73" t="n">
        <v>35</v>
      </c>
      <c r="O666" s="289">
        <f>+S665</f>
        <v/>
      </c>
      <c r="P666" s="287">
        <f>(IF(N666&lt;$B$613,PMT($B$615/12,$B$613,-$B$612,$B$617,0),IF(N666=$B$613,PMT($B$615/12,$B$613,-$B$612,$B$617,0)+$B$617,0)))</f>
        <v/>
      </c>
      <c r="Q666" s="289">
        <f>IF(N666&lt;=$B$613,O666*$B$615/12,0)</f>
        <v/>
      </c>
      <c r="R666" s="289">
        <f>P666-Q666</f>
        <v/>
      </c>
      <c r="S666" s="314">
        <f>(O666-R666)</f>
        <v/>
      </c>
      <c r="T666" s="112">
        <f>O666*(1-B$621)^($N666)</f>
        <v/>
      </c>
      <c r="U666" s="112">
        <f>IF(N666&lt;=$B$613,T666*$B$615/12,0)</f>
        <v/>
      </c>
      <c r="V666" s="315">
        <f>P666</f>
        <v/>
      </c>
      <c r="W666" s="314" t="n"/>
      <c r="X666" s="315">
        <f>P666</f>
        <v/>
      </c>
      <c r="Y666" s="316">
        <f>S666/$B$612*100</f>
        <v/>
      </c>
      <c r="Z666" s="46" t="n"/>
      <c r="AA666" s="313">
        <f>+V666-I666</f>
        <v/>
      </c>
      <c r="AB666" s="46" t="n"/>
      <c r="AC666" s="46" t="n"/>
      <c r="AD666" s="46" t="n"/>
      <c r="AE666" s="46" t="n"/>
    </row>
    <row r="667">
      <c r="A667" s="73" t="n">
        <v>36</v>
      </c>
      <c r="B667" s="289">
        <f>+F666</f>
        <v/>
      </c>
      <c r="C667" s="287">
        <f>(IF(A667&lt;$B$613,PMT($B$614/12,$B$613,-$B$612,$B$617,$B$620),IF(A667=$B$613,PMT($B$614/12,$B$613,-$B$612,$B$617,$B$620)+$B$617,0)))</f>
        <v/>
      </c>
      <c r="D667" s="289">
        <f>IF(A667&lt;=$B$613,B667*$B$614/12,0)</f>
        <v/>
      </c>
      <c r="E667" s="289">
        <f>C667-D667</f>
        <v/>
      </c>
      <c r="F667" s="314">
        <f>(B667-E667)</f>
        <v/>
      </c>
      <c r="G667" s="112">
        <f>B667*(1-B$621)^($A667)</f>
        <v/>
      </c>
      <c r="H667" s="112">
        <f>IF(A667&lt;=$B$613,G667*$B$614/12,0)</f>
        <v/>
      </c>
      <c r="I667" s="315">
        <f>C667</f>
        <v/>
      </c>
      <c r="J667" s="314" t="n"/>
      <c r="K667" s="315">
        <f>C667</f>
        <v/>
      </c>
      <c r="L667" s="316">
        <f>F667/$B$612*100</f>
        <v/>
      </c>
      <c r="M667" s="317" t="n"/>
      <c r="N667" s="73" t="n">
        <v>36</v>
      </c>
      <c r="O667" s="289">
        <f>+S666</f>
        <v/>
      </c>
      <c r="P667" s="287">
        <f>(IF(N667&lt;$B$613,PMT($B$615/12,$B$613,-$B$612,$B$617,0),IF(N667=$B$613,PMT($B$615/12,$B$613,-$B$612,$B$617,0)+$B$617,0)))</f>
        <v/>
      </c>
      <c r="Q667" s="289">
        <f>IF(N667&lt;=$B$613,O667*$B$615/12,0)</f>
        <v/>
      </c>
      <c r="R667" s="289">
        <f>P667-Q667</f>
        <v/>
      </c>
      <c r="S667" s="314">
        <f>(O667-R667)</f>
        <v/>
      </c>
      <c r="T667" s="112">
        <f>O667*(1-B$621)^($N667)</f>
        <v/>
      </c>
      <c r="U667" s="112">
        <f>IF(N667&lt;=$B$613,T667*$B$615/12,0)</f>
        <v/>
      </c>
      <c r="V667" s="315">
        <f>P667</f>
        <v/>
      </c>
      <c r="W667" s="314" t="n"/>
      <c r="X667" s="315">
        <f>P667</f>
        <v/>
      </c>
      <c r="Y667" s="316">
        <f>S667/$B$612*100</f>
        <v/>
      </c>
      <c r="Z667" s="46" t="n"/>
      <c r="AA667" s="313">
        <f>+V667-I667</f>
        <v/>
      </c>
      <c r="AB667" s="46" t="n"/>
      <c r="AC667" s="46" t="n"/>
      <c r="AD667" s="46" t="n"/>
      <c r="AE667" s="46" t="n"/>
    </row>
    <row r="668">
      <c r="A668" s="73" t="n">
        <v>37</v>
      </c>
      <c r="B668" s="289">
        <f>+F667</f>
        <v/>
      </c>
      <c r="C668" s="287">
        <f>(IF(A668&lt;$B$613,PMT($B$614/12,$B$613,-$B$612,$B$617,$B$620),IF(A668=$B$613,PMT($B$614/12,$B$613,-$B$612,$B$617,$B$620)+$B$617,0)))</f>
        <v/>
      </c>
      <c r="D668" s="289">
        <f>IF(A668&lt;=$B$613,B668*$B$614/12,0)</f>
        <v/>
      </c>
      <c r="E668" s="289">
        <f>C668-D668</f>
        <v/>
      </c>
      <c r="F668" s="314">
        <f>(B668-E668)</f>
        <v/>
      </c>
      <c r="G668" s="112">
        <f>B668*(1-B$621)^($A668)</f>
        <v/>
      </c>
      <c r="H668" s="112">
        <f>IF(A668&lt;=$B$613,G668*$B$614/12,0)</f>
        <v/>
      </c>
      <c r="I668" s="315">
        <f>C668</f>
        <v/>
      </c>
      <c r="J668" s="314" t="n"/>
      <c r="K668" s="315">
        <f>C668</f>
        <v/>
      </c>
      <c r="L668" s="316">
        <f>F668/$B$612*100</f>
        <v/>
      </c>
      <c r="M668" s="317" t="n"/>
      <c r="N668" s="73" t="n">
        <v>37</v>
      </c>
      <c r="O668" s="289">
        <f>+S667</f>
        <v/>
      </c>
      <c r="P668" s="287">
        <f>(IF(N668&lt;$B$613,PMT($B$615/12,$B$613,-$B$612,$B$617,0),IF(N668=$B$613,PMT($B$615/12,$B$613,-$B$612,$B$617,0)+$B$617,0)))</f>
        <v/>
      </c>
      <c r="Q668" s="289">
        <f>IF(N668&lt;=$B$613,O668*$B$615/12,0)</f>
        <v/>
      </c>
      <c r="R668" s="289">
        <f>P668-Q668</f>
        <v/>
      </c>
      <c r="S668" s="314">
        <f>(O668-R668)</f>
        <v/>
      </c>
      <c r="T668" s="112">
        <f>O668*(1-B$621)^($N668)</f>
        <v/>
      </c>
      <c r="U668" s="112">
        <f>IF(N668&lt;=$B$613,T668*$B$615/12,0)</f>
        <v/>
      </c>
      <c r="V668" s="315">
        <f>P668</f>
        <v/>
      </c>
      <c r="W668" s="314" t="n"/>
      <c r="X668" s="315">
        <f>P668</f>
        <v/>
      </c>
      <c r="Y668" s="316">
        <f>S668/$B$612*100</f>
        <v/>
      </c>
      <c r="Z668" s="46" t="n"/>
      <c r="AA668" s="313">
        <f>+V668-I668</f>
        <v/>
      </c>
      <c r="AB668" s="46" t="n"/>
      <c r="AC668" s="46" t="n"/>
      <c r="AD668" s="46" t="n"/>
      <c r="AE668" s="46" t="n"/>
    </row>
    <row r="669">
      <c r="A669" s="73" t="n">
        <v>38</v>
      </c>
      <c r="B669" s="289">
        <f>+F668</f>
        <v/>
      </c>
      <c r="C669" s="287">
        <f>(IF(A669&lt;$B$613,PMT($B$614/12,$B$613,-$B$612,$B$617,$B$620),IF(A669=$B$613,PMT($B$614/12,$B$613,-$B$612,$B$617,$B$620)+$B$617,0)))</f>
        <v/>
      </c>
      <c r="D669" s="289">
        <f>IF(A669&lt;=$B$613,B669*$B$614/12,0)</f>
        <v/>
      </c>
      <c r="E669" s="289">
        <f>C669-D669</f>
        <v/>
      </c>
      <c r="F669" s="314">
        <f>(B669-E669)</f>
        <v/>
      </c>
      <c r="G669" s="112">
        <f>B669*(1-B$621)^($A669)</f>
        <v/>
      </c>
      <c r="H669" s="112">
        <f>IF(A669&lt;=$B$613,G669*$B$614/12,0)</f>
        <v/>
      </c>
      <c r="I669" s="315">
        <f>C669</f>
        <v/>
      </c>
      <c r="J669" s="314" t="n"/>
      <c r="K669" s="315">
        <f>C669</f>
        <v/>
      </c>
      <c r="L669" s="316">
        <f>F669/$B$612*100</f>
        <v/>
      </c>
      <c r="M669" s="317" t="n"/>
      <c r="N669" s="73" t="n">
        <v>38</v>
      </c>
      <c r="O669" s="289">
        <f>+S668</f>
        <v/>
      </c>
      <c r="P669" s="287">
        <f>(IF(N669&lt;$B$613,PMT($B$615/12,$B$613,-$B$612,$B$617,0),IF(N669=$B$613,PMT($B$615/12,$B$613,-$B$612,$B$617,0)+$B$617,0)))</f>
        <v/>
      </c>
      <c r="Q669" s="289">
        <f>IF(N669&lt;=$B$613,O669*$B$615/12,0)</f>
        <v/>
      </c>
      <c r="R669" s="289">
        <f>P669-Q669</f>
        <v/>
      </c>
      <c r="S669" s="314">
        <f>(O669-R669)</f>
        <v/>
      </c>
      <c r="T669" s="112">
        <f>O669*(1-B$621)^($N669)</f>
        <v/>
      </c>
      <c r="U669" s="112">
        <f>IF(N669&lt;=$B$613,T669*$B$615/12,0)</f>
        <v/>
      </c>
      <c r="V669" s="315">
        <f>P669</f>
        <v/>
      </c>
      <c r="W669" s="314" t="n"/>
      <c r="X669" s="315">
        <f>P669</f>
        <v/>
      </c>
      <c r="Y669" s="316">
        <f>S669/$B$612*100</f>
        <v/>
      </c>
      <c r="Z669" s="46" t="n"/>
      <c r="AA669" s="313">
        <f>+V669-I669</f>
        <v/>
      </c>
      <c r="AB669" s="46" t="n"/>
      <c r="AC669" s="46" t="n"/>
      <c r="AD669" s="46" t="n"/>
      <c r="AE669" s="46" t="n"/>
    </row>
    <row r="670">
      <c r="A670" s="73" t="n">
        <v>39</v>
      </c>
      <c r="B670" s="289">
        <f>+F669</f>
        <v/>
      </c>
      <c r="C670" s="287">
        <f>(IF(A670&lt;$B$613,PMT($B$614/12,$B$613,-$B$612,$B$617,$B$620),IF(A670=$B$613,PMT($B$614/12,$B$613,-$B$612,$B$617,$B$620)+$B$617,0)))</f>
        <v/>
      </c>
      <c r="D670" s="289">
        <f>IF(A670&lt;=$B$613,B670*$B$614/12,0)</f>
        <v/>
      </c>
      <c r="E670" s="289">
        <f>C670-D670</f>
        <v/>
      </c>
      <c r="F670" s="314">
        <f>(B670-E670)</f>
        <v/>
      </c>
      <c r="G670" s="112">
        <f>B670*(1-B$621)^($A670)</f>
        <v/>
      </c>
      <c r="H670" s="112">
        <f>IF(A670&lt;=$B$613,G670*$B$614/12,0)</f>
        <v/>
      </c>
      <c r="I670" s="315">
        <f>C670</f>
        <v/>
      </c>
      <c r="J670" s="314" t="n"/>
      <c r="K670" s="315">
        <f>C670</f>
        <v/>
      </c>
      <c r="L670" s="316">
        <f>F670/$B$612*100</f>
        <v/>
      </c>
      <c r="M670" s="317" t="n"/>
      <c r="N670" s="73" t="n">
        <v>39</v>
      </c>
      <c r="O670" s="289">
        <f>+S669</f>
        <v/>
      </c>
      <c r="P670" s="287">
        <f>(IF(N670&lt;$B$613,PMT($B$615/12,$B$613,-$B$612,$B$617,0),IF(N670=$B$613,PMT($B$615/12,$B$613,-$B$612,$B$617,0)+$B$617,0)))</f>
        <v/>
      </c>
      <c r="Q670" s="289">
        <f>IF(N670&lt;=$B$613,O670*$B$615/12,0)</f>
        <v/>
      </c>
      <c r="R670" s="289">
        <f>P670-Q670</f>
        <v/>
      </c>
      <c r="S670" s="314">
        <f>(O670-R670)</f>
        <v/>
      </c>
      <c r="T670" s="112">
        <f>O670*(1-B$621)^($N670)</f>
        <v/>
      </c>
      <c r="U670" s="112">
        <f>IF(N670&lt;=$B$613,T670*$B$615/12,0)</f>
        <v/>
      </c>
      <c r="V670" s="315">
        <f>P670</f>
        <v/>
      </c>
      <c r="W670" s="314" t="n"/>
      <c r="X670" s="315">
        <f>P670</f>
        <v/>
      </c>
      <c r="Y670" s="316">
        <f>S670/$B$612*100</f>
        <v/>
      </c>
      <c r="Z670" s="46" t="n"/>
      <c r="AA670" s="313">
        <f>+V670-I670</f>
        <v/>
      </c>
      <c r="AB670" s="46" t="n"/>
      <c r="AC670" s="46" t="n"/>
      <c r="AD670" s="46" t="n"/>
      <c r="AE670" s="46" t="n"/>
    </row>
    <row r="671">
      <c r="A671" s="73" t="n">
        <v>40</v>
      </c>
      <c r="B671" s="289">
        <f>+F670</f>
        <v/>
      </c>
      <c r="C671" s="287">
        <f>(IF(A671&lt;$B$613,PMT($B$614/12,$B$613,-$B$612,$B$617,$B$620),IF(A671=$B$613,PMT($B$614/12,$B$613,-$B$612,$B$617,$B$620)+$B$617,0)))</f>
        <v/>
      </c>
      <c r="D671" s="289">
        <f>IF(A671&lt;=$B$613,B671*$B$614/12,0)</f>
        <v/>
      </c>
      <c r="E671" s="289">
        <f>C671-D671</f>
        <v/>
      </c>
      <c r="F671" s="314">
        <f>(B671-E671)</f>
        <v/>
      </c>
      <c r="G671" s="112">
        <f>B671*(1-B$621)^($A671)</f>
        <v/>
      </c>
      <c r="H671" s="112">
        <f>IF(A671&lt;=$B$613,G671*$B$614/12,0)</f>
        <v/>
      </c>
      <c r="I671" s="315">
        <f>C671</f>
        <v/>
      </c>
      <c r="J671" s="314" t="n"/>
      <c r="K671" s="315">
        <f>C671</f>
        <v/>
      </c>
      <c r="L671" s="316">
        <f>F671/$B$612*100</f>
        <v/>
      </c>
      <c r="M671" s="317" t="n"/>
      <c r="N671" s="73" t="n">
        <v>40</v>
      </c>
      <c r="O671" s="289">
        <f>+S670</f>
        <v/>
      </c>
      <c r="P671" s="287">
        <f>(IF(N671&lt;$B$613,PMT($B$615/12,$B$613,-$B$612,$B$617,0),IF(N671=$B$613,PMT($B$615/12,$B$613,-$B$612,$B$617,0)+$B$617,0)))</f>
        <v/>
      </c>
      <c r="Q671" s="289">
        <f>IF(N671&lt;=$B$613,O671*$B$615/12,0)</f>
        <v/>
      </c>
      <c r="R671" s="289">
        <f>P671-Q671</f>
        <v/>
      </c>
      <c r="S671" s="314">
        <f>(O671-R671)</f>
        <v/>
      </c>
      <c r="T671" s="112">
        <f>O671*(1-B$621)^($N671)</f>
        <v/>
      </c>
      <c r="U671" s="112">
        <f>IF(N671&lt;=$B$613,T671*$B$615/12,0)</f>
        <v/>
      </c>
      <c r="V671" s="315">
        <f>P671</f>
        <v/>
      </c>
      <c r="W671" s="314" t="n"/>
      <c r="X671" s="315">
        <f>P671</f>
        <v/>
      </c>
      <c r="Y671" s="316">
        <f>S671/$B$612*100</f>
        <v/>
      </c>
      <c r="Z671" s="46" t="n"/>
      <c r="AA671" s="313">
        <f>+V671-I671</f>
        <v/>
      </c>
      <c r="AB671" s="46" t="n"/>
      <c r="AC671" s="46" t="n"/>
      <c r="AD671" s="46" t="n"/>
      <c r="AE671" s="46" t="n"/>
    </row>
    <row r="672">
      <c r="A672" s="73" t="n">
        <v>41</v>
      </c>
      <c r="B672" s="289">
        <f>+F671</f>
        <v/>
      </c>
      <c r="C672" s="287">
        <f>(IF(A672&lt;$B$613,PMT($B$614/12,$B$613,-$B$612,$B$617,$B$620),IF(A672=$B$613,PMT($B$614/12,$B$613,-$B$612,$B$617,$B$620)+$B$617,0)))</f>
        <v/>
      </c>
      <c r="D672" s="289">
        <f>IF(A672&lt;=$B$613,B672*$B$614/12,0)</f>
        <v/>
      </c>
      <c r="E672" s="289">
        <f>C672-D672</f>
        <v/>
      </c>
      <c r="F672" s="314">
        <f>(B672-E672)</f>
        <v/>
      </c>
      <c r="G672" s="112">
        <f>B672*(1-B$621)^($A672)</f>
        <v/>
      </c>
      <c r="H672" s="112">
        <f>IF(A672&lt;=$B$613,G672*$B$614/12,0)</f>
        <v/>
      </c>
      <c r="I672" s="315">
        <f>C672</f>
        <v/>
      </c>
      <c r="J672" s="314" t="n"/>
      <c r="K672" s="315">
        <f>C672</f>
        <v/>
      </c>
      <c r="L672" s="316">
        <f>F672/$B$612*100</f>
        <v/>
      </c>
      <c r="M672" s="317" t="n"/>
      <c r="N672" s="73" t="n">
        <v>41</v>
      </c>
      <c r="O672" s="289">
        <f>+S671</f>
        <v/>
      </c>
      <c r="P672" s="287">
        <f>(IF(N672&lt;$B$613,PMT($B$615/12,$B$613,-$B$612,$B$617,0),IF(N672=$B$613,PMT($B$615/12,$B$613,-$B$612,$B$617,0)+$B$617,0)))</f>
        <v/>
      </c>
      <c r="Q672" s="289">
        <f>IF(N672&lt;=$B$613,O672*$B$615/12,0)</f>
        <v/>
      </c>
      <c r="R672" s="289">
        <f>P672-Q672</f>
        <v/>
      </c>
      <c r="S672" s="314">
        <f>(O672-R672)</f>
        <v/>
      </c>
      <c r="T672" s="112">
        <f>O672*(1-B$621)^($N672)</f>
        <v/>
      </c>
      <c r="U672" s="112">
        <f>IF(N672&lt;=$B$613,T672*$B$615/12,0)</f>
        <v/>
      </c>
      <c r="V672" s="315">
        <f>P672</f>
        <v/>
      </c>
      <c r="W672" s="314" t="n"/>
      <c r="X672" s="315">
        <f>P672</f>
        <v/>
      </c>
      <c r="Y672" s="316">
        <f>S672/$B$612*100</f>
        <v/>
      </c>
      <c r="Z672" s="46" t="n"/>
      <c r="AA672" s="313">
        <f>+V672-I672</f>
        <v/>
      </c>
      <c r="AB672" s="46" t="n"/>
      <c r="AC672" s="46" t="n"/>
      <c r="AD672" s="46" t="n"/>
      <c r="AE672" s="46" t="n"/>
    </row>
    <row r="673">
      <c r="A673" s="73" t="n">
        <v>42</v>
      </c>
      <c r="B673" s="289">
        <f>+F672</f>
        <v/>
      </c>
      <c r="C673" s="287">
        <f>(IF(A673&lt;$B$613,PMT($B$614/12,$B$613,-$B$612,$B$617,$B$620),IF(A673=$B$613,PMT($B$614/12,$B$613,-$B$612,$B$617,$B$620)+$B$617,0)))</f>
        <v/>
      </c>
      <c r="D673" s="289">
        <f>IF(A673&lt;=$B$613,B673*$B$614/12,0)</f>
        <v/>
      </c>
      <c r="E673" s="289">
        <f>C673-D673</f>
        <v/>
      </c>
      <c r="F673" s="314">
        <f>(B673-E673)</f>
        <v/>
      </c>
      <c r="G673" s="112">
        <f>B673*(1-B$621)^($A673)</f>
        <v/>
      </c>
      <c r="H673" s="112">
        <f>IF(A673&lt;=$B$613,G673*$B$614/12,0)</f>
        <v/>
      </c>
      <c r="I673" s="315">
        <f>C673</f>
        <v/>
      </c>
      <c r="J673" s="314" t="n"/>
      <c r="K673" s="315">
        <f>C673</f>
        <v/>
      </c>
      <c r="L673" s="316">
        <f>F673/$B$612*100</f>
        <v/>
      </c>
      <c r="M673" s="317" t="n"/>
      <c r="N673" s="73" t="n">
        <v>42</v>
      </c>
      <c r="O673" s="289">
        <f>+S672</f>
        <v/>
      </c>
      <c r="P673" s="287">
        <f>(IF(N673&lt;$B$613,PMT($B$615/12,$B$613,-$B$612,$B$617,0),IF(N673=$B$613,PMT($B$615/12,$B$613,-$B$612,$B$617,0)+$B$617,0)))</f>
        <v/>
      </c>
      <c r="Q673" s="289">
        <f>IF(N673&lt;=$B$613,O673*$B$615/12,0)</f>
        <v/>
      </c>
      <c r="R673" s="289">
        <f>P673-Q673</f>
        <v/>
      </c>
      <c r="S673" s="314">
        <f>(O673-R673)</f>
        <v/>
      </c>
      <c r="T673" s="112">
        <f>O673*(1-B$621)^($N673)</f>
        <v/>
      </c>
      <c r="U673" s="112">
        <f>IF(N673&lt;=$B$613,T673*$B$615/12,0)</f>
        <v/>
      </c>
      <c r="V673" s="315">
        <f>P673</f>
        <v/>
      </c>
      <c r="W673" s="314" t="n"/>
      <c r="X673" s="315">
        <f>P673</f>
        <v/>
      </c>
      <c r="Y673" s="316">
        <f>S673/$B$612*100</f>
        <v/>
      </c>
      <c r="Z673" s="46" t="n"/>
      <c r="AA673" s="313">
        <f>+V673-I673</f>
        <v/>
      </c>
      <c r="AB673" s="46" t="n"/>
      <c r="AC673" s="46" t="n"/>
      <c r="AD673" s="46" t="n"/>
      <c r="AE673" s="46" t="n"/>
    </row>
    <row r="674">
      <c r="A674" s="73" t="n">
        <v>43</v>
      </c>
      <c r="B674" s="289">
        <f>+F673</f>
        <v/>
      </c>
      <c r="C674" s="287">
        <f>(IF(A674&lt;$B$613,PMT($B$614/12,$B$613,-$B$612,$B$617,$B$620),IF(A674=$B$613,PMT($B$614/12,$B$613,-$B$612,$B$617,$B$620)+$B$617,0)))</f>
        <v/>
      </c>
      <c r="D674" s="289">
        <f>IF(A674&lt;=$B$613,B674*$B$614/12,0)</f>
        <v/>
      </c>
      <c r="E674" s="289">
        <f>C674-D674</f>
        <v/>
      </c>
      <c r="F674" s="314">
        <f>(B674-E674)</f>
        <v/>
      </c>
      <c r="G674" s="112">
        <f>B674*(1-B$621)^($A674)</f>
        <v/>
      </c>
      <c r="H674" s="112">
        <f>IF(A674&lt;=$B$613,G674*$B$614/12,0)</f>
        <v/>
      </c>
      <c r="I674" s="315">
        <f>C674</f>
        <v/>
      </c>
      <c r="J674" s="314" t="n"/>
      <c r="K674" s="315">
        <f>C674</f>
        <v/>
      </c>
      <c r="L674" s="316">
        <f>F674/$B$612*100</f>
        <v/>
      </c>
      <c r="M674" s="317" t="n"/>
      <c r="N674" s="73" t="n">
        <v>43</v>
      </c>
      <c r="O674" s="289">
        <f>+S673</f>
        <v/>
      </c>
      <c r="P674" s="287">
        <f>(IF(N674&lt;$B$613,PMT($B$615/12,$B$613,-$B$612,$B$617,0),IF(N674=$B$613,PMT($B$615/12,$B$613,-$B$612,$B$617,0)+$B$617,0)))</f>
        <v/>
      </c>
      <c r="Q674" s="289">
        <f>IF(N674&lt;=$B$613,O674*$B$615/12,0)</f>
        <v/>
      </c>
      <c r="R674" s="289">
        <f>P674-Q674</f>
        <v/>
      </c>
      <c r="S674" s="314">
        <f>(O674-R674)</f>
        <v/>
      </c>
      <c r="T674" s="112">
        <f>O674*(1-B$621)^($N674)</f>
        <v/>
      </c>
      <c r="U674" s="112">
        <f>IF(N674&lt;=$B$613,T674*$B$615/12,0)</f>
        <v/>
      </c>
      <c r="V674" s="315">
        <f>P674</f>
        <v/>
      </c>
      <c r="W674" s="314" t="n"/>
      <c r="X674" s="315">
        <f>P674</f>
        <v/>
      </c>
      <c r="Y674" s="316">
        <f>S674/$B$612*100</f>
        <v/>
      </c>
      <c r="Z674" s="46" t="n"/>
      <c r="AA674" s="313">
        <f>+V674-I674</f>
        <v/>
      </c>
      <c r="AB674" s="46" t="n"/>
      <c r="AC674" s="46" t="n"/>
      <c r="AD674" s="46" t="n"/>
      <c r="AE674" s="46" t="n"/>
    </row>
    <row r="675">
      <c r="A675" s="73" t="n">
        <v>44</v>
      </c>
      <c r="B675" s="289">
        <f>+F674</f>
        <v/>
      </c>
      <c r="C675" s="287">
        <f>(IF(A675&lt;$B$613,PMT($B$614/12,$B$613,-$B$612,$B$617,$B$620),IF(A675=$B$613,PMT($B$614/12,$B$613,-$B$612,$B$617,$B$620)+$B$617,0)))</f>
        <v/>
      </c>
      <c r="D675" s="289">
        <f>IF(A675&lt;=$B$613,B675*$B$614/12,0)</f>
        <v/>
      </c>
      <c r="E675" s="289">
        <f>C675-D675</f>
        <v/>
      </c>
      <c r="F675" s="314">
        <f>(B675-E675)</f>
        <v/>
      </c>
      <c r="G675" s="112">
        <f>B675*(1-B$621)^($A675)</f>
        <v/>
      </c>
      <c r="H675" s="112">
        <f>IF(A675&lt;=$B$613,G675*$B$614/12,0)</f>
        <v/>
      </c>
      <c r="I675" s="315">
        <f>C675</f>
        <v/>
      </c>
      <c r="J675" s="314" t="n"/>
      <c r="K675" s="315">
        <f>C675</f>
        <v/>
      </c>
      <c r="L675" s="316">
        <f>F675/$B$612*100</f>
        <v/>
      </c>
      <c r="M675" s="317" t="n"/>
      <c r="N675" s="73" t="n">
        <v>44</v>
      </c>
      <c r="O675" s="289">
        <f>+S674</f>
        <v/>
      </c>
      <c r="P675" s="287">
        <f>(IF(N675&lt;$B$613,PMT($B$615/12,$B$613,-$B$612,$B$617,0),IF(N675=$B$613,PMT($B$615/12,$B$613,-$B$612,$B$617,0)+$B$617,0)))</f>
        <v/>
      </c>
      <c r="Q675" s="289">
        <f>IF(N675&lt;=$B$613,O675*$B$615/12,0)</f>
        <v/>
      </c>
      <c r="R675" s="289">
        <f>P675-Q675</f>
        <v/>
      </c>
      <c r="S675" s="314">
        <f>(O675-R675)</f>
        <v/>
      </c>
      <c r="T675" s="112">
        <f>O675*(1-B$621)^($N675)</f>
        <v/>
      </c>
      <c r="U675" s="112">
        <f>IF(N675&lt;=$B$613,T675*$B$615/12,0)</f>
        <v/>
      </c>
      <c r="V675" s="315">
        <f>P675</f>
        <v/>
      </c>
      <c r="W675" s="314" t="n"/>
      <c r="X675" s="315">
        <f>P675</f>
        <v/>
      </c>
      <c r="Y675" s="316">
        <f>S675/$B$612*100</f>
        <v/>
      </c>
      <c r="Z675" s="46" t="n"/>
      <c r="AA675" s="313">
        <f>+V675-I675</f>
        <v/>
      </c>
      <c r="AB675" s="46" t="n"/>
      <c r="AC675" s="46" t="n"/>
      <c r="AD675" s="46" t="n"/>
      <c r="AE675" s="46" t="n"/>
    </row>
    <row r="676">
      <c r="A676" s="73" t="n">
        <v>45</v>
      </c>
      <c r="B676" s="289">
        <f>+F675</f>
        <v/>
      </c>
      <c r="C676" s="287">
        <f>(IF(A676&lt;$B$613,PMT($B$614/12,$B$613,-$B$612,$B$617,$B$620),IF(A676=$B$613,PMT($B$614/12,$B$613,-$B$612,$B$617,$B$620)+$B$617,0)))</f>
        <v/>
      </c>
      <c r="D676" s="289">
        <f>IF(A676&lt;=$B$613,B676*$B$614/12,0)</f>
        <v/>
      </c>
      <c r="E676" s="289">
        <f>C676-D676</f>
        <v/>
      </c>
      <c r="F676" s="314">
        <f>(B676-E676)</f>
        <v/>
      </c>
      <c r="G676" s="112">
        <f>B676*(1-B$621)^($A676)</f>
        <v/>
      </c>
      <c r="H676" s="112">
        <f>IF(A676&lt;=$B$613,G676*$B$614/12,0)</f>
        <v/>
      </c>
      <c r="I676" s="315">
        <f>C676</f>
        <v/>
      </c>
      <c r="J676" s="314" t="n"/>
      <c r="K676" s="315">
        <f>C676</f>
        <v/>
      </c>
      <c r="L676" s="316">
        <f>F676/$B$612*100</f>
        <v/>
      </c>
      <c r="M676" s="317" t="n"/>
      <c r="N676" s="73" t="n">
        <v>45</v>
      </c>
      <c r="O676" s="289">
        <f>+S675</f>
        <v/>
      </c>
      <c r="P676" s="287">
        <f>(IF(N676&lt;$B$613,PMT($B$615/12,$B$613,-$B$612,$B$617,0),IF(N676=$B$613,PMT($B$615/12,$B$613,-$B$612,$B$617,0)+$B$617,0)))</f>
        <v/>
      </c>
      <c r="Q676" s="289">
        <f>IF(N676&lt;=$B$613,O676*$B$615/12,0)</f>
        <v/>
      </c>
      <c r="R676" s="289">
        <f>P676-Q676</f>
        <v/>
      </c>
      <c r="S676" s="314">
        <f>(O676-R676)</f>
        <v/>
      </c>
      <c r="T676" s="112">
        <f>O676*(1-B$621)^($N676)</f>
        <v/>
      </c>
      <c r="U676" s="112">
        <f>IF(N676&lt;=$B$613,T676*$B$615/12,0)</f>
        <v/>
      </c>
      <c r="V676" s="315">
        <f>P676</f>
        <v/>
      </c>
      <c r="W676" s="314" t="n"/>
      <c r="X676" s="315">
        <f>P676</f>
        <v/>
      </c>
      <c r="Y676" s="316">
        <f>S676/$B$612*100</f>
        <v/>
      </c>
      <c r="Z676" s="46" t="n"/>
      <c r="AA676" s="313">
        <f>+V676-I676</f>
        <v/>
      </c>
      <c r="AB676" s="46" t="n"/>
      <c r="AC676" s="46" t="n"/>
      <c r="AD676" s="46" t="n"/>
      <c r="AE676" s="46" t="n"/>
    </row>
    <row r="677">
      <c r="A677" s="73" t="n">
        <v>46</v>
      </c>
      <c r="B677" s="289">
        <f>+F676</f>
        <v/>
      </c>
      <c r="C677" s="287">
        <f>(IF(A677&lt;$B$613,PMT($B$614/12,$B$613,-$B$612,$B$617,$B$620),IF(A677=$B$613,PMT($B$614/12,$B$613,-$B$612,$B$617,$B$620)+$B$617,0)))</f>
        <v/>
      </c>
      <c r="D677" s="289">
        <f>IF(A677&lt;=$B$613,B677*$B$614/12,0)</f>
        <v/>
      </c>
      <c r="E677" s="289">
        <f>C677-D677</f>
        <v/>
      </c>
      <c r="F677" s="314">
        <f>(B677-E677)</f>
        <v/>
      </c>
      <c r="G677" s="112">
        <f>B677*(1-B$621)^($A677)</f>
        <v/>
      </c>
      <c r="H677" s="112">
        <f>IF(A677&lt;=$B$613,G677*$B$614/12,0)</f>
        <v/>
      </c>
      <c r="I677" s="315">
        <f>C677</f>
        <v/>
      </c>
      <c r="J677" s="314" t="n"/>
      <c r="K677" s="315">
        <f>C677</f>
        <v/>
      </c>
      <c r="L677" s="316">
        <f>F677/$B$612*100</f>
        <v/>
      </c>
      <c r="M677" s="317" t="n"/>
      <c r="N677" s="73" t="n">
        <v>46</v>
      </c>
      <c r="O677" s="289">
        <f>+S676</f>
        <v/>
      </c>
      <c r="P677" s="287">
        <f>(IF(N677&lt;$B$613,PMT($B$615/12,$B$613,-$B$612,$B$617,0),IF(N677=$B$613,PMT($B$615/12,$B$613,-$B$612,$B$617,0)+$B$617,0)))</f>
        <v/>
      </c>
      <c r="Q677" s="289">
        <f>IF(N677&lt;=$B$613,O677*$B$615/12,0)</f>
        <v/>
      </c>
      <c r="R677" s="289">
        <f>P677-Q677</f>
        <v/>
      </c>
      <c r="S677" s="314">
        <f>(O677-R677)</f>
        <v/>
      </c>
      <c r="T677" s="112">
        <f>O677*(1-B$621)^($N677)</f>
        <v/>
      </c>
      <c r="U677" s="112">
        <f>IF(N677&lt;=$B$613,T677*$B$615/12,0)</f>
        <v/>
      </c>
      <c r="V677" s="315">
        <f>P677</f>
        <v/>
      </c>
      <c r="W677" s="314" t="n"/>
      <c r="X677" s="315">
        <f>P677</f>
        <v/>
      </c>
      <c r="Y677" s="316">
        <f>S677/$B$612*100</f>
        <v/>
      </c>
      <c r="Z677" s="46" t="n"/>
      <c r="AA677" s="313">
        <f>+V677-I677</f>
        <v/>
      </c>
      <c r="AB677" s="46" t="n"/>
      <c r="AC677" s="46" t="n"/>
      <c r="AD677" s="46" t="n"/>
      <c r="AE677" s="46" t="n"/>
    </row>
    <row r="678">
      <c r="A678" s="73" t="n">
        <v>47</v>
      </c>
      <c r="B678" s="289">
        <f>+F677</f>
        <v/>
      </c>
      <c r="C678" s="287">
        <f>(IF(A678&lt;$B$613,PMT($B$614/12,$B$613,-$B$612,$B$617,$B$620),IF(A678=$B$613,PMT($B$614/12,$B$613,-$B$612,$B$617,$B$620)+$B$617,0)))</f>
        <v/>
      </c>
      <c r="D678" s="289">
        <f>IF(A678&lt;=$B$613,B678*$B$614/12,0)</f>
        <v/>
      </c>
      <c r="E678" s="289">
        <f>C678-D678</f>
        <v/>
      </c>
      <c r="F678" s="314">
        <f>(B678-E678)</f>
        <v/>
      </c>
      <c r="G678" s="112">
        <f>B678*(1-B$621)^($A678)</f>
        <v/>
      </c>
      <c r="H678" s="112">
        <f>IF(A678&lt;=$B$613,G678*$B$614/12,0)</f>
        <v/>
      </c>
      <c r="I678" s="315">
        <f>C678</f>
        <v/>
      </c>
      <c r="J678" s="314" t="n"/>
      <c r="K678" s="315">
        <f>C678</f>
        <v/>
      </c>
      <c r="L678" s="316">
        <f>F678/$B$612*100</f>
        <v/>
      </c>
      <c r="M678" s="317" t="n"/>
      <c r="N678" s="73" t="n">
        <v>47</v>
      </c>
      <c r="O678" s="289">
        <f>+S677</f>
        <v/>
      </c>
      <c r="P678" s="287">
        <f>(IF(N678&lt;$B$613,PMT($B$615/12,$B$613,-$B$612,$B$617,0),IF(N678=$B$613,PMT($B$615/12,$B$613,-$B$612,$B$617,0)+$B$617,0)))</f>
        <v/>
      </c>
      <c r="Q678" s="289">
        <f>IF(N678&lt;=$B$613,O678*$B$615/12,0)</f>
        <v/>
      </c>
      <c r="R678" s="289">
        <f>P678-Q678</f>
        <v/>
      </c>
      <c r="S678" s="314">
        <f>(O678-R678)</f>
        <v/>
      </c>
      <c r="T678" s="112">
        <f>O678*(1-B$621)^($N678)</f>
        <v/>
      </c>
      <c r="U678" s="112">
        <f>IF(N678&lt;=$B$613,T678*$B$615/12,0)</f>
        <v/>
      </c>
      <c r="V678" s="318">
        <f>P678</f>
        <v/>
      </c>
      <c r="W678" s="314" t="n"/>
      <c r="X678" s="315">
        <f>P678</f>
        <v/>
      </c>
      <c r="Y678" s="316">
        <f>S678/$B$612*100</f>
        <v/>
      </c>
      <c r="Z678" s="46" t="n"/>
      <c r="AA678" s="313">
        <f>+V678-I678</f>
        <v/>
      </c>
      <c r="AB678" s="46" t="n"/>
      <c r="AC678" s="46" t="n"/>
      <c r="AD678" s="46" t="n"/>
      <c r="AE678" s="46" t="n"/>
    </row>
    <row r="679">
      <c r="A679" s="73" t="n">
        <v>48</v>
      </c>
      <c r="B679" s="289">
        <f>+F678</f>
        <v/>
      </c>
      <c r="C679" s="287">
        <f>(IF(A679&lt;$B$613,PMT($B$614/12,$B$613,-$B$612,$B$617,$B$620),IF(A679=$B$613,PMT($B$614/12,$B$613,-$B$612,$B$617,$B$620)+$B$617,0)))</f>
        <v/>
      </c>
      <c r="D679" s="289">
        <f>IF(A679&lt;=$B$613,B679*$B$614/12,0)</f>
        <v/>
      </c>
      <c r="E679" s="289">
        <f>C679-D679</f>
        <v/>
      </c>
      <c r="F679" s="314">
        <f>(B679-E679)</f>
        <v/>
      </c>
      <c r="G679" s="112">
        <f>B679*(1-B$621)^($A679)</f>
        <v/>
      </c>
      <c r="H679" s="112">
        <f>IF(A679&lt;=$B$613,G679*$B$614/12,0)</f>
        <v/>
      </c>
      <c r="I679" s="315">
        <f>C679</f>
        <v/>
      </c>
      <c r="J679" s="314" t="n"/>
      <c r="K679" s="315">
        <f>C679</f>
        <v/>
      </c>
      <c r="L679" s="316">
        <f>F679/$B$612*100</f>
        <v/>
      </c>
      <c r="M679" s="317" t="n"/>
      <c r="N679" s="73" t="n">
        <v>48</v>
      </c>
      <c r="O679" s="289">
        <f>+S678</f>
        <v/>
      </c>
      <c r="P679" s="287">
        <f>(IF(N679&lt;$B$613,PMT($B$615/12,$B$613,-$B$612,$B$617,0),IF(N679=$B$613,PMT($B$615/12,$B$613,-$B$612,$B$617,0)+$B$617,0)))</f>
        <v/>
      </c>
      <c r="Q679" s="289">
        <f>IF(N679&lt;=$B$613,O679*$B$615/12,0)</f>
        <v/>
      </c>
      <c r="R679" s="289">
        <f>P679-Q679</f>
        <v/>
      </c>
      <c r="S679" s="314">
        <f>(O679-R679)</f>
        <v/>
      </c>
      <c r="T679" s="112">
        <f>O679*(1-B$621)^($N679)</f>
        <v/>
      </c>
      <c r="U679" s="112">
        <f>IF(N679&lt;=$B$613,T679*$B$615/12,0)</f>
        <v/>
      </c>
      <c r="V679" s="315">
        <f>P679</f>
        <v/>
      </c>
      <c r="W679" s="314" t="n"/>
      <c r="X679" s="315">
        <f>P679</f>
        <v/>
      </c>
      <c r="Y679" s="316">
        <f>S679/$B$612*100</f>
        <v/>
      </c>
      <c r="Z679" s="46" t="n"/>
      <c r="AA679" s="313">
        <f>+V679-I679</f>
        <v/>
      </c>
      <c r="AB679" s="46" t="n"/>
      <c r="AC679" s="46" t="n"/>
      <c r="AD679" s="46" t="n"/>
      <c r="AE679" s="46" t="n"/>
    </row>
    <row r="680">
      <c r="A680" s="73" t="n">
        <v>49</v>
      </c>
      <c r="B680" s="289">
        <f>+F679</f>
        <v/>
      </c>
      <c r="C680" s="287">
        <f>(IF(A680&lt;$B$613,PMT($B$614/12,$B$613,-$B$612,$B$617,$B$620),IF(A680=$B$613,PMT($B$614/12,$B$613,-$B$612,$B$617,$B$620)+$B$617,0)))</f>
        <v/>
      </c>
      <c r="D680" s="289">
        <f>IF(A680&lt;=$B$613,B680*$B$614/12,0)</f>
        <v/>
      </c>
      <c r="E680" s="289">
        <f>C680-D680</f>
        <v/>
      </c>
      <c r="F680" s="314">
        <f>(B680-E680)</f>
        <v/>
      </c>
      <c r="G680" s="112">
        <f>B680*(1-B$621)^($A680)</f>
        <v/>
      </c>
      <c r="H680" s="112">
        <f>IF(A680&lt;=$B$613,G680*$B$614/12,0)</f>
        <v/>
      </c>
      <c r="I680" s="315">
        <f>C680</f>
        <v/>
      </c>
      <c r="J680" s="314" t="n"/>
      <c r="K680" s="315">
        <f>C680</f>
        <v/>
      </c>
      <c r="L680" s="316">
        <f>F680/$B$612*100</f>
        <v/>
      </c>
      <c r="M680" s="317" t="n"/>
      <c r="N680" s="73" t="n">
        <v>49</v>
      </c>
      <c r="O680" s="289">
        <f>+S679</f>
        <v/>
      </c>
      <c r="P680" s="287">
        <f>(IF(N680&lt;$B$613,PMT($B$615/12,$B$613,-$B$612,$B$617,0),IF(N680=$B$613,PMT($B$615/12,$B$613,-$B$612,$B$617,0)+$B$617,0)))</f>
        <v/>
      </c>
      <c r="Q680" s="289">
        <f>IF(N680&lt;=$B$613,O680*$B$615/12,0)</f>
        <v/>
      </c>
      <c r="R680" s="289">
        <f>P680-Q680</f>
        <v/>
      </c>
      <c r="S680" s="314">
        <f>(O680-R680)</f>
        <v/>
      </c>
      <c r="T680" s="112">
        <f>O680*(1-B$621)^($N680)</f>
        <v/>
      </c>
      <c r="U680" s="112">
        <f>IF(N680&lt;=$B$613,T680*$B$615/12,0)</f>
        <v/>
      </c>
      <c r="V680" s="315">
        <f>P680</f>
        <v/>
      </c>
      <c r="W680" s="314" t="n"/>
      <c r="X680" s="315">
        <f>P680</f>
        <v/>
      </c>
      <c r="Y680" s="316">
        <f>S680/$B$612*100</f>
        <v/>
      </c>
      <c r="Z680" s="46" t="n"/>
      <c r="AA680" s="313">
        <f>+V680-I680</f>
        <v/>
      </c>
      <c r="AB680" s="46" t="n"/>
      <c r="AC680" s="46" t="n"/>
      <c r="AD680" s="46" t="n"/>
      <c r="AE680" s="46" t="n"/>
    </row>
    <row r="681">
      <c r="A681" s="73" t="n">
        <v>50</v>
      </c>
      <c r="B681" s="289">
        <f>+F680</f>
        <v/>
      </c>
      <c r="C681" s="287">
        <f>(IF(A681&lt;$B$613,PMT($B$614/12,$B$613,-$B$612,$B$617,$B$620),IF(A681=$B$613,PMT($B$614/12,$B$613,-$B$612,$B$617,$B$620)+$B$617,0)))</f>
        <v/>
      </c>
      <c r="D681" s="289">
        <f>IF(A681&lt;=$B$613,B681*$B$614/12,0)</f>
        <v/>
      </c>
      <c r="E681" s="289">
        <f>C681-D681</f>
        <v/>
      </c>
      <c r="F681" s="314">
        <f>(B681-E681)</f>
        <v/>
      </c>
      <c r="G681" s="112">
        <f>B681*(1-B$621)^($A681)</f>
        <v/>
      </c>
      <c r="H681" s="112">
        <f>IF(A681&lt;=$B$613,G681*$B$614/12,0)</f>
        <v/>
      </c>
      <c r="I681" s="315">
        <f>C681</f>
        <v/>
      </c>
      <c r="J681" s="314" t="n"/>
      <c r="K681" s="315">
        <f>C681</f>
        <v/>
      </c>
      <c r="L681" s="316">
        <f>F681/$B$612*100</f>
        <v/>
      </c>
      <c r="M681" s="317" t="n"/>
      <c r="N681" s="73" t="n">
        <v>50</v>
      </c>
      <c r="O681" s="289">
        <f>+S680</f>
        <v/>
      </c>
      <c r="P681" s="287">
        <f>(IF(N681&lt;$B$613,PMT($B$615/12,$B$613,-$B$612,$B$617,0),IF(N681=$B$613,PMT($B$615/12,$B$613,-$B$612,$B$617,0)+$B$617,0)))</f>
        <v/>
      </c>
      <c r="Q681" s="289">
        <f>IF(N681&lt;=$B$613,O681*$B$615/12,0)</f>
        <v/>
      </c>
      <c r="R681" s="289">
        <f>P681-Q681</f>
        <v/>
      </c>
      <c r="S681" s="314">
        <f>(O681-R681)</f>
        <v/>
      </c>
      <c r="T681" s="112">
        <f>O681*(1-B$621)^($N681)</f>
        <v/>
      </c>
      <c r="U681" s="112">
        <f>IF(N681&lt;=$B$613,T681*$B$615/12,0)</f>
        <v/>
      </c>
      <c r="V681" s="315">
        <f>P681</f>
        <v/>
      </c>
      <c r="W681" s="314" t="n"/>
      <c r="X681" s="315">
        <f>P681</f>
        <v/>
      </c>
      <c r="Y681" s="316">
        <f>S681/$B$612*100</f>
        <v/>
      </c>
      <c r="Z681" s="46" t="n"/>
      <c r="AA681" s="313">
        <f>+V681-I681</f>
        <v/>
      </c>
      <c r="AB681" s="46" t="n"/>
      <c r="AC681" s="46" t="n"/>
      <c r="AD681" s="46" t="n"/>
      <c r="AE681" s="46" t="n"/>
    </row>
    <row r="682">
      <c r="A682" s="73" t="n">
        <v>51</v>
      </c>
      <c r="B682" s="289">
        <f>+F681</f>
        <v/>
      </c>
      <c r="C682" s="287">
        <f>(IF(A682&lt;$B$613,PMT($B$614/12,$B$613,-$B$612,$B$617,$B$620),IF(A682=$B$613,PMT($B$614/12,$B$613,-$B$612,$B$617,$B$620)+$B$617,0)))</f>
        <v/>
      </c>
      <c r="D682" s="289">
        <f>IF(A682&lt;=$B$613,B682*$B$614/12,0)</f>
        <v/>
      </c>
      <c r="E682" s="289">
        <f>C682-D682</f>
        <v/>
      </c>
      <c r="F682" s="314">
        <f>(B682-E682)</f>
        <v/>
      </c>
      <c r="G682" s="112">
        <f>B682*(1-B$621)^($A682)</f>
        <v/>
      </c>
      <c r="H682" s="112">
        <f>IF(A682&lt;=$B$613,G682*$B$614/12,0)</f>
        <v/>
      </c>
      <c r="I682" s="315">
        <f>C682</f>
        <v/>
      </c>
      <c r="J682" s="314" t="n"/>
      <c r="K682" s="315">
        <f>C682</f>
        <v/>
      </c>
      <c r="L682" s="316">
        <f>F682/$B$612*100</f>
        <v/>
      </c>
      <c r="M682" s="317" t="n"/>
      <c r="N682" s="73" t="n">
        <v>51</v>
      </c>
      <c r="O682" s="289">
        <f>+S681</f>
        <v/>
      </c>
      <c r="P682" s="287">
        <f>(IF(N682&lt;$B$613,PMT($B$615/12,$B$613,-$B$612,$B$617,0),IF(N682=$B$613,PMT($B$615/12,$B$613,-$B$612,$B$617,0)+$B$617,0)))</f>
        <v/>
      </c>
      <c r="Q682" s="289">
        <f>IF(N682&lt;=$B$613,O682*$B$615/12,0)</f>
        <v/>
      </c>
      <c r="R682" s="289">
        <f>P682-Q682</f>
        <v/>
      </c>
      <c r="S682" s="314">
        <f>(O682-R682)</f>
        <v/>
      </c>
      <c r="T682" s="112">
        <f>O682*(1-B$621)^($N682)</f>
        <v/>
      </c>
      <c r="U682" s="112">
        <f>IF(N682&lt;=$B$613,T682*$B$615/12,0)</f>
        <v/>
      </c>
      <c r="V682" s="315">
        <f>P682</f>
        <v/>
      </c>
      <c r="W682" s="314" t="n"/>
      <c r="X682" s="315">
        <f>P682</f>
        <v/>
      </c>
      <c r="Y682" s="316">
        <f>S682/$B$612*100</f>
        <v/>
      </c>
      <c r="Z682" s="46" t="n"/>
      <c r="AA682" s="313">
        <f>+V682-I682</f>
        <v/>
      </c>
      <c r="AB682" s="46" t="n"/>
      <c r="AC682" s="46" t="n"/>
      <c r="AD682" s="46" t="n"/>
      <c r="AE682" s="46" t="n"/>
    </row>
    <row r="683">
      <c r="A683" s="73" t="n">
        <v>52</v>
      </c>
      <c r="B683" s="289">
        <f>+F682</f>
        <v/>
      </c>
      <c r="C683" s="287">
        <f>(IF(A683&lt;$B$613,PMT($B$614/12,$B$613,-$B$612,$B$617,$B$620),IF(A683=$B$613,PMT($B$614/12,$B$613,-$B$612,$B$617,$B$620)+$B$617,0)))</f>
        <v/>
      </c>
      <c r="D683" s="289">
        <f>IF(A683&lt;=$B$613,B683*$B$614/12,0)</f>
        <v/>
      </c>
      <c r="E683" s="289">
        <f>C683-D683</f>
        <v/>
      </c>
      <c r="F683" s="314">
        <f>(B683-E683)</f>
        <v/>
      </c>
      <c r="G683" s="112">
        <f>B683*(1-B$621)^($A683)</f>
        <v/>
      </c>
      <c r="H683" s="112">
        <f>IF(A683&lt;=$B$613,G683*$B$614/12,0)</f>
        <v/>
      </c>
      <c r="I683" s="315">
        <f>C683</f>
        <v/>
      </c>
      <c r="J683" s="314" t="n"/>
      <c r="K683" s="315">
        <f>C683</f>
        <v/>
      </c>
      <c r="L683" s="316">
        <f>F683/$B$612*100</f>
        <v/>
      </c>
      <c r="M683" s="317" t="n"/>
      <c r="N683" s="73" t="n">
        <v>52</v>
      </c>
      <c r="O683" s="289">
        <f>+S682</f>
        <v/>
      </c>
      <c r="P683" s="287">
        <f>(IF(N683&lt;$B$613,PMT($B$615/12,$B$613,-$B$612,$B$617,0),IF(N683=$B$613,PMT($B$615/12,$B$613,-$B$612,$B$617,0)+$B$617,0)))</f>
        <v/>
      </c>
      <c r="Q683" s="289">
        <f>IF(N683&lt;=$B$613,O683*$B$615/12,0)</f>
        <v/>
      </c>
      <c r="R683" s="289">
        <f>P683-Q683</f>
        <v/>
      </c>
      <c r="S683" s="314">
        <f>(O683-R683)</f>
        <v/>
      </c>
      <c r="T683" s="112">
        <f>O683*(1-B$621)^($N683)</f>
        <v/>
      </c>
      <c r="U683" s="112">
        <f>IF(N683&lt;=$B$613,T683*$B$615/12,0)</f>
        <v/>
      </c>
      <c r="V683" s="315">
        <f>P683</f>
        <v/>
      </c>
      <c r="W683" s="314" t="n"/>
      <c r="X683" s="315">
        <f>P683</f>
        <v/>
      </c>
      <c r="Y683" s="316">
        <f>S683/$B$612*100</f>
        <v/>
      </c>
      <c r="Z683" s="46" t="n"/>
      <c r="AA683" s="313">
        <f>+V683-I683</f>
        <v/>
      </c>
      <c r="AB683" s="46" t="n"/>
      <c r="AC683" s="46" t="n"/>
      <c r="AD683" s="46" t="n"/>
      <c r="AE683" s="46" t="n"/>
    </row>
    <row r="684">
      <c r="A684" s="73" t="n">
        <v>53</v>
      </c>
      <c r="B684" s="289">
        <f>+F683</f>
        <v/>
      </c>
      <c r="C684" s="287">
        <f>(IF(A684&lt;$B$613,PMT($B$614/12,$B$613,-$B$612,$B$617,$B$620),IF(A684=$B$613,PMT($B$614/12,$B$613,-$B$612,$B$617,$B$620)+$B$617,0)))</f>
        <v/>
      </c>
      <c r="D684" s="289">
        <f>IF(A684&lt;=$B$613,B684*$B$614/12,0)</f>
        <v/>
      </c>
      <c r="E684" s="289">
        <f>C684-D684</f>
        <v/>
      </c>
      <c r="F684" s="314">
        <f>(B684-E684)</f>
        <v/>
      </c>
      <c r="G684" s="112">
        <f>B684*(1-B$621)^($A684)</f>
        <v/>
      </c>
      <c r="H684" s="112">
        <f>IF(A684&lt;=$B$613,G684*$B$614/12,0)</f>
        <v/>
      </c>
      <c r="I684" s="315">
        <f>C684</f>
        <v/>
      </c>
      <c r="J684" s="314" t="n"/>
      <c r="K684" s="315">
        <f>C684</f>
        <v/>
      </c>
      <c r="L684" s="316">
        <f>F684/$B$612*100</f>
        <v/>
      </c>
      <c r="M684" s="317" t="n"/>
      <c r="N684" s="73" t="n">
        <v>53</v>
      </c>
      <c r="O684" s="289">
        <f>+S683</f>
        <v/>
      </c>
      <c r="P684" s="287">
        <f>(IF(N684&lt;$B$613,PMT($B$615/12,$B$613,-$B$612,$B$617,0),IF(N684=$B$613,PMT($B$615/12,$B$613,-$B$612,$B$617,0)+$B$617,0)))</f>
        <v/>
      </c>
      <c r="Q684" s="289">
        <f>IF(N684&lt;=$B$613,O684*$B$615/12,0)</f>
        <v/>
      </c>
      <c r="R684" s="289">
        <f>P684-Q684</f>
        <v/>
      </c>
      <c r="S684" s="314">
        <f>(O684-R684)</f>
        <v/>
      </c>
      <c r="T684" s="112">
        <f>O684*(1-B$621)^($N684)</f>
        <v/>
      </c>
      <c r="U684" s="112">
        <f>IF(N684&lt;=$B$613,T684*$B$615/12,0)</f>
        <v/>
      </c>
      <c r="V684" s="315">
        <f>P684</f>
        <v/>
      </c>
      <c r="W684" s="314" t="n"/>
      <c r="X684" s="315">
        <f>P684</f>
        <v/>
      </c>
      <c r="Y684" s="316">
        <f>S684/$B$612*100</f>
        <v/>
      </c>
      <c r="Z684" s="46" t="n"/>
      <c r="AA684" s="313">
        <f>+V684-I684</f>
        <v/>
      </c>
      <c r="AB684" s="46" t="n"/>
      <c r="AC684" s="46" t="n"/>
      <c r="AD684" s="46" t="n"/>
      <c r="AE684" s="46" t="n"/>
    </row>
    <row r="685">
      <c r="A685" s="73" t="n">
        <v>54</v>
      </c>
      <c r="B685" s="289">
        <f>+F684</f>
        <v/>
      </c>
      <c r="C685" s="287">
        <f>(IF(A685&lt;$B$613,PMT($B$614/12,$B$613,-$B$612,$B$617,$B$620),IF(A685=$B$613,PMT($B$614/12,$B$613,-$B$612,$B$617,$B$620)+$B$617,0)))</f>
        <v/>
      </c>
      <c r="D685" s="289">
        <f>IF(A685&lt;=$B$613,B685*$B$614/12,0)</f>
        <v/>
      </c>
      <c r="E685" s="289">
        <f>C685-D685</f>
        <v/>
      </c>
      <c r="F685" s="314">
        <f>(B685-E685)</f>
        <v/>
      </c>
      <c r="G685" s="112">
        <f>B685*(1-B$621)^($A685)</f>
        <v/>
      </c>
      <c r="H685" s="112">
        <f>IF(A685&lt;=$B$613,G685*$B$614/12,0)</f>
        <v/>
      </c>
      <c r="I685" s="315">
        <f>C685</f>
        <v/>
      </c>
      <c r="J685" s="314" t="n"/>
      <c r="K685" s="315">
        <f>C685</f>
        <v/>
      </c>
      <c r="L685" s="316">
        <f>F685/$B$612*100</f>
        <v/>
      </c>
      <c r="M685" s="317" t="n"/>
      <c r="N685" s="73" t="n">
        <v>54</v>
      </c>
      <c r="O685" s="289">
        <f>+S684</f>
        <v/>
      </c>
      <c r="P685" s="287">
        <f>(IF(N685&lt;$B$613,PMT($B$615/12,$B$613,-$B$612,$B$617,0),IF(N685=$B$613,PMT($B$615/12,$B$613,-$B$612,$B$617,0)+$B$617,0)))</f>
        <v/>
      </c>
      <c r="Q685" s="289">
        <f>IF(N685&lt;=$B$613,O685*$B$615/12,0)</f>
        <v/>
      </c>
      <c r="R685" s="289">
        <f>P685-Q685</f>
        <v/>
      </c>
      <c r="S685" s="314">
        <f>(O685-R685)</f>
        <v/>
      </c>
      <c r="T685" s="112">
        <f>O685*(1-B$621)^($N685)</f>
        <v/>
      </c>
      <c r="U685" s="112">
        <f>IF(N685&lt;=$B$613,T685*$B$615/12,0)</f>
        <v/>
      </c>
      <c r="V685" s="315">
        <f>P685</f>
        <v/>
      </c>
      <c r="W685" s="314" t="n"/>
      <c r="X685" s="315">
        <f>P685</f>
        <v/>
      </c>
      <c r="Y685" s="316">
        <f>S685/$B$612*100</f>
        <v/>
      </c>
      <c r="Z685" s="46" t="n"/>
      <c r="AA685" s="313">
        <f>+V685-I685</f>
        <v/>
      </c>
      <c r="AB685" s="46" t="n"/>
      <c r="AC685" s="46" t="n"/>
      <c r="AD685" s="46" t="n"/>
      <c r="AE685" s="46" t="n"/>
    </row>
    <row r="686">
      <c r="A686" s="73" t="n">
        <v>55</v>
      </c>
      <c r="B686" s="289">
        <f>+F685</f>
        <v/>
      </c>
      <c r="C686" s="287">
        <f>(IF(A686&lt;$B$613,PMT($B$614/12,$B$613,-$B$612,$B$617,$B$620),IF(A686=$B$613,PMT($B$614/12,$B$613,-$B$612,$B$617,$B$620)+$B$617,0)))</f>
        <v/>
      </c>
      <c r="D686" s="289">
        <f>IF(A686&lt;=$B$613,B686*$B$614/12,0)</f>
        <v/>
      </c>
      <c r="E686" s="289">
        <f>C686-D686</f>
        <v/>
      </c>
      <c r="F686" s="314">
        <f>(B686-E686)</f>
        <v/>
      </c>
      <c r="G686" s="112">
        <f>B686*(1-B$621)^($A686)</f>
        <v/>
      </c>
      <c r="H686" s="112">
        <f>IF(A686&lt;=$B$613,G686*$B$614/12,0)</f>
        <v/>
      </c>
      <c r="I686" s="315">
        <f>C686</f>
        <v/>
      </c>
      <c r="J686" s="314" t="n"/>
      <c r="K686" s="315">
        <f>C686</f>
        <v/>
      </c>
      <c r="L686" s="316">
        <f>F686/$B$612*100</f>
        <v/>
      </c>
      <c r="M686" s="317" t="n"/>
      <c r="N686" s="73" t="n">
        <v>55</v>
      </c>
      <c r="O686" s="289">
        <f>+S685</f>
        <v/>
      </c>
      <c r="P686" s="287">
        <f>(IF(N686&lt;$B$613,PMT($B$615/12,$B$613,-$B$612,$B$617,0),IF(N686=$B$613,PMT($B$615/12,$B$613,-$B$612,$B$617,0)+$B$617,0)))</f>
        <v/>
      </c>
      <c r="Q686" s="289">
        <f>IF(N686&lt;=$B$613,O686*$B$615/12,0)</f>
        <v/>
      </c>
      <c r="R686" s="289">
        <f>P686-Q686</f>
        <v/>
      </c>
      <c r="S686" s="314">
        <f>(O686-R686)</f>
        <v/>
      </c>
      <c r="T686" s="112">
        <f>O686*(1-B$621)^($N686)</f>
        <v/>
      </c>
      <c r="U686" s="112">
        <f>IF(N686&lt;=$B$613,T686*$B$615/12,0)</f>
        <v/>
      </c>
      <c r="V686" s="315">
        <f>P686</f>
        <v/>
      </c>
      <c r="W686" s="314" t="n"/>
      <c r="X686" s="315">
        <f>P686</f>
        <v/>
      </c>
      <c r="Y686" s="316">
        <f>S686/$B$612*100</f>
        <v/>
      </c>
      <c r="Z686" s="46" t="n"/>
      <c r="AA686" s="313">
        <f>+V686-I686</f>
        <v/>
      </c>
      <c r="AB686" s="46" t="n"/>
      <c r="AC686" s="46" t="n"/>
      <c r="AD686" s="46" t="n"/>
      <c r="AE686" s="46" t="n"/>
    </row>
    <row r="687">
      <c r="A687" s="73" t="n">
        <v>56</v>
      </c>
      <c r="B687" s="289">
        <f>+F686</f>
        <v/>
      </c>
      <c r="C687" s="287">
        <f>(IF(A687&lt;$B$613,PMT($B$614/12,$B$613,-$B$612,$B$617,$B$620),IF(A687=$B$613,PMT($B$614/12,$B$613,-$B$612,$B$617,$B$620)+$B$617,0)))</f>
        <v/>
      </c>
      <c r="D687" s="289">
        <f>IF(A687&lt;=$B$613,B687*$B$614/12,0)</f>
        <v/>
      </c>
      <c r="E687" s="289">
        <f>C687-D687</f>
        <v/>
      </c>
      <c r="F687" s="314">
        <f>(B687-E687)</f>
        <v/>
      </c>
      <c r="G687" s="112">
        <f>B687*(1-B$621)^($A687)</f>
        <v/>
      </c>
      <c r="H687" s="112">
        <f>IF(A687&lt;=$B$613,G687*$B$614/12,0)</f>
        <v/>
      </c>
      <c r="I687" s="315">
        <f>C687</f>
        <v/>
      </c>
      <c r="J687" s="314" t="n"/>
      <c r="K687" s="315">
        <f>C687</f>
        <v/>
      </c>
      <c r="L687" s="316">
        <f>F687/$B$612*100</f>
        <v/>
      </c>
      <c r="M687" s="317" t="n"/>
      <c r="N687" s="73" t="n">
        <v>56</v>
      </c>
      <c r="O687" s="289">
        <f>+S686</f>
        <v/>
      </c>
      <c r="P687" s="287">
        <f>(IF(N687&lt;$B$613,PMT($B$615/12,$B$613,-$B$612,$B$617,0),IF(N687=$B$613,PMT($B$615/12,$B$613,-$B$612,$B$617,0)+$B$617,0)))</f>
        <v/>
      </c>
      <c r="Q687" s="289">
        <f>IF(N687&lt;=$B$613,O687*$B$615/12,0)</f>
        <v/>
      </c>
      <c r="R687" s="289">
        <f>P687-Q687</f>
        <v/>
      </c>
      <c r="S687" s="314">
        <f>(O687-R687)</f>
        <v/>
      </c>
      <c r="T687" s="112">
        <f>O687*(1-B$621)^($N687)</f>
        <v/>
      </c>
      <c r="U687" s="112">
        <f>IF(N687&lt;=$B$613,T687*$B$615/12,0)</f>
        <v/>
      </c>
      <c r="V687" s="315">
        <f>P687</f>
        <v/>
      </c>
      <c r="W687" s="314" t="n"/>
      <c r="X687" s="315">
        <f>P687</f>
        <v/>
      </c>
      <c r="Y687" s="316">
        <f>S687/$B$612*100</f>
        <v/>
      </c>
      <c r="Z687" s="46" t="n"/>
      <c r="AA687" s="313">
        <f>+V687-I687</f>
        <v/>
      </c>
      <c r="AB687" s="46" t="n"/>
      <c r="AC687" s="46" t="n"/>
      <c r="AD687" s="46" t="n"/>
      <c r="AE687" s="46" t="n"/>
    </row>
    <row r="688">
      <c r="A688" s="73" t="n">
        <v>57</v>
      </c>
      <c r="B688" s="289">
        <f>+F687</f>
        <v/>
      </c>
      <c r="C688" s="287">
        <f>(IF(A688&lt;$B$613,PMT($B$614/12,$B$613,-$B$612,$B$617,$B$620),IF(A688=$B$613,PMT($B$614/12,$B$613,-$B$612,$B$617,$B$620)+$B$617,0)))</f>
        <v/>
      </c>
      <c r="D688" s="289">
        <f>IF(A688&lt;=$B$613,B688*$B$614/12,0)</f>
        <v/>
      </c>
      <c r="E688" s="289">
        <f>C688-D688</f>
        <v/>
      </c>
      <c r="F688" s="314">
        <f>(B688-E688)</f>
        <v/>
      </c>
      <c r="G688" s="112">
        <f>B688*(1-B$621)^($A688)</f>
        <v/>
      </c>
      <c r="H688" s="112">
        <f>IF(A688&lt;=$B$613,G688*$B$614/12,0)</f>
        <v/>
      </c>
      <c r="I688" s="315">
        <f>C688</f>
        <v/>
      </c>
      <c r="J688" s="314" t="n"/>
      <c r="K688" s="315">
        <f>C688</f>
        <v/>
      </c>
      <c r="L688" s="316">
        <f>F688/$B$612*100</f>
        <v/>
      </c>
      <c r="M688" s="317" t="n"/>
      <c r="N688" s="73" t="n">
        <v>57</v>
      </c>
      <c r="O688" s="289">
        <f>+S687</f>
        <v/>
      </c>
      <c r="P688" s="287">
        <f>(IF(N688&lt;$B$613,PMT($B$615/12,$B$613,-$B$612,$B$617,0),IF(N688=$B$613,PMT($B$615/12,$B$613,-$B$612,$B$617,0)+$B$617,0)))</f>
        <v/>
      </c>
      <c r="Q688" s="289">
        <f>IF(N688&lt;=$B$613,O688*$B$615/12,0)</f>
        <v/>
      </c>
      <c r="R688" s="289">
        <f>P688-Q688</f>
        <v/>
      </c>
      <c r="S688" s="314">
        <f>(O688-R688)</f>
        <v/>
      </c>
      <c r="T688" s="112">
        <f>O688*(1-B$621)^($N688)</f>
        <v/>
      </c>
      <c r="U688" s="112">
        <f>IF(N688&lt;=$B$613,T688*$B$615/12,0)</f>
        <v/>
      </c>
      <c r="V688" s="315">
        <f>P688</f>
        <v/>
      </c>
      <c r="W688" s="314" t="n"/>
      <c r="X688" s="315">
        <f>P688</f>
        <v/>
      </c>
      <c r="Y688" s="316">
        <f>S688/$B$612*100</f>
        <v/>
      </c>
      <c r="Z688" s="46" t="n"/>
      <c r="AA688" s="313">
        <f>+V688-I688</f>
        <v/>
      </c>
      <c r="AB688" s="46" t="n"/>
      <c r="AC688" s="46" t="n"/>
      <c r="AD688" s="46" t="n"/>
      <c r="AE688" s="46" t="n"/>
    </row>
    <row r="689">
      <c r="A689" s="73" t="n">
        <v>58</v>
      </c>
      <c r="B689" s="289">
        <f>+F688</f>
        <v/>
      </c>
      <c r="C689" s="287">
        <f>(IF(A689&lt;$B$613,PMT($B$614/12,$B$613,-$B$612,$B$617,$B$620),IF(A689=$B$613,PMT($B$614/12,$B$613,-$B$612,$B$617,$B$620)+$B$617,0)))</f>
        <v/>
      </c>
      <c r="D689" s="289">
        <f>IF(A689&lt;=$B$613,B689*$B$614/12,0)</f>
        <v/>
      </c>
      <c r="E689" s="289">
        <f>C689-D689</f>
        <v/>
      </c>
      <c r="F689" s="314">
        <f>(B689-E689)</f>
        <v/>
      </c>
      <c r="G689" s="112">
        <f>B689*(1-B$621)^($A689)</f>
        <v/>
      </c>
      <c r="H689" s="112">
        <f>IF(A689&lt;=$B$613,G689*$B$614/12,0)</f>
        <v/>
      </c>
      <c r="I689" s="315">
        <f>C689</f>
        <v/>
      </c>
      <c r="J689" s="314" t="n"/>
      <c r="K689" s="315">
        <f>C689</f>
        <v/>
      </c>
      <c r="L689" s="316">
        <f>F689/$B$612*100</f>
        <v/>
      </c>
      <c r="M689" s="317" t="n"/>
      <c r="N689" s="73" t="n">
        <v>58</v>
      </c>
      <c r="O689" s="289">
        <f>+S688</f>
        <v/>
      </c>
      <c r="P689" s="287">
        <f>(IF(N689&lt;$B$613,PMT($B$615/12,$B$613,-$B$612,$B$617,0),IF(N689=$B$613,PMT($B$615/12,$B$613,-$B$612,$B$617,0)+$B$617,0)))</f>
        <v/>
      </c>
      <c r="Q689" s="289">
        <f>IF(N689&lt;=$B$613,O689*$B$615/12,0)</f>
        <v/>
      </c>
      <c r="R689" s="289">
        <f>P689-Q689</f>
        <v/>
      </c>
      <c r="S689" s="314">
        <f>(O689-R689)</f>
        <v/>
      </c>
      <c r="T689" s="112">
        <f>O689*(1-B$621)^($N689)</f>
        <v/>
      </c>
      <c r="U689" s="112">
        <f>IF(N689&lt;=$B$613,T689*$B$615/12,0)</f>
        <v/>
      </c>
      <c r="V689" s="315">
        <f>P689</f>
        <v/>
      </c>
      <c r="W689" s="314" t="n"/>
      <c r="X689" s="315">
        <f>P689</f>
        <v/>
      </c>
      <c r="Y689" s="316">
        <f>S689/$B$612*100</f>
        <v/>
      </c>
      <c r="Z689" s="46" t="n"/>
      <c r="AA689" s="313">
        <f>+V689-I689</f>
        <v/>
      </c>
      <c r="AB689" s="46" t="n"/>
      <c r="AC689" s="46" t="n"/>
      <c r="AD689" s="46" t="n"/>
      <c r="AE689" s="46" t="n"/>
    </row>
    <row r="690">
      <c r="A690" s="73" t="n">
        <v>59</v>
      </c>
      <c r="B690" s="289">
        <f>+F689</f>
        <v/>
      </c>
      <c r="C690" s="287">
        <f>(IF(A690&lt;$B$613,PMT($B$614/12,$B$613,-$B$612,$B$617,$B$620),IF(A690=$B$613,PMT($B$614/12,$B$613,-$B$612,$B$617,$B$620)+$B$617,0)))</f>
        <v/>
      </c>
      <c r="D690" s="289">
        <f>IF(A690&lt;=$B$613,B690*$B$614/12,0)</f>
        <v/>
      </c>
      <c r="E690" s="289">
        <f>C690-D690</f>
        <v/>
      </c>
      <c r="F690" s="314">
        <f>(B690-E690)</f>
        <v/>
      </c>
      <c r="G690" s="112">
        <f>B690*(1-B$621)^($A690)</f>
        <v/>
      </c>
      <c r="H690" s="112">
        <f>IF(A690&lt;=$B$613,G690*$B$614/12,0)</f>
        <v/>
      </c>
      <c r="I690" s="315">
        <f>C690</f>
        <v/>
      </c>
      <c r="J690" s="314" t="n"/>
      <c r="K690" s="315">
        <f>C690</f>
        <v/>
      </c>
      <c r="L690" s="316">
        <f>F690/$B$612*100</f>
        <v/>
      </c>
      <c r="M690" s="317" t="n"/>
      <c r="N690" s="73" t="n">
        <v>59</v>
      </c>
      <c r="O690" s="289">
        <f>+S689</f>
        <v/>
      </c>
      <c r="P690" s="287">
        <f>(IF(N690&lt;$B$613,PMT($B$615/12,$B$613,-$B$612,$B$617,0),IF(N690=$B$613,PMT($B$615/12,$B$613,-$B$612,$B$617,0)+$B$617,0)))</f>
        <v/>
      </c>
      <c r="Q690" s="289">
        <f>IF(N690&lt;=$B$613,O690*$B$615/12,0)</f>
        <v/>
      </c>
      <c r="R690" s="289">
        <f>P690-Q690</f>
        <v/>
      </c>
      <c r="S690" s="314">
        <f>(O690-R690)</f>
        <v/>
      </c>
      <c r="T690" s="112">
        <f>O690*(1-B$621)^($N690)</f>
        <v/>
      </c>
      <c r="U690" s="112">
        <f>IF(N690&lt;=$B$613,T690*$B$615/12,0)</f>
        <v/>
      </c>
      <c r="V690" s="315">
        <f>P690</f>
        <v/>
      </c>
      <c r="W690" s="314" t="n"/>
      <c r="X690" s="315">
        <f>P690</f>
        <v/>
      </c>
      <c r="Y690" s="316">
        <f>S690/$B$612*100</f>
        <v/>
      </c>
      <c r="Z690" s="46" t="n"/>
      <c r="AA690" s="313">
        <f>+V690-I690</f>
        <v/>
      </c>
      <c r="AB690" s="46" t="n"/>
      <c r="AC690" s="46" t="n"/>
      <c r="AD690" s="46" t="n"/>
      <c r="AE690" s="46" t="n"/>
    </row>
    <row r="691">
      <c r="A691" s="73" t="n">
        <v>60</v>
      </c>
      <c r="B691" s="289">
        <f>+F690</f>
        <v/>
      </c>
      <c r="C691" s="287">
        <f>(IF(A691&lt;$B$613,PMT($B$614/12,$B$613,-$B$612,$B$617,$B$620),IF(A691=$B$613,PMT($B$614/12,$B$613,-$B$612,$B$617,$B$620)+$B$617,0)))</f>
        <v/>
      </c>
      <c r="D691" s="289">
        <f>IF(A691&lt;=$B$613,B691*$B$614/12,0)</f>
        <v/>
      </c>
      <c r="E691" s="289">
        <f>C691-D691</f>
        <v/>
      </c>
      <c r="F691" s="314">
        <f>(B691-E691)</f>
        <v/>
      </c>
      <c r="G691" s="112">
        <f>B691*(1-B$621)^($A691)</f>
        <v/>
      </c>
      <c r="H691" s="112">
        <f>IF(A691&lt;=$B$613,G691*$B$614/12,0)</f>
        <v/>
      </c>
      <c r="I691" s="315">
        <f>C691</f>
        <v/>
      </c>
      <c r="J691" s="314" t="n"/>
      <c r="K691" s="315">
        <f>C691</f>
        <v/>
      </c>
      <c r="L691" s="316">
        <f>F691/$B$612*100</f>
        <v/>
      </c>
      <c r="M691" s="317" t="n"/>
      <c r="N691" s="73" t="n">
        <v>60</v>
      </c>
      <c r="O691" s="289">
        <f>+S690</f>
        <v/>
      </c>
      <c r="P691" s="287">
        <f>(IF(N691&lt;$B$613,PMT($B$615/12,$B$613,-$B$612,$B$617,0),IF(N691=$B$613,PMT($B$615/12,$B$613,-$B$612,$B$617,0)+$B$617,0)))</f>
        <v/>
      </c>
      <c r="Q691" s="289">
        <f>IF(N691&lt;=$B$613,O691*$B$615/12,0)</f>
        <v/>
      </c>
      <c r="R691" s="289">
        <f>P691-Q691</f>
        <v/>
      </c>
      <c r="S691" s="314">
        <f>(O691-R691)</f>
        <v/>
      </c>
      <c r="T691" s="112">
        <f>O691*(1-B$621)^($N691)</f>
        <v/>
      </c>
      <c r="U691" s="112">
        <f>IF(N691&lt;=$B$613,T691*$B$615/12,0)</f>
        <v/>
      </c>
      <c r="V691" s="315">
        <f>P691</f>
        <v/>
      </c>
      <c r="W691" s="314" t="n"/>
      <c r="X691" s="315">
        <f>P691</f>
        <v/>
      </c>
      <c r="Y691" s="316">
        <f>S691/$B$612*100</f>
        <v/>
      </c>
      <c r="Z691" s="46" t="n"/>
      <c r="AA691" s="313">
        <f>+V691-I691</f>
        <v/>
      </c>
      <c r="AB691" s="46" t="n"/>
      <c r="AC691" s="46" t="n"/>
      <c r="AD691" s="46" t="n"/>
      <c r="AE691" s="46" t="n"/>
    </row>
    <row r="692">
      <c r="A692" s="73" t="n">
        <v>61</v>
      </c>
      <c r="B692" s="289">
        <f>+F691</f>
        <v/>
      </c>
      <c r="C692" s="287">
        <f>(IF(A692&lt;$B$613,PMT($B$614/12,$B$613,-$B$612,$B$617,$B$620),IF(A692=$B$613,PMT($B$614/12,$B$613,-$B$612,$B$617,$B$620)+$B$617,0)))</f>
        <v/>
      </c>
      <c r="D692" s="289">
        <f>IF(A692&lt;=$B$613,B692*$B$614/12,0)</f>
        <v/>
      </c>
      <c r="E692" s="289">
        <f>C692-D692</f>
        <v/>
      </c>
      <c r="F692" s="314">
        <f>(B692-E692)</f>
        <v/>
      </c>
      <c r="G692" s="112">
        <f>B692*(1-B$621)^($A692)</f>
        <v/>
      </c>
      <c r="H692" s="112">
        <f>IF(A692&lt;=$B$613,G692*$B$614/12,0)</f>
        <v/>
      </c>
      <c r="I692" s="315">
        <f>C692</f>
        <v/>
      </c>
      <c r="J692" s="314" t="n"/>
      <c r="K692" s="315">
        <f>C692</f>
        <v/>
      </c>
      <c r="L692" s="316">
        <f>F692/$B$612*100</f>
        <v/>
      </c>
      <c r="M692" s="317" t="n"/>
      <c r="N692" s="73" t="n">
        <v>61</v>
      </c>
      <c r="O692" s="289">
        <f>+S691</f>
        <v/>
      </c>
      <c r="P692" s="287">
        <f>(IF(N692&lt;$B$613,PMT($B$615/12,$B$613,-$B$612,$B$617,0),IF(N692=$B$613,PMT($B$615/12,$B$613,-$B$612,$B$617,0)+$B$617,0)))</f>
        <v/>
      </c>
      <c r="Q692" s="289">
        <f>IF(N692&lt;=$B$613,O692*$B$615/12,0)</f>
        <v/>
      </c>
      <c r="R692" s="289">
        <f>P692-Q692</f>
        <v/>
      </c>
      <c r="S692" s="314">
        <f>(O692-R692)</f>
        <v/>
      </c>
      <c r="T692" s="112">
        <f>O692*(1-B$621)^($N692)</f>
        <v/>
      </c>
      <c r="U692" s="112">
        <f>IF(N692&lt;=$B$613,T692*$B$615/12,0)</f>
        <v/>
      </c>
      <c r="V692" s="315">
        <f>P692</f>
        <v/>
      </c>
      <c r="W692" s="314" t="n"/>
      <c r="X692" s="315">
        <f>P692</f>
        <v/>
      </c>
      <c r="Y692" s="316">
        <f>S692/$B$612*100</f>
        <v/>
      </c>
      <c r="Z692" s="46" t="n"/>
      <c r="AA692" s="313">
        <f>+V692-I692</f>
        <v/>
      </c>
      <c r="AB692" s="46" t="n"/>
      <c r="AC692" s="46" t="n"/>
      <c r="AD692" s="46" t="n"/>
      <c r="AE692" s="46" t="n"/>
    </row>
    <row r="693">
      <c r="A693" s="73" t="n">
        <v>62</v>
      </c>
      <c r="B693" s="289">
        <f>+F692</f>
        <v/>
      </c>
      <c r="C693" s="287">
        <f>(IF(A693&lt;$B$613,PMT($B$614/12,$B$613,-$B$612,$B$617,$B$620),IF(A693=$B$613,PMT($B$614/12,$B$613,-$B$612,$B$617,$B$620)+$B$617,0)))</f>
        <v/>
      </c>
      <c r="D693" s="289">
        <f>IF(A693&lt;=$B$613,B693*$B$614/12,0)</f>
        <v/>
      </c>
      <c r="E693" s="289">
        <f>C693-D693</f>
        <v/>
      </c>
      <c r="F693" s="314">
        <f>(B693-E693)</f>
        <v/>
      </c>
      <c r="G693" s="112">
        <f>B693*(1-B$621)^($A693)</f>
        <v/>
      </c>
      <c r="H693" s="112">
        <f>IF(A693&lt;=$B$613,G693*$B$614/12,0)</f>
        <v/>
      </c>
      <c r="I693" s="315">
        <f>C693</f>
        <v/>
      </c>
      <c r="J693" s="314" t="n"/>
      <c r="K693" s="315">
        <f>C693</f>
        <v/>
      </c>
      <c r="L693" s="316">
        <f>F693/$B$612*100</f>
        <v/>
      </c>
      <c r="M693" s="317" t="n"/>
      <c r="N693" s="73" t="n">
        <v>62</v>
      </c>
      <c r="O693" s="289">
        <f>+S692</f>
        <v/>
      </c>
      <c r="P693" s="287">
        <f>(IF(N693&lt;$B$613,PMT($B$615/12,$B$613,-$B$612,$B$617,0),IF(N693=$B$613,PMT($B$615/12,$B$613,-$B$612,$B$617,0)+$B$617,0)))</f>
        <v/>
      </c>
      <c r="Q693" s="289">
        <f>IF(N693&lt;=$B$613,O693*$B$615/12,0)</f>
        <v/>
      </c>
      <c r="R693" s="289">
        <f>P693-Q693</f>
        <v/>
      </c>
      <c r="S693" s="314">
        <f>(O693-R693)</f>
        <v/>
      </c>
      <c r="T693" s="112">
        <f>O693*(1-B$621)^($N693)</f>
        <v/>
      </c>
      <c r="U693" s="112">
        <f>IF(N693&lt;=$B$613,T693*$B$615/12,0)</f>
        <v/>
      </c>
      <c r="V693" s="315">
        <f>P693</f>
        <v/>
      </c>
      <c r="W693" s="314" t="n"/>
      <c r="X693" s="315">
        <f>P693</f>
        <v/>
      </c>
      <c r="Y693" s="316">
        <f>S693/$B$612*100</f>
        <v/>
      </c>
      <c r="Z693" s="46" t="n"/>
      <c r="AA693" s="313">
        <f>+V693-I693</f>
        <v/>
      </c>
      <c r="AB693" s="46" t="n"/>
      <c r="AC693" s="46" t="n"/>
      <c r="AD693" s="46" t="n"/>
      <c r="AE693" s="46" t="n"/>
    </row>
    <row r="694">
      <c r="A694" s="73" t="n">
        <v>63</v>
      </c>
      <c r="B694" s="289">
        <f>+F693</f>
        <v/>
      </c>
      <c r="C694" s="287">
        <f>(IF(A694&lt;$B$613,PMT($B$614/12,$B$613,-$B$612,$B$617,$B$620),IF(A694=$B$613,PMT($B$614/12,$B$613,-$B$612,$B$617,$B$620)+$B$617,0)))</f>
        <v/>
      </c>
      <c r="D694" s="289">
        <f>IF(A694&lt;=$B$613,B694*$B$614/12,0)</f>
        <v/>
      </c>
      <c r="E694" s="289">
        <f>C694-D694</f>
        <v/>
      </c>
      <c r="F694" s="314">
        <f>(B694-E694)</f>
        <v/>
      </c>
      <c r="G694" s="112">
        <f>B694*(1-B$621)^($A694)</f>
        <v/>
      </c>
      <c r="H694" s="112">
        <f>IF(A694&lt;=$B$613,G694*$B$614/12,0)</f>
        <v/>
      </c>
      <c r="I694" s="315">
        <f>C694</f>
        <v/>
      </c>
      <c r="J694" s="314" t="n"/>
      <c r="K694" s="315">
        <f>C694</f>
        <v/>
      </c>
      <c r="L694" s="316">
        <f>F694/$B$612*100</f>
        <v/>
      </c>
      <c r="M694" s="317" t="n"/>
      <c r="N694" s="73" t="n">
        <v>63</v>
      </c>
      <c r="O694" s="289">
        <f>+S693</f>
        <v/>
      </c>
      <c r="P694" s="287">
        <f>(IF(N694&lt;$B$613,PMT($B$615/12,$B$613,-$B$612,$B$617,0),IF(N694=$B$613,PMT($B$615/12,$B$613,-$B$612,$B$617,0)+$B$617,0)))</f>
        <v/>
      </c>
      <c r="Q694" s="289">
        <f>IF(N694&lt;=$B$613,O694*$B$615/12,0)</f>
        <v/>
      </c>
      <c r="R694" s="289">
        <f>P694-Q694</f>
        <v/>
      </c>
      <c r="S694" s="314">
        <f>(O694-R694)</f>
        <v/>
      </c>
      <c r="T694" s="112">
        <f>O694*(1-B$621)^($N694)</f>
        <v/>
      </c>
      <c r="U694" s="112">
        <f>IF(N694&lt;=$B$613,T694*$B$615/12,0)</f>
        <v/>
      </c>
      <c r="V694" s="315">
        <f>P694</f>
        <v/>
      </c>
      <c r="W694" s="314" t="n"/>
      <c r="X694" s="315">
        <f>P694</f>
        <v/>
      </c>
      <c r="Y694" s="316">
        <f>S694/$B$612*100</f>
        <v/>
      </c>
      <c r="Z694" s="46" t="n"/>
      <c r="AA694" s="313">
        <f>+V694-I694</f>
        <v/>
      </c>
      <c r="AB694" s="46" t="n"/>
      <c r="AC694" s="46" t="n"/>
      <c r="AD694" s="46" t="n"/>
      <c r="AE694" s="46" t="n"/>
    </row>
    <row r="695">
      <c r="A695" s="73" t="n">
        <v>64</v>
      </c>
      <c r="B695" s="289">
        <f>+F694</f>
        <v/>
      </c>
      <c r="C695" s="287">
        <f>(IF(A695&lt;$B$613,PMT($B$614/12,$B$613,-$B$612,$B$617,$B$620),IF(A695=$B$613,PMT($B$614/12,$B$613,-$B$612,$B$617,$B$620)+$B$617,0)))</f>
        <v/>
      </c>
      <c r="D695" s="289">
        <f>IF(A695&lt;=$B$613,B695*$B$614/12,0)</f>
        <v/>
      </c>
      <c r="E695" s="289">
        <f>C695-D695</f>
        <v/>
      </c>
      <c r="F695" s="314">
        <f>(B695-E695)</f>
        <v/>
      </c>
      <c r="G695" s="112">
        <f>B695*(1-B$621)^($A695)</f>
        <v/>
      </c>
      <c r="H695" s="112">
        <f>IF(A695&lt;=$B$613,G695*$B$614/12,0)</f>
        <v/>
      </c>
      <c r="I695" s="315">
        <f>C695</f>
        <v/>
      </c>
      <c r="J695" s="314" t="n"/>
      <c r="K695" s="315">
        <f>C695</f>
        <v/>
      </c>
      <c r="L695" s="316">
        <f>F695/$B$612*100</f>
        <v/>
      </c>
      <c r="M695" s="317" t="n"/>
      <c r="N695" s="73" t="n">
        <v>64</v>
      </c>
      <c r="O695" s="289">
        <f>+S694</f>
        <v/>
      </c>
      <c r="P695" s="287">
        <f>(IF(N695&lt;$B$613,PMT($B$615/12,$B$613,-$B$612,$B$617,0),IF(N695=$B$613,PMT($B$615/12,$B$613,-$B$612,$B$617,0)+$B$617,0)))</f>
        <v/>
      </c>
      <c r="Q695" s="289">
        <f>IF(N695&lt;=$B$613,O695*$B$615/12,0)</f>
        <v/>
      </c>
      <c r="R695" s="289">
        <f>P695-Q695</f>
        <v/>
      </c>
      <c r="S695" s="314">
        <f>(O695-R695)</f>
        <v/>
      </c>
      <c r="T695" s="112">
        <f>O695*(1-B$621)^($N695)</f>
        <v/>
      </c>
      <c r="U695" s="112">
        <f>IF(N695&lt;=$B$613,T695*$B$615/12,0)</f>
        <v/>
      </c>
      <c r="V695" s="315">
        <f>P695</f>
        <v/>
      </c>
      <c r="W695" s="314" t="n"/>
      <c r="X695" s="315">
        <f>P695</f>
        <v/>
      </c>
      <c r="Y695" s="316">
        <f>S695/$B$612*100</f>
        <v/>
      </c>
      <c r="Z695" s="46" t="n"/>
      <c r="AA695" s="313">
        <f>+V695-I695</f>
        <v/>
      </c>
      <c r="AB695" s="46" t="n"/>
      <c r="AC695" s="46" t="n"/>
      <c r="AD695" s="46" t="n"/>
      <c r="AE695" s="46" t="n"/>
    </row>
    <row r="696">
      <c r="A696" s="73" t="n">
        <v>65</v>
      </c>
      <c r="B696" s="289">
        <f>+F695</f>
        <v/>
      </c>
      <c r="C696" s="287">
        <f>(IF(A696&lt;$B$613,PMT($B$614/12,$B$613,-$B$612,$B$617,$B$620),IF(A696=$B$613,PMT($B$614/12,$B$613,-$B$612,$B$617,$B$620)+$B$617,0)))</f>
        <v/>
      </c>
      <c r="D696" s="289">
        <f>IF(A696&lt;=$B$613,B696*$B$614/12,0)</f>
        <v/>
      </c>
      <c r="E696" s="289">
        <f>C696-D696</f>
        <v/>
      </c>
      <c r="F696" s="314">
        <f>(B696-E696)</f>
        <v/>
      </c>
      <c r="G696" s="112">
        <f>B696*(1-B$621)^($A696)</f>
        <v/>
      </c>
      <c r="H696" s="112">
        <f>IF(A696&lt;=$B$613,G696*$B$614/12,0)</f>
        <v/>
      </c>
      <c r="I696" s="315">
        <f>C696</f>
        <v/>
      </c>
      <c r="J696" s="314" t="n"/>
      <c r="K696" s="315">
        <f>C696</f>
        <v/>
      </c>
      <c r="L696" s="316">
        <f>F696/$B$612*100</f>
        <v/>
      </c>
      <c r="M696" s="317" t="n"/>
      <c r="N696" s="73" t="n">
        <v>65</v>
      </c>
      <c r="O696" s="289">
        <f>+S695</f>
        <v/>
      </c>
      <c r="P696" s="287">
        <f>(IF(N696&lt;$B$613,PMT($B$615/12,$B$613,-$B$612,$B$617,0),IF(N696=$B$613,PMT($B$615/12,$B$613,-$B$612,$B$617,0)+$B$617,0)))</f>
        <v/>
      </c>
      <c r="Q696" s="289">
        <f>IF(N696&lt;=$B$613,O696*$B$615/12,0)</f>
        <v/>
      </c>
      <c r="R696" s="289">
        <f>P696-Q696</f>
        <v/>
      </c>
      <c r="S696" s="314">
        <f>(O696-R696)</f>
        <v/>
      </c>
      <c r="T696" s="112">
        <f>O696*(1-B$621)^($N696)</f>
        <v/>
      </c>
      <c r="U696" s="112">
        <f>IF(N696&lt;=$B$613,T696*$B$615/12,0)</f>
        <v/>
      </c>
      <c r="V696" s="315">
        <f>P696</f>
        <v/>
      </c>
      <c r="W696" s="314" t="n"/>
      <c r="X696" s="315">
        <f>P696</f>
        <v/>
      </c>
      <c r="Y696" s="316">
        <f>S696/$B$612*100</f>
        <v/>
      </c>
      <c r="Z696" s="46" t="n"/>
      <c r="AA696" s="313">
        <f>+V696-I696</f>
        <v/>
      </c>
      <c r="AB696" s="46" t="n"/>
      <c r="AC696" s="46" t="n"/>
      <c r="AD696" s="46" t="n"/>
      <c r="AE696" s="46" t="n"/>
    </row>
    <row r="697">
      <c r="A697" s="73" t="n">
        <v>66</v>
      </c>
      <c r="B697" s="289">
        <f>+F696</f>
        <v/>
      </c>
      <c r="C697" s="287">
        <f>(IF(A697&lt;$B$613,PMT($B$614/12,$B$613,-$B$612,$B$617,$B$620),IF(A697=$B$613,PMT($B$614/12,$B$613,-$B$612,$B$617,$B$620)+$B$617,0)))</f>
        <v/>
      </c>
      <c r="D697" s="289">
        <f>IF(A697&lt;=$B$613,B697*$B$614/12,0)</f>
        <v/>
      </c>
      <c r="E697" s="289">
        <f>C697-D697</f>
        <v/>
      </c>
      <c r="F697" s="314">
        <f>(B697-E697)</f>
        <v/>
      </c>
      <c r="G697" s="112">
        <f>B697*(1-B$621)^($A697)</f>
        <v/>
      </c>
      <c r="H697" s="112">
        <f>IF(A697&lt;=$B$613,G697*$B$614/12,0)</f>
        <v/>
      </c>
      <c r="I697" s="315">
        <f>C697</f>
        <v/>
      </c>
      <c r="J697" s="314" t="n"/>
      <c r="K697" s="315">
        <f>C697</f>
        <v/>
      </c>
      <c r="L697" s="316">
        <f>F697/$B$612*100</f>
        <v/>
      </c>
      <c r="M697" s="317" t="n"/>
      <c r="N697" s="73" t="n">
        <v>66</v>
      </c>
      <c r="O697" s="289">
        <f>+S696</f>
        <v/>
      </c>
      <c r="P697" s="287">
        <f>(IF(N697&lt;$B$613,PMT($B$615/12,$B$613,-$B$612,$B$617,0),IF(N697=$B$613,PMT($B$615/12,$B$613,-$B$612,$B$617,0)+$B$617,0)))</f>
        <v/>
      </c>
      <c r="Q697" s="289">
        <f>IF(N697&lt;=$B$613,O697*$B$615/12,0)</f>
        <v/>
      </c>
      <c r="R697" s="289">
        <f>P697-Q697</f>
        <v/>
      </c>
      <c r="S697" s="314">
        <f>(O697-R697)</f>
        <v/>
      </c>
      <c r="T697" s="112">
        <f>O697*(1-B$621)^($N697)</f>
        <v/>
      </c>
      <c r="U697" s="112">
        <f>IF(N697&lt;=$B$613,T697*$B$615/12,0)</f>
        <v/>
      </c>
      <c r="V697" s="315">
        <f>P697</f>
        <v/>
      </c>
      <c r="W697" s="314" t="n"/>
      <c r="X697" s="315">
        <f>P697</f>
        <v/>
      </c>
      <c r="Y697" s="316">
        <f>S697/$B$612*100</f>
        <v/>
      </c>
      <c r="Z697" s="46" t="n"/>
      <c r="AA697" s="313">
        <f>+V697-I697</f>
        <v/>
      </c>
      <c r="AB697" s="46" t="n"/>
      <c r="AC697" s="46" t="n"/>
      <c r="AD697" s="46" t="n"/>
      <c r="AE697" s="46" t="n"/>
    </row>
    <row r="698">
      <c r="A698" s="73" t="n">
        <v>67</v>
      </c>
      <c r="B698" s="289">
        <f>+F697</f>
        <v/>
      </c>
      <c r="C698" s="287">
        <f>(IF(A698&lt;$B$613,PMT($B$614/12,$B$613,-$B$612,$B$617,$B$620),IF(A698=$B$613,PMT($B$614/12,$B$613,-$B$612,$B$617,$B$620)+$B$617,0)))</f>
        <v/>
      </c>
      <c r="D698" s="289">
        <f>IF(A698&lt;=$B$613,B698*$B$614/12,0)</f>
        <v/>
      </c>
      <c r="E698" s="289">
        <f>C698-D698</f>
        <v/>
      </c>
      <c r="F698" s="314">
        <f>(B698-E698)</f>
        <v/>
      </c>
      <c r="G698" s="112">
        <f>B698*(1-B$621)^($A698)</f>
        <v/>
      </c>
      <c r="H698" s="112">
        <f>IF(A698&lt;=$B$613,G698*$B$614/12,0)</f>
        <v/>
      </c>
      <c r="I698" s="315">
        <f>C698</f>
        <v/>
      </c>
      <c r="J698" s="314" t="n"/>
      <c r="K698" s="315">
        <f>C698</f>
        <v/>
      </c>
      <c r="L698" s="316">
        <f>F698/$B$612*100</f>
        <v/>
      </c>
      <c r="M698" s="317" t="n"/>
      <c r="N698" s="73" t="n">
        <v>67</v>
      </c>
      <c r="O698" s="289">
        <f>+S697</f>
        <v/>
      </c>
      <c r="P698" s="287">
        <f>(IF(N698&lt;$B$613,PMT($B$615/12,$B$613,-$B$612,$B$617,0),IF(N698=$B$613,PMT($B$615/12,$B$613,-$B$612,$B$617,0)+$B$617,0)))</f>
        <v/>
      </c>
      <c r="Q698" s="289">
        <f>IF(N698&lt;=$B$613,O698*$B$615/12,0)</f>
        <v/>
      </c>
      <c r="R698" s="289">
        <f>P698-Q698</f>
        <v/>
      </c>
      <c r="S698" s="314">
        <f>(O698-R698)</f>
        <v/>
      </c>
      <c r="T698" s="112">
        <f>O698*(1-B$621)^($N698)</f>
        <v/>
      </c>
      <c r="U698" s="112">
        <f>IF(N698&lt;=$B$613,T698*$B$615/12,0)</f>
        <v/>
      </c>
      <c r="V698" s="315">
        <f>P698</f>
        <v/>
      </c>
      <c r="W698" s="314" t="n"/>
      <c r="X698" s="315">
        <f>P698</f>
        <v/>
      </c>
      <c r="Y698" s="316">
        <f>S698/$B$612*100</f>
        <v/>
      </c>
      <c r="Z698" s="46" t="n"/>
      <c r="AA698" s="313">
        <f>+V698-I698</f>
        <v/>
      </c>
      <c r="AB698" s="46" t="n"/>
      <c r="AC698" s="46" t="n"/>
      <c r="AD698" s="46" t="n"/>
      <c r="AE698" s="46" t="n"/>
    </row>
    <row r="699">
      <c r="A699" s="73" t="n">
        <v>68</v>
      </c>
      <c r="B699" s="289">
        <f>+F698</f>
        <v/>
      </c>
      <c r="C699" s="287">
        <f>(IF(A699&lt;$B$613,PMT($B$614/12,$B$613,-$B$612,$B$617,$B$620),IF(A699=$B$613,PMT($B$614/12,$B$613,-$B$612,$B$617,$B$620)+$B$617,0)))</f>
        <v/>
      </c>
      <c r="D699" s="289">
        <f>IF(A699&lt;=$B$613,B699*$B$614/12,0)</f>
        <v/>
      </c>
      <c r="E699" s="289">
        <f>C699-D699</f>
        <v/>
      </c>
      <c r="F699" s="314">
        <f>(B699-E699)</f>
        <v/>
      </c>
      <c r="G699" s="112">
        <f>B699*(1-B$621)^($A699)</f>
        <v/>
      </c>
      <c r="H699" s="112">
        <f>IF(A699&lt;=$B$613,G699*$B$614/12,0)</f>
        <v/>
      </c>
      <c r="I699" s="315">
        <f>C699</f>
        <v/>
      </c>
      <c r="J699" s="314" t="n"/>
      <c r="K699" s="315">
        <f>C699</f>
        <v/>
      </c>
      <c r="L699" s="316">
        <f>F699/$B$612*100</f>
        <v/>
      </c>
      <c r="M699" s="317" t="n"/>
      <c r="N699" s="73" t="n">
        <v>68</v>
      </c>
      <c r="O699" s="289">
        <f>+S698</f>
        <v/>
      </c>
      <c r="P699" s="287">
        <f>(IF(N699&lt;$B$613,PMT($B$615/12,$B$613,-$B$612,$B$617,0),IF(N699=$B$613,PMT($B$615/12,$B$613,-$B$612,$B$617,0)+$B$617,0)))</f>
        <v/>
      </c>
      <c r="Q699" s="289">
        <f>IF(N699&lt;=$B$613,O699*$B$615/12,0)</f>
        <v/>
      </c>
      <c r="R699" s="289">
        <f>P699-Q699</f>
        <v/>
      </c>
      <c r="S699" s="314">
        <f>(O699-R699)</f>
        <v/>
      </c>
      <c r="T699" s="112">
        <f>O699*(1-B$621)^($N699)</f>
        <v/>
      </c>
      <c r="U699" s="112">
        <f>IF(N699&lt;=$B$613,T699*$B$615/12,0)</f>
        <v/>
      </c>
      <c r="V699" s="315">
        <f>P699</f>
        <v/>
      </c>
      <c r="W699" s="314" t="n"/>
      <c r="X699" s="315">
        <f>P699</f>
        <v/>
      </c>
      <c r="Y699" s="316">
        <f>S699/$B$612*100</f>
        <v/>
      </c>
      <c r="Z699" s="46" t="n"/>
      <c r="AA699" s="313">
        <f>+V699-I699</f>
        <v/>
      </c>
      <c r="AB699" s="46" t="n"/>
      <c r="AC699" s="46" t="n"/>
      <c r="AD699" s="46" t="n"/>
      <c r="AE699" s="46" t="n"/>
    </row>
    <row r="700">
      <c r="A700" s="73" t="n">
        <v>69</v>
      </c>
      <c r="B700" s="289">
        <f>+F699</f>
        <v/>
      </c>
      <c r="C700" s="287">
        <f>(IF(A700&lt;$B$613,PMT($B$614/12,$B$613,-$B$612,$B$617,$B$620),IF(A700=$B$613,PMT($B$614/12,$B$613,-$B$612,$B$617,$B$620)+$B$617,0)))</f>
        <v/>
      </c>
      <c r="D700" s="289">
        <f>IF(A700&lt;=$B$613,B700*$B$614/12,0)</f>
        <v/>
      </c>
      <c r="E700" s="289">
        <f>C700-D700</f>
        <v/>
      </c>
      <c r="F700" s="314">
        <f>(B700-E700)</f>
        <v/>
      </c>
      <c r="G700" s="112">
        <f>B700*(1-B$621)^($A700)</f>
        <v/>
      </c>
      <c r="H700" s="112">
        <f>IF(A700&lt;=$B$613,G700*$B$614/12,0)</f>
        <v/>
      </c>
      <c r="I700" s="315">
        <f>C700</f>
        <v/>
      </c>
      <c r="J700" s="314" t="n"/>
      <c r="K700" s="315">
        <f>C700</f>
        <v/>
      </c>
      <c r="L700" s="316">
        <f>F700/$B$612*100</f>
        <v/>
      </c>
      <c r="M700" s="317" t="n"/>
      <c r="N700" s="73" t="n">
        <v>69</v>
      </c>
      <c r="O700" s="289">
        <f>+S699</f>
        <v/>
      </c>
      <c r="P700" s="287">
        <f>(IF(N700&lt;$B$613,PMT($B$615/12,$B$613,-$B$612,$B$617,0),IF(N700=$B$613,PMT($B$615/12,$B$613,-$B$612,$B$617,0)+$B$617,0)))</f>
        <v/>
      </c>
      <c r="Q700" s="289">
        <f>IF(N700&lt;=$B$613,O700*$B$615/12,0)</f>
        <v/>
      </c>
      <c r="R700" s="289">
        <f>P700-Q700</f>
        <v/>
      </c>
      <c r="S700" s="314">
        <f>(O700-R700)</f>
        <v/>
      </c>
      <c r="T700" s="112">
        <f>O700*(1-B$621)^($N700)</f>
        <v/>
      </c>
      <c r="U700" s="112">
        <f>IF(N700&lt;=$B$613,T700*$B$615/12,0)</f>
        <v/>
      </c>
      <c r="V700" s="315">
        <f>P700</f>
        <v/>
      </c>
      <c r="W700" s="314" t="n"/>
      <c r="X700" s="315">
        <f>P700</f>
        <v/>
      </c>
      <c r="Y700" s="316">
        <f>S700/$B$612*100</f>
        <v/>
      </c>
      <c r="Z700" s="46" t="n"/>
      <c r="AA700" s="313">
        <f>+V700-I700</f>
        <v/>
      </c>
      <c r="AB700" s="46" t="n"/>
      <c r="AC700" s="46" t="n"/>
      <c r="AD700" s="46" t="n"/>
      <c r="AE700" s="46" t="n"/>
    </row>
    <row r="701">
      <c r="A701" s="73" t="n">
        <v>70</v>
      </c>
      <c r="B701" s="289">
        <f>+F700</f>
        <v/>
      </c>
      <c r="C701" s="287">
        <f>(IF(A701&lt;$B$613,PMT($B$614/12,$B$613,-$B$612,$B$617,$B$620),IF(A701=$B$613,PMT($B$614/12,$B$613,-$B$612,$B$617,$B$620)+$B$617,0)))</f>
        <v/>
      </c>
      <c r="D701" s="289">
        <f>IF(A701&lt;=$B$613,B701*$B$614/12,0)</f>
        <v/>
      </c>
      <c r="E701" s="289">
        <f>C701-D701</f>
        <v/>
      </c>
      <c r="F701" s="314">
        <f>(B701-E701)</f>
        <v/>
      </c>
      <c r="G701" s="112">
        <f>B701*(1-B$621)^($A701)</f>
        <v/>
      </c>
      <c r="H701" s="112">
        <f>IF(A701&lt;=$B$613,G701*$B$614/12,0)</f>
        <v/>
      </c>
      <c r="I701" s="315">
        <f>C701</f>
        <v/>
      </c>
      <c r="J701" s="314" t="n"/>
      <c r="K701" s="315">
        <f>C701</f>
        <v/>
      </c>
      <c r="L701" s="316">
        <f>F701/$B$612*100</f>
        <v/>
      </c>
      <c r="M701" s="317" t="n"/>
      <c r="N701" s="73" t="n">
        <v>70</v>
      </c>
      <c r="O701" s="289">
        <f>+S700</f>
        <v/>
      </c>
      <c r="P701" s="287">
        <f>(IF(N701&lt;$B$613,PMT($B$615/12,$B$613,-$B$612,$B$617,0),IF(N701=$B$613,PMT($B$615/12,$B$613,-$B$612,$B$617,0)+$B$617,0)))</f>
        <v/>
      </c>
      <c r="Q701" s="289">
        <f>IF(N701&lt;=$B$613,O701*$B$615/12,0)</f>
        <v/>
      </c>
      <c r="R701" s="289">
        <f>P701-Q701</f>
        <v/>
      </c>
      <c r="S701" s="314">
        <f>(O701-R701)</f>
        <v/>
      </c>
      <c r="T701" s="112">
        <f>O701*(1-B$621)^($N701)</f>
        <v/>
      </c>
      <c r="U701" s="112">
        <f>IF(N701&lt;=$B$613,T701*$B$615/12,0)</f>
        <v/>
      </c>
      <c r="V701" s="315">
        <f>P701</f>
        <v/>
      </c>
      <c r="W701" s="314" t="n"/>
      <c r="X701" s="315">
        <f>P701</f>
        <v/>
      </c>
      <c r="Y701" s="316">
        <f>S701/$B$612*100</f>
        <v/>
      </c>
      <c r="Z701" s="46" t="n"/>
      <c r="AA701" s="313">
        <f>+V701-I701</f>
        <v/>
      </c>
      <c r="AB701" s="46" t="n"/>
      <c r="AC701" s="46" t="n"/>
      <c r="AD701" s="46" t="n"/>
      <c r="AE701" s="46" t="n"/>
    </row>
    <row r="702">
      <c r="A702" s="73" t="n">
        <v>71</v>
      </c>
      <c r="B702" s="289">
        <f>+F701</f>
        <v/>
      </c>
      <c r="C702" s="287">
        <f>(IF(A702&lt;$B$613,PMT($B$614/12,$B$613,-$B$612,$B$617,$B$620),IF(A702=$B$613,PMT($B$614/12,$B$613,-$B$612,$B$617,$B$620)+$B$617,0)))</f>
        <v/>
      </c>
      <c r="D702" s="289">
        <f>IF(A702&lt;=$B$613,B702*$B$614/12,0)</f>
        <v/>
      </c>
      <c r="E702" s="289">
        <f>C702-D702</f>
        <v/>
      </c>
      <c r="F702" s="314">
        <f>(B702-E702)</f>
        <v/>
      </c>
      <c r="G702" s="112">
        <f>B702*(1-B$621)^($A702)</f>
        <v/>
      </c>
      <c r="H702" s="112">
        <f>IF(A702&lt;=$B$613,G702*$B$614/12,0)</f>
        <v/>
      </c>
      <c r="I702" s="315">
        <f>C702</f>
        <v/>
      </c>
      <c r="J702" s="314" t="n"/>
      <c r="K702" s="315">
        <f>C702</f>
        <v/>
      </c>
      <c r="L702" s="316">
        <f>F702/$B$612*100</f>
        <v/>
      </c>
      <c r="M702" s="317" t="n"/>
      <c r="N702" s="73" t="n">
        <v>71</v>
      </c>
      <c r="O702" s="289">
        <f>+S701</f>
        <v/>
      </c>
      <c r="P702" s="287">
        <f>(IF(N702&lt;$B$613,PMT($B$615/12,$B$613,-$B$612,$B$617,0),IF(N702=$B$613,PMT($B$615/12,$B$613,-$B$612,$B$617,0)+$B$617,0)))</f>
        <v/>
      </c>
      <c r="Q702" s="289">
        <f>IF(N702&lt;=$B$613,O702*$B$615/12,0)</f>
        <v/>
      </c>
      <c r="R702" s="289">
        <f>P702-Q702</f>
        <v/>
      </c>
      <c r="S702" s="314">
        <f>(O702-R702)</f>
        <v/>
      </c>
      <c r="T702" s="112">
        <f>O702*(1-B$621)^($N702)</f>
        <v/>
      </c>
      <c r="U702" s="112">
        <f>IF(N702&lt;=$B$613,T702*$B$615/12,0)</f>
        <v/>
      </c>
      <c r="V702" s="315">
        <f>P702</f>
        <v/>
      </c>
      <c r="W702" s="314" t="n"/>
      <c r="X702" s="315">
        <f>P702</f>
        <v/>
      </c>
      <c r="Y702" s="316">
        <f>S702/$B$612*100</f>
        <v/>
      </c>
      <c r="Z702" s="46" t="n"/>
      <c r="AA702" s="313">
        <f>+V702-I702</f>
        <v/>
      </c>
      <c r="AB702" s="46" t="n"/>
      <c r="AC702" s="46" t="n"/>
      <c r="AD702" s="46" t="n"/>
      <c r="AE702" s="46" t="n"/>
    </row>
    <row r="703">
      <c r="A703" s="73" t="n">
        <v>72</v>
      </c>
      <c r="B703" s="289">
        <f>+F702</f>
        <v/>
      </c>
      <c r="C703" s="287">
        <f>(IF(A703&lt;$B$613,PMT($B$614/12,$B$613,-$B$612,$B$617,$B$620),IF(A703=$B$613,PMT($B$614/12,$B$613,-$B$612,$B$617,$B$620)+$B$617,0)))</f>
        <v/>
      </c>
      <c r="D703" s="289">
        <f>IF(A703&lt;=$B$613,B703*$B$614/12,0)</f>
        <v/>
      </c>
      <c r="E703" s="289">
        <f>C703-D703</f>
        <v/>
      </c>
      <c r="F703" s="314">
        <f>(B703-E703)</f>
        <v/>
      </c>
      <c r="G703" s="112">
        <f>B703*(1-B$621)^($A703)</f>
        <v/>
      </c>
      <c r="H703" s="112">
        <f>IF(A703&lt;=$B$613,G703*$B$614/12,0)</f>
        <v/>
      </c>
      <c r="I703" s="315">
        <f>C703</f>
        <v/>
      </c>
      <c r="J703" s="314" t="n"/>
      <c r="K703" s="315">
        <f>C703</f>
        <v/>
      </c>
      <c r="L703" s="316">
        <f>F703/$B$612*100</f>
        <v/>
      </c>
      <c r="M703" s="317" t="n"/>
      <c r="N703" s="73" t="n">
        <v>72</v>
      </c>
      <c r="O703" s="289">
        <f>+S702</f>
        <v/>
      </c>
      <c r="P703" s="287">
        <f>(IF(N703&lt;$B$613,PMT($B$615/12,$B$613,-$B$612,$B$617,0),IF(N703=$B$613,PMT($B$615/12,$B$613,-$B$612,$B$617,0)+$B$617,0)))</f>
        <v/>
      </c>
      <c r="Q703" s="289">
        <f>IF(N703&lt;=$B$613,O703*$B$615/12,0)</f>
        <v/>
      </c>
      <c r="R703" s="289">
        <f>P703-Q703</f>
        <v/>
      </c>
      <c r="S703" s="314">
        <f>(O703-R703)</f>
        <v/>
      </c>
      <c r="T703" s="112">
        <f>O703*(1-B$621)^($N703)</f>
        <v/>
      </c>
      <c r="U703" s="112">
        <f>IF(N703&lt;=$B$613,T703*$B$615/12,0)</f>
        <v/>
      </c>
      <c r="V703" s="315">
        <f>P703</f>
        <v/>
      </c>
      <c r="W703" s="314" t="n"/>
      <c r="X703" s="315">
        <f>P703</f>
        <v/>
      </c>
      <c r="Y703" s="316">
        <f>S703/$B$612*100</f>
        <v/>
      </c>
      <c r="Z703" s="46" t="n"/>
      <c r="AA703" s="313">
        <f>+V703-I703</f>
        <v/>
      </c>
      <c r="AB703" s="46" t="n"/>
      <c r="AC703" s="46" t="n"/>
      <c r="AD703" s="46" t="n"/>
      <c r="AE703" s="46" t="n"/>
    </row>
    <row r="704">
      <c r="A704" s="73" t="n">
        <v>73</v>
      </c>
      <c r="B704" s="289">
        <f>+F703</f>
        <v/>
      </c>
      <c r="C704" s="287">
        <f>(IF(A704&lt;$B$613,PMT($B$614/12,$B$613,-$B$612,$B$617,$B$620),IF(A704=$B$613,PMT($B$614/12,$B$613,-$B$612,$B$617,$B$620)+$B$617,0)))</f>
        <v/>
      </c>
      <c r="D704" s="289">
        <f>IF(A704&lt;=$B$613,B704*$B$614/12,0)</f>
        <v/>
      </c>
      <c r="E704" s="289">
        <f>C704-D704</f>
        <v/>
      </c>
      <c r="F704" s="314">
        <f>(B704-E704)</f>
        <v/>
      </c>
      <c r="G704" s="112">
        <f>B704*(1-B$621)^($A704)</f>
        <v/>
      </c>
      <c r="H704" s="112">
        <f>IF(A704&lt;=$B$613,G704*$B$614/12,0)</f>
        <v/>
      </c>
      <c r="I704" s="315">
        <f>C704</f>
        <v/>
      </c>
      <c r="J704" s="314" t="n"/>
      <c r="K704" s="315">
        <f>C704</f>
        <v/>
      </c>
      <c r="L704" s="316">
        <f>F704/$B$612*100</f>
        <v/>
      </c>
      <c r="M704" s="317" t="n"/>
      <c r="N704" s="73" t="n">
        <v>73</v>
      </c>
      <c r="O704" s="289">
        <f>+S703</f>
        <v/>
      </c>
      <c r="P704" s="287">
        <f>(IF(N704&lt;$B$613,PMT($B$615/12,$B$613,-$B$612,$B$617,0),IF(N704=$B$613,PMT($B$615/12,$B$613,-$B$612,$B$617,0)+$B$617,0)))</f>
        <v/>
      </c>
      <c r="Q704" s="289">
        <f>IF(N704&lt;=$B$613,O704*$B$615/12,0)</f>
        <v/>
      </c>
      <c r="R704" s="289">
        <f>P704-Q704</f>
        <v/>
      </c>
      <c r="S704" s="314">
        <f>(O704-R704)</f>
        <v/>
      </c>
      <c r="T704" s="112">
        <f>O704*(1-B$621)^($N704)</f>
        <v/>
      </c>
      <c r="U704" s="112">
        <f>IF(N704&lt;=$B$613,T704*$B$615/12,0)</f>
        <v/>
      </c>
      <c r="V704" s="315">
        <f>P704</f>
        <v/>
      </c>
      <c r="W704" s="314" t="n"/>
      <c r="X704" s="315">
        <f>P704</f>
        <v/>
      </c>
      <c r="Y704" s="316">
        <f>S704/$B$612*100</f>
        <v/>
      </c>
      <c r="Z704" s="46" t="n"/>
      <c r="AA704" s="313">
        <f>+V704-I704</f>
        <v/>
      </c>
      <c r="AB704" s="46" t="n"/>
      <c r="AC704" s="46" t="n"/>
      <c r="AD704" s="46" t="n"/>
      <c r="AE704" s="46" t="n"/>
    </row>
    <row r="705">
      <c r="A705" s="73" t="n">
        <v>74</v>
      </c>
      <c r="B705" s="289">
        <f>+F704</f>
        <v/>
      </c>
      <c r="C705" s="287">
        <f>(IF(A705&lt;$B$613,PMT($B$614/12,$B$613,-$B$612,$B$617,$B$620),IF(A705=$B$613,PMT($B$614/12,$B$613,-$B$612,$B$617,$B$620)+$B$617,0)))</f>
        <v/>
      </c>
      <c r="D705" s="289">
        <f>IF(A705&lt;=$B$613,B705*$B$614/12,0)</f>
        <v/>
      </c>
      <c r="E705" s="289">
        <f>C705-D705</f>
        <v/>
      </c>
      <c r="F705" s="314">
        <f>(B705-E705)</f>
        <v/>
      </c>
      <c r="G705" s="112">
        <f>B705*(1-B$621)^($A705)</f>
        <v/>
      </c>
      <c r="H705" s="112">
        <f>IF(A705&lt;=$B$613,G705*$B$614/12,0)</f>
        <v/>
      </c>
      <c r="I705" s="315">
        <f>C705</f>
        <v/>
      </c>
      <c r="J705" s="314" t="n"/>
      <c r="K705" s="315">
        <f>C705</f>
        <v/>
      </c>
      <c r="L705" s="316">
        <f>F705/$B$612*100</f>
        <v/>
      </c>
      <c r="M705" s="317" t="n"/>
      <c r="N705" s="73" t="n">
        <v>74</v>
      </c>
      <c r="O705" s="289">
        <f>+S704</f>
        <v/>
      </c>
      <c r="P705" s="287">
        <f>(IF(N705&lt;$B$613,PMT($B$615/12,$B$613,-$B$612,$B$617,0),IF(N705=$B$613,PMT($B$615/12,$B$613,-$B$612,$B$617,0)+$B$617,0)))</f>
        <v/>
      </c>
      <c r="Q705" s="289">
        <f>IF(N705&lt;=$B$613,O705*$B$615/12,0)</f>
        <v/>
      </c>
      <c r="R705" s="289">
        <f>P705-Q705</f>
        <v/>
      </c>
      <c r="S705" s="314">
        <f>(O705-R705)</f>
        <v/>
      </c>
      <c r="T705" s="112">
        <f>O705*(1-B$621)^($N705)</f>
        <v/>
      </c>
      <c r="U705" s="112">
        <f>IF(N705&lt;=$B$613,T705*$B$615/12,0)</f>
        <v/>
      </c>
      <c r="V705" s="315">
        <f>P705</f>
        <v/>
      </c>
      <c r="W705" s="314" t="n"/>
      <c r="X705" s="315">
        <f>P705</f>
        <v/>
      </c>
      <c r="Y705" s="316">
        <f>S705/$B$612*100</f>
        <v/>
      </c>
      <c r="Z705" s="46" t="n"/>
      <c r="AA705" s="313">
        <f>+V705-I705</f>
        <v/>
      </c>
      <c r="AB705" s="46" t="n"/>
      <c r="AC705" s="46" t="n"/>
      <c r="AD705" s="46" t="n"/>
      <c r="AE705" s="46" t="n"/>
    </row>
    <row r="706">
      <c r="A706" s="73" t="n">
        <v>75</v>
      </c>
      <c r="B706" s="289">
        <f>+F705</f>
        <v/>
      </c>
      <c r="C706" s="287">
        <f>(IF(A706&lt;$B$613,PMT($B$614/12,$B$613,-$B$612,$B$617,$B$620),IF(A706=$B$613,PMT($B$614/12,$B$613,-$B$612,$B$617,$B$620)+$B$617,0)))</f>
        <v/>
      </c>
      <c r="D706" s="289">
        <f>IF(A706&lt;=$B$613,B706*$B$614/12,0)</f>
        <v/>
      </c>
      <c r="E706" s="289">
        <f>C706-D706</f>
        <v/>
      </c>
      <c r="F706" s="314">
        <f>(B706-E706)</f>
        <v/>
      </c>
      <c r="G706" s="112">
        <f>B706*(1-B$621)^($A706)</f>
        <v/>
      </c>
      <c r="H706" s="112">
        <f>IF(A706&lt;=$B$613,G706*$B$614/12,0)</f>
        <v/>
      </c>
      <c r="I706" s="315">
        <f>C706</f>
        <v/>
      </c>
      <c r="J706" s="314" t="n"/>
      <c r="K706" s="315">
        <f>C706</f>
        <v/>
      </c>
      <c r="L706" s="316">
        <f>F706/$B$612*100</f>
        <v/>
      </c>
      <c r="M706" s="317" t="n"/>
      <c r="N706" s="73" t="n">
        <v>75</v>
      </c>
      <c r="O706" s="289">
        <f>+S705</f>
        <v/>
      </c>
      <c r="P706" s="287">
        <f>(IF(N706&lt;$B$613,PMT($B$615/12,$B$613,-$B$612,$B$617,0),IF(N706=$B$613,PMT($B$615/12,$B$613,-$B$612,$B$617,0)+$B$617,0)))</f>
        <v/>
      </c>
      <c r="Q706" s="289">
        <f>IF(N706&lt;=$B$613,O706*$B$615/12,0)</f>
        <v/>
      </c>
      <c r="R706" s="289">
        <f>P706-Q706</f>
        <v/>
      </c>
      <c r="S706" s="314">
        <f>(O706-R706)</f>
        <v/>
      </c>
      <c r="T706" s="112">
        <f>O706*(1-B$621)^($N706)</f>
        <v/>
      </c>
      <c r="U706" s="112">
        <f>IF(N706&lt;=$B$613,T706*$B$615/12,0)</f>
        <v/>
      </c>
      <c r="V706" s="315">
        <f>P706</f>
        <v/>
      </c>
      <c r="W706" s="314" t="n"/>
      <c r="X706" s="315">
        <f>P706</f>
        <v/>
      </c>
      <c r="Y706" s="316">
        <f>S706/$B$612*100</f>
        <v/>
      </c>
      <c r="Z706" s="46" t="n"/>
      <c r="AA706" s="313">
        <f>+V706-I706</f>
        <v/>
      </c>
      <c r="AB706" s="46" t="n"/>
      <c r="AC706" s="46" t="n"/>
      <c r="AD706" s="46" t="n"/>
      <c r="AE706" s="46" t="n"/>
    </row>
    <row r="707">
      <c r="A707" s="73" t="n">
        <v>76</v>
      </c>
      <c r="B707" s="289">
        <f>+F706</f>
        <v/>
      </c>
      <c r="C707" s="287">
        <f>(IF(A707&lt;$B$613,PMT($B$614/12,$B$613,-$B$612,$B$617,$B$620),IF(A707=$B$613,PMT($B$614/12,$B$613,-$B$612,$B$617,$B$620)+$B$617,0)))</f>
        <v/>
      </c>
      <c r="D707" s="289">
        <f>IF(A707&lt;=$B$613,B707*$B$614/12,0)</f>
        <v/>
      </c>
      <c r="E707" s="289">
        <f>C707-D707</f>
        <v/>
      </c>
      <c r="F707" s="314">
        <f>(B707-E707)</f>
        <v/>
      </c>
      <c r="G707" s="112">
        <f>B707*(1-B$621)^($A707)</f>
        <v/>
      </c>
      <c r="H707" s="112">
        <f>IF(A707&lt;=$B$613,G707*$B$614/12,0)</f>
        <v/>
      </c>
      <c r="I707" s="315">
        <f>C707</f>
        <v/>
      </c>
      <c r="J707" s="314" t="n"/>
      <c r="K707" s="315">
        <f>C707</f>
        <v/>
      </c>
      <c r="L707" s="316">
        <f>F707/$B$612*100</f>
        <v/>
      </c>
      <c r="M707" s="317" t="n"/>
      <c r="N707" s="73" t="n">
        <v>76</v>
      </c>
      <c r="O707" s="289">
        <f>+S706</f>
        <v/>
      </c>
      <c r="P707" s="287">
        <f>(IF(N707&lt;$B$613,PMT($B$615/12,$B$613,-$B$612,$B$617,0),IF(N707=$B$613,PMT($B$615/12,$B$613,-$B$612,$B$617,0)+$B$617,0)))</f>
        <v/>
      </c>
      <c r="Q707" s="289">
        <f>IF(N707&lt;=$B$613,O707*$B$615/12,0)</f>
        <v/>
      </c>
      <c r="R707" s="289">
        <f>P707-Q707</f>
        <v/>
      </c>
      <c r="S707" s="314">
        <f>(O707-R707)</f>
        <v/>
      </c>
      <c r="T707" s="112">
        <f>O707*(1-B$621)^($N707)</f>
        <v/>
      </c>
      <c r="U707" s="112">
        <f>IF(N707&lt;=$B$613,T707*$B$615/12,0)</f>
        <v/>
      </c>
      <c r="V707" s="315">
        <f>P707</f>
        <v/>
      </c>
      <c r="W707" s="314" t="n"/>
      <c r="X707" s="315">
        <f>P707</f>
        <v/>
      </c>
      <c r="Y707" s="316">
        <f>S707/$B$612*100</f>
        <v/>
      </c>
      <c r="Z707" s="46" t="n"/>
      <c r="AA707" s="313">
        <f>+V707-I707</f>
        <v/>
      </c>
      <c r="AB707" s="46" t="n"/>
      <c r="AC707" s="46" t="n"/>
      <c r="AD707" s="46" t="n"/>
      <c r="AE707" s="46" t="n"/>
    </row>
    <row r="708">
      <c r="A708" s="73" t="n">
        <v>77</v>
      </c>
      <c r="B708" s="289">
        <f>+F707</f>
        <v/>
      </c>
      <c r="C708" s="287">
        <f>(IF(A708&lt;$B$613,PMT($B$614/12,$B$613,-$B$612,$B$617,$B$620),IF(A708=$B$613,PMT($B$614/12,$B$613,-$B$612,$B$617,$B$620)+$B$617,0)))</f>
        <v/>
      </c>
      <c r="D708" s="289">
        <f>IF(A708&lt;=$B$613,B708*$B$614/12,0)</f>
        <v/>
      </c>
      <c r="E708" s="289">
        <f>C708-D708</f>
        <v/>
      </c>
      <c r="F708" s="314">
        <f>(B708-E708)</f>
        <v/>
      </c>
      <c r="G708" s="112">
        <f>B708*(1-B$621)^($A708)</f>
        <v/>
      </c>
      <c r="H708" s="112">
        <f>IF(A708&lt;=$B$613,G708*$B$614/12,0)</f>
        <v/>
      </c>
      <c r="I708" s="315">
        <f>C708</f>
        <v/>
      </c>
      <c r="J708" s="314" t="n"/>
      <c r="K708" s="315">
        <f>C708</f>
        <v/>
      </c>
      <c r="L708" s="316">
        <f>F708/$B$612*100</f>
        <v/>
      </c>
      <c r="M708" s="317" t="n"/>
      <c r="N708" s="73" t="n">
        <v>77</v>
      </c>
      <c r="O708" s="289">
        <f>+S707</f>
        <v/>
      </c>
      <c r="P708" s="287">
        <f>(IF(N708&lt;$B$613,PMT($B$615/12,$B$613,-$B$612,$B$617,0),IF(N708=$B$613,PMT($B$615/12,$B$613,-$B$612,$B$617,0)+$B$617,0)))</f>
        <v/>
      </c>
      <c r="Q708" s="289">
        <f>IF(N708&lt;=$B$613,O708*$B$615/12,0)</f>
        <v/>
      </c>
      <c r="R708" s="289">
        <f>P708-Q708</f>
        <v/>
      </c>
      <c r="S708" s="314">
        <f>(O708-R708)</f>
        <v/>
      </c>
      <c r="T708" s="112">
        <f>O708*(1-B$621)^($N708)</f>
        <v/>
      </c>
      <c r="U708" s="112">
        <f>IF(N708&lt;=$B$613,T708*$B$615/12,0)</f>
        <v/>
      </c>
      <c r="V708" s="315">
        <f>P708</f>
        <v/>
      </c>
      <c r="W708" s="314" t="n"/>
      <c r="X708" s="315">
        <f>P708</f>
        <v/>
      </c>
      <c r="Y708" s="316">
        <f>S708/$B$612*100</f>
        <v/>
      </c>
      <c r="Z708" s="46" t="n"/>
      <c r="AA708" s="313">
        <f>+V708-I708</f>
        <v/>
      </c>
      <c r="AB708" s="46" t="n"/>
      <c r="AC708" s="46" t="n"/>
      <c r="AD708" s="46" t="n"/>
      <c r="AE708" s="46" t="n"/>
    </row>
    <row r="709">
      <c r="A709" s="73" t="n">
        <v>78</v>
      </c>
      <c r="B709" s="289">
        <f>+F708</f>
        <v/>
      </c>
      <c r="C709" s="287">
        <f>(IF(A709&lt;$B$613,PMT($B$614/12,$B$613,-$B$612,$B$617,$B$620),IF(A709=$B$613,PMT($B$614/12,$B$613,-$B$612,$B$617,$B$620)+$B$617,0)))</f>
        <v/>
      </c>
      <c r="D709" s="289">
        <f>IF(A709&lt;=$B$613,B709*$B$614/12,0)</f>
        <v/>
      </c>
      <c r="E709" s="289">
        <f>C709-D709</f>
        <v/>
      </c>
      <c r="F709" s="314">
        <f>(B709-E709)</f>
        <v/>
      </c>
      <c r="G709" s="112">
        <f>B709*(1-B$621)^($A709)</f>
        <v/>
      </c>
      <c r="H709" s="112">
        <f>IF(A709&lt;=$B$613,G709*$B$614/12,0)</f>
        <v/>
      </c>
      <c r="I709" s="315">
        <f>C709</f>
        <v/>
      </c>
      <c r="J709" s="314" t="n"/>
      <c r="K709" s="315">
        <f>C709</f>
        <v/>
      </c>
      <c r="L709" s="316">
        <f>F709/$B$612*100</f>
        <v/>
      </c>
      <c r="M709" s="317" t="n"/>
      <c r="N709" s="73" t="n">
        <v>78</v>
      </c>
      <c r="O709" s="289">
        <f>+S708</f>
        <v/>
      </c>
      <c r="P709" s="287">
        <f>(IF(N709&lt;$B$613,PMT($B$615/12,$B$613,-$B$612,$B$617,0),IF(N709=$B$613,PMT($B$615/12,$B$613,-$B$612,$B$617,0)+$B$617,0)))</f>
        <v/>
      </c>
      <c r="Q709" s="289">
        <f>IF(N709&lt;=$B$613,O709*$B$615/12,0)</f>
        <v/>
      </c>
      <c r="R709" s="289">
        <f>P709-Q709</f>
        <v/>
      </c>
      <c r="S709" s="314">
        <f>(O709-R709)</f>
        <v/>
      </c>
      <c r="T709" s="112">
        <f>O709*(1-B$621)^($N709)</f>
        <v/>
      </c>
      <c r="U709" s="112">
        <f>IF(N709&lt;=$B$613,T709*$B$615/12,0)</f>
        <v/>
      </c>
      <c r="V709" s="315">
        <f>P709</f>
        <v/>
      </c>
      <c r="W709" s="314" t="n"/>
      <c r="X709" s="315">
        <f>P709</f>
        <v/>
      </c>
      <c r="Y709" s="316">
        <f>S709/$B$612*100</f>
        <v/>
      </c>
      <c r="Z709" s="46" t="n"/>
      <c r="AA709" s="313">
        <f>+V709-I709</f>
        <v/>
      </c>
      <c r="AB709" s="46" t="n"/>
      <c r="AC709" s="46" t="n"/>
      <c r="AD709" s="46" t="n"/>
      <c r="AE709" s="46" t="n"/>
    </row>
    <row r="710">
      <c r="A710" s="73" t="n">
        <v>79</v>
      </c>
      <c r="B710" s="289">
        <f>+F709</f>
        <v/>
      </c>
      <c r="C710" s="287">
        <f>(IF(A710&lt;$B$613,PMT($B$614/12,$B$613,-$B$612,$B$617,$B$620),IF(A710=$B$613,PMT($B$614/12,$B$613,-$B$612,$B$617,$B$620)+$B$617,0)))</f>
        <v/>
      </c>
      <c r="D710" s="289">
        <f>IF(A710&lt;=$B$613,B710*$B$614/12,0)</f>
        <v/>
      </c>
      <c r="E710" s="289">
        <f>C710-D710</f>
        <v/>
      </c>
      <c r="F710" s="314">
        <f>(B710-E710)</f>
        <v/>
      </c>
      <c r="G710" s="112">
        <f>B710*(1-B$621)^($A710)</f>
        <v/>
      </c>
      <c r="H710" s="112">
        <f>IF(A710&lt;=$B$613,G710*$B$614/12,0)</f>
        <v/>
      </c>
      <c r="I710" s="315">
        <f>C710</f>
        <v/>
      </c>
      <c r="J710" s="314" t="n"/>
      <c r="K710" s="315">
        <f>C710</f>
        <v/>
      </c>
      <c r="L710" s="316">
        <f>F710/$B$612*100</f>
        <v/>
      </c>
      <c r="M710" s="317" t="n"/>
      <c r="N710" s="73" t="n">
        <v>79</v>
      </c>
      <c r="O710" s="289">
        <f>+S709</f>
        <v/>
      </c>
      <c r="P710" s="287">
        <f>(IF(N710&lt;$B$613,PMT($B$615/12,$B$613,-$B$612,$B$617,0),IF(N710=$B$613,PMT($B$615/12,$B$613,-$B$612,$B$617,0)+$B$617,0)))</f>
        <v/>
      </c>
      <c r="Q710" s="289">
        <f>IF(N710&lt;=$B$613,O710*$B$615/12,0)</f>
        <v/>
      </c>
      <c r="R710" s="289">
        <f>P710-Q710</f>
        <v/>
      </c>
      <c r="S710" s="314">
        <f>(O710-R710)</f>
        <v/>
      </c>
      <c r="T710" s="112">
        <f>O710*(1-B$621)^($N710)</f>
        <v/>
      </c>
      <c r="U710" s="112">
        <f>IF(N710&lt;=$B$613,T710*$B$615/12,0)</f>
        <v/>
      </c>
      <c r="V710" s="315">
        <f>P710</f>
        <v/>
      </c>
      <c r="W710" s="314" t="n"/>
      <c r="X710" s="315">
        <f>P710</f>
        <v/>
      </c>
      <c r="Y710" s="316">
        <f>S710/$B$612*100</f>
        <v/>
      </c>
      <c r="Z710" s="46" t="n"/>
      <c r="AA710" s="313">
        <f>+V710-I710</f>
        <v/>
      </c>
      <c r="AB710" s="46" t="n"/>
      <c r="AC710" s="46" t="n"/>
      <c r="AD710" s="46" t="n"/>
      <c r="AE710" s="46" t="n"/>
    </row>
    <row r="711">
      <c r="A711" s="73" t="n">
        <v>80</v>
      </c>
      <c r="B711" s="289">
        <f>+F710</f>
        <v/>
      </c>
      <c r="C711" s="287">
        <f>(IF(A711&lt;$B$613,PMT($B$614/12,$B$613,-$B$612,$B$617,$B$620),IF(A711=$B$613,PMT($B$614/12,$B$613,-$B$612,$B$617,$B$620)+$B$617,0)))</f>
        <v/>
      </c>
      <c r="D711" s="289">
        <f>IF(A711&lt;=$B$613,B711*$B$614/12,0)</f>
        <v/>
      </c>
      <c r="E711" s="289">
        <f>C711-D711</f>
        <v/>
      </c>
      <c r="F711" s="314">
        <f>(B711-E711)</f>
        <v/>
      </c>
      <c r="G711" s="112">
        <f>B711*(1-B$621)^($A711)</f>
        <v/>
      </c>
      <c r="H711" s="112">
        <f>IF(A711&lt;=$B$613,G711*$B$614/12,0)</f>
        <v/>
      </c>
      <c r="I711" s="315">
        <f>C711</f>
        <v/>
      </c>
      <c r="J711" s="314" t="n"/>
      <c r="K711" s="315">
        <f>C711</f>
        <v/>
      </c>
      <c r="L711" s="316">
        <f>F711/$B$612*100</f>
        <v/>
      </c>
      <c r="M711" s="317" t="n"/>
      <c r="N711" s="73" t="n">
        <v>80</v>
      </c>
      <c r="O711" s="289">
        <f>+S710</f>
        <v/>
      </c>
      <c r="P711" s="287">
        <f>(IF(N711&lt;$B$613,PMT($B$615/12,$B$613,-$B$612,$B$617,0),IF(N711=$B$613,PMT($B$615/12,$B$613,-$B$612,$B$617,0)+$B$617,0)))</f>
        <v/>
      </c>
      <c r="Q711" s="289">
        <f>IF(N711&lt;=$B$613,O711*$B$615/12,0)</f>
        <v/>
      </c>
      <c r="R711" s="289">
        <f>P711-Q711</f>
        <v/>
      </c>
      <c r="S711" s="314">
        <f>(O711-R711)</f>
        <v/>
      </c>
      <c r="T711" s="112">
        <f>O711*(1-B$621)^($N711)</f>
        <v/>
      </c>
      <c r="U711" s="112">
        <f>IF(N711&lt;=$B$613,T711*$B$615/12,0)</f>
        <v/>
      </c>
      <c r="V711" s="315">
        <f>P711</f>
        <v/>
      </c>
      <c r="W711" s="314" t="n"/>
      <c r="X711" s="315">
        <f>P711</f>
        <v/>
      </c>
      <c r="Y711" s="316">
        <f>S711/$B$612*100</f>
        <v/>
      </c>
      <c r="Z711" s="46" t="n"/>
      <c r="AA711" s="313">
        <f>+V711-I711</f>
        <v/>
      </c>
      <c r="AB711" s="46" t="n"/>
      <c r="AC711" s="46" t="n"/>
      <c r="AD711" s="46" t="n"/>
      <c r="AE711" s="46" t="n"/>
    </row>
    <row r="712">
      <c r="A712" s="73" t="n">
        <v>81</v>
      </c>
      <c r="B712" s="289">
        <f>+F711</f>
        <v/>
      </c>
      <c r="C712" s="287">
        <f>(IF(A712&lt;$B$613,PMT($B$614/12,$B$613,-$B$612,$B$617,$B$620),IF(A712=$B$613,PMT($B$614/12,$B$613,-$B$612,$B$617,$B$620)+$B$617,0)))</f>
        <v/>
      </c>
      <c r="D712" s="289">
        <f>IF(A712&lt;=$B$613,B712*$B$614/12,0)</f>
        <v/>
      </c>
      <c r="E712" s="289">
        <f>C712-D712</f>
        <v/>
      </c>
      <c r="F712" s="314">
        <f>(B712-E712)</f>
        <v/>
      </c>
      <c r="G712" s="112">
        <f>B712*(1-B$621)^($A712)</f>
        <v/>
      </c>
      <c r="H712" s="112">
        <f>IF(A712&lt;=$B$613,G712*$B$614/12,0)</f>
        <v/>
      </c>
      <c r="I712" s="315">
        <f>C712</f>
        <v/>
      </c>
      <c r="J712" s="314" t="n"/>
      <c r="K712" s="315">
        <f>C712</f>
        <v/>
      </c>
      <c r="L712" s="316">
        <f>F712/$B$612*100</f>
        <v/>
      </c>
      <c r="M712" s="317" t="n"/>
      <c r="N712" s="73" t="n">
        <v>81</v>
      </c>
      <c r="O712" s="289">
        <f>+S711</f>
        <v/>
      </c>
      <c r="P712" s="287">
        <f>(IF(N712&lt;$B$613,PMT($B$615/12,$B$613,-$B$612,$B$617,0),IF(N712=$B$613,PMT($B$615/12,$B$613,-$B$612,$B$617,0)+$B$617,0)))</f>
        <v/>
      </c>
      <c r="Q712" s="289">
        <f>IF(N712&lt;=$B$613,O712*$B$615/12,0)</f>
        <v/>
      </c>
      <c r="R712" s="289">
        <f>P712-Q712</f>
        <v/>
      </c>
      <c r="S712" s="314">
        <f>(O712-R712)</f>
        <v/>
      </c>
      <c r="T712" s="112">
        <f>O712*(1-B$621)^($N712)</f>
        <v/>
      </c>
      <c r="U712" s="112">
        <f>IF(N712&lt;=$B$613,T712*$B$615/12,0)</f>
        <v/>
      </c>
      <c r="V712" s="315">
        <f>P712</f>
        <v/>
      </c>
      <c r="W712" s="314" t="n"/>
      <c r="X712" s="315">
        <f>P712</f>
        <v/>
      </c>
      <c r="Y712" s="316">
        <f>S712/$B$612*100</f>
        <v/>
      </c>
      <c r="Z712" s="46" t="n"/>
      <c r="AA712" s="313">
        <f>+V712-I712</f>
        <v/>
      </c>
      <c r="AB712" s="46" t="n"/>
      <c r="AC712" s="46" t="n"/>
      <c r="AD712" s="46" t="n"/>
      <c r="AE712" s="46" t="n"/>
    </row>
    <row r="713">
      <c r="A713" s="73" t="n">
        <v>82</v>
      </c>
      <c r="B713" s="289">
        <f>+F712</f>
        <v/>
      </c>
      <c r="C713" s="287">
        <f>(IF(A713&lt;$B$613,PMT($B$614/12,$B$613,-$B$612,$B$617,$B$620),IF(A713=$B$613,PMT($B$614/12,$B$613,-$B$612,$B$617,$B$620)+$B$617,0)))</f>
        <v/>
      </c>
      <c r="D713" s="289">
        <f>IF(A713&lt;=$B$613,B713*$B$614/12,0)</f>
        <v/>
      </c>
      <c r="E713" s="289">
        <f>C713-D713</f>
        <v/>
      </c>
      <c r="F713" s="314">
        <f>(B713-E713)</f>
        <v/>
      </c>
      <c r="G713" s="112">
        <f>B713*(1-B$621)^($A713)</f>
        <v/>
      </c>
      <c r="H713" s="112">
        <f>IF(A713&lt;=$B$613,G713*$B$614/12,0)</f>
        <v/>
      </c>
      <c r="I713" s="315">
        <f>C713</f>
        <v/>
      </c>
      <c r="J713" s="314" t="n"/>
      <c r="K713" s="315">
        <f>C713</f>
        <v/>
      </c>
      <c r="L713" s="316">
        <f>F713/$B$612*100</f>
        <v/>
      </c>
      <c r="M713" s="317" t="n"/>
      <c r="N713" s="73" t="n">
        <v>82</v>
      </c>
      <c r="O713" s="289">
        <f>+S712</f>
        <v/>
      </c>
      <c r="P713" s="287">
        <f>(IF(N713&lt;$B$613,PMT($B$615/12,$B$613,-$B$612,$B$617,0),IF(N713=$B$613,PMT($B$615/12,$B$613,-$B$612,$B$617,0)+$B$617,0)))</f>
        <v/>
      </c>
      <c r="Q713" s="289">
        <f>IF(N713&lt;=$B$613,O713*$B$615/12,0)</f>
        <v/>
      </c>
      <c r="R713" s="289">
        <f>P713-Q713</f>
        <v/>
      </c>
      <c r="S713" s="314">
        <f>(O713-R713)</f>
        <v/>
      </c>
      <c r="T713" s="112">
        <f>O713*(1-B$621)^($N713)</f>
        <v/>
      </c>
      <c r="U713" s="112">
        <f>IF(N713&lt;=$B$613,T713*$B$615/12,0)</f>
        <v/>
      </c>
      <c r="V713" s="315">
        <f>P713</f>
        <v/>
      </c>
      <c r="W713" s="314" t="n"/>
      <c r="X713" s="315">
        <f>P713</f>
        <v/>
      </c>
      <c r="Y713" s="316">
        <f>S713/$B$612*100</f>
        <v/>
      </c>
      <c r="Z713" s="46" t="n"/>
      <c r="AA713" s="313">
        <f>+V713-I713</f>
        <v/>
      </c>
      <c r="AB713" s="46" t="n"/>
      <c r="AC713" s="46" t="n"/>
      <c r="AD713" s="46" t="n"/>
      <c r="AE713" s="46" t="n"/>
    </row>
    <row r="714">
      <c r="A714" s="73" t="n">
        <v>83</v>
      </c>
      <c r="B714" s="289">
        <f>+F713</f>
        <v/>
      </c>
      <c r="C714" s="287">
        <f>(IF(A714&lt;$B$613,PMT($B$614/12,$B$613,-$B$612,$B$617,$B$620),IF(A714=$B$613,PMT($B$614/12,$B$613,-$B$612,$B$617,$B$620)+$B$617,0)))</f>
        <v/>
      </c>
      <c r="D714" s="289">
        <f>IF(A714&lt;=$B$613,B714*$B$614/12,0)</f>
        <v/>
      </c>
      <c r="E714" s="289">
        <f>C714-D714</f>
        <v/>
      </c>
      <c r="F714" s="314">
        <f>(B714-E714)</f>
        <v/>
      </c>
      <c r="G714" s="112">
        <f>B714*(1-B$621)^($A714)</f>
        <v/>
      </c>
      <c r="H714" s="112">
        <f>IF(A714&lt;=$B$613,G714*$B$614/12,0)</f>
        <v/>
      </c>
      <c r="I714" s="315">
        <f>C714</f>
        <v/>
      </c>
      <c r="J714" s="314" t="n"/>
      <c r="K714" s="315">
        <f>C714</f>
        <v/>
      </c>
      <c r="L714" s="316">
        <f>F714/$B$612*100</f>
        <v/>
      </c>
      <c r="M714" s="317" t="n"/>
      <c r="N714" s="73" t="n">
        <v>83</v>
      </c>
      <c r="O714" s="289">
        <f>+S713</f>
        <v/>
      </c>
      <c r="P714" s="287">
        <f>(IF(N714&lt;$B$613,PMT($B$615/12,$B$613,-$B$612,$B$617,0),IF(N714=$B$613,PMT($B$615/12,$B$613,-$B$612,$B$617,0)+$B$617,0)))</f>
        <v/>
      </c>
      <c r="Q714" s="289">
        <f>IF(N714&lt;=$B$613,O714*$B$615/12,0)</f>
        <v/>
      </c>
      <c r="R714" s="289">
        <f>P714-Q714</f>
        <v/>
      </c>
      <c r="S714" s="314">
        <f>(O714-R714)</f>
        <v/>
      </c>
      <c r="T714" s="112">
        <f>O714*(1-B$621)^($N714)</f>
        <v/>
      </c>
      <c r="U714" s="112">
        <f>IF(N714&lt;=$B$613,T714*$B$615/12,0)</f>
        <v/>
      </c>
      <c r="V714" s="315">
        <f>P714</f>
        <v/>
      </c>
      <c r="W714" s="314" t="n"/>
      <c r="X714" s="315">
        <f>P714</f>
        <v/>
      </c>
      <c r="Y714" s="316">
        <f>S714/$B$612*100</f>
        <v/>
      </c>
      <c r="Z714" s="46" t="n"/>
      <c r="AA714" s="313">
        <f>+V714-I714</f>
        <v/>
      </c>
      <c r="AB714" s="46" t="n"/>
      <c r="AC714" s="46" t="n"/>
      <c r="AD714" s="46" t="n"/>
      <c r="AE714" s="46" t="n"/>
    </row>
    <row r="715">
      <c r="A715" s="73" t="n">
        <v>84</v>
      </c>
      <c r="B715" s="289">
        <f>+F714</f>
        <v/>
      </c>
      <c r="C715" s="287">
        <f>(IF(A715&lt;$B$613,PMT($B$614/12,$B$613,-$B$612,$B$617,$B$620),IF(A715=$B$613,PMT($B$614/12,$B$613,-$B$612,$B$617,$B$620)+$B$617,0)))</f>
        <v/>
      </c>
      <c r="D715" s="289">
        <f>IF(A715&lt;=$B$613,B715*$B$614/12,0)</f>
        <v/>
      </c>
      <c r="E715" s="289">
        <f>C715-D715</f>
        <v/>
      </c>
      <c r="F715" s="314">
        <f>(B715-E715)</f>
        <v/>
      </c>
      <c r="G715" s="112">
        <f>B715*(1-B$621)^($A715)</f>
        <v/>
      </c>
      <c r="H715" s="112">
        <f>IF(A715&lt;=$B$613,G715*$B$614/12,0)</f>
        <v/>
      </c>
      <c r="I715" s="315">
        <f>C715</f>
        <v/>
      </c>
      <c r="J715" s="314" t="n"/>
      <c r="K715" s="315">
        <f>C715</f>
        <v/>
      </c>
      <c r="L715" s="316">
        <f>F715/$B$612*100</f>
        <v/>
      </c>
      <c r="M715" s="317" t="n"/>
      <c r="N715" s="73" t="n">
        <v>84</v>
      </c>
      <c r="O715" s="289">
        <f>+S714</f>
        <v/>
      </c>
      <c r="P715" s="287">
        <f>(IF(N715&lt;$B$613,PMT($B$615/12,$B$613,-$B$612,$B$617,0),IF(N715=$B$613,PMT($B$615/12,$B$613,-$B$612,$B$617,0)+$B$617,0)))</f>
        <v/>
      </c>
      <c r="Q715" s="289">
        <f>IF(N715&lt;=$B$613,O715*$B$615/12,0)</f>
        <v/>
      </c>
      <c r="R715" s="289">
        <f>P715-Q715</f>
        <v/>
      </c>
      <c r="S715" s="314">
        <f>(O715-R715)</f>
        <v/>
      </c>
      <c r="T715" s="112">
        <f>O715*(1-B$621)^($N715)</f>
        <v/>
      </c>
      <c r="U715" s="112">
        <f>IF(N715&lt;=$B$613,T715*$B$615/12,0)</f>
        <v/>
      </c>
      <c r="V715" s="315">
        <f>P715</f>
        <v/>
      </c>
      <c r="W715" s="314" t="n"/>
      <c r="X715" s="315">
        <f>P715</f>
        <v/>
      </c>
      <c r="Y715" s="316">
        <f>S715/$B$612*100</f>
        <v/>
      </c>
      <c r="Z715" s="46" t="n"/>
      <c r="AA715" s="313">
        <f>+V715-I715</f>
        <v/>
      </c>
      <c r="AB715" s="46" t="n"/>
      <c r="AC715" s="46" t="n"/>
      <c r="AD715" s="46" t="n"/>
      <c r="AE715" s="46" t="n"/>
    </row>
    <row r="716">
      <c r="A716" s="73" t="n">
        <v>85</v>
      </c>
      <c r="B716" s="289">
        <f>+F715</f>
        <v/>
      </c>
      <c r="C716" s="287">
        <f>(IF(A716&lt;$B$613,PMT($B$614/12,$B$613,-$B$612,$B$617,$B$620),IF(A716=$B$613,PMT($B$614/12,$B$613,-$B$612,$B$617,$B$620)+$B$617,0)))</f>
        <v/>
      </c>
      <c r="D716" s="289">
        <f>IF(A716&lt;=$B$613,B716*$B$614/12,0)</f>
        <v/>
      </c>
      <c r="E716" s="289">
        <f>C716-D716</f>
        <v/>
      </c>
      <c r="F716" s="314">
        <f>(B716-E716)</f>
        <v/>
      </c>
      <c r="G716" s="112">
        <f>B716*(1-B$621)^($A716)</f>
        <v/>
      </c>
      <c r="H716" s="112">
        <f>IF(A716&lt;=$B$613,G716*$B$614/12,0)</f>
        <v/>
      </c>
      <c r="I716" s="315">
        <f>C716</f>
        <v/>
      </c>
      <c r="J716" s="314" t="n"/>
      <c r="K716" s="315">
        <f>C716</f>
        <v/>
      </c>
      <c r="L716" s="316">
        <f>F716/$B$612*100</f>
        <v/>
      </c>
      <c r="M716" s="317" t="n"/>
      <c r="N716" s="73" t="n">
        <v>85</v>
      </c>
      <c r="O716" s="289">
        <f>+S715</f>
        <v/>
      </c>
      <c r="P716" s="287">
        <f>(IF(N716&lt;$B$613,PMT($B$615/12,$B$613,-$B$612,$B$617,0),IF(N716=$B$613,PMT($B$615/12,$B$613,-$B$612,$B$617,0)+$B$617,0)))</f>
        <v/>
      </c>
      <c r="Q716" s="289">
        <f>IF(N716&lt;=$B$613,O716*$B$615/12,0)</f>
        <v/>
      </c>
      <c r="R716" s="289">
        <f>P716-Q716</f>
        <v/>
      </c>
      <c r="S716" s="314">
        <f>(O716-R716)</f>
        <v/>
      </c>
      <c r="T716" s="112">
        <f>O716*(1-B$621)^($N716)</f>
        <v/>
      </c>
      <c r="U716" s="112">
        <f>IF(N716&lt;=$B$613,T716*$B$615/12,0)</f>
        <v/>
      </c>
      <c r="V716" s="315">
        <f>P716</f>
        <v/>
      </c>
      <c r="W716" s="314" t="n"/>
      <c r="X716" s="315">
        <f>P716</f>
        <v/>
      </c>
      <c r="Y716" s="316">
        <f>S716/$B$612*100</f>
        <v/>
      </c>
      <c r="Z716" s="46" t="n"/>
      <c r="AA716" s="313">
        <f>+V716-I716</f>
        <v/>
      </c>
      <c r="AB716" s="46" t="n"/>
      <c r="AC716" s="46" t="n"/>
      <c r="AD716" s="46" t="n"/>
      <c r="AE716" s="46" t="n"/>
    </row>
    <row r="717">
      <c r="A717" s="73" t="n">
        <v>86</v>
      </c>
      <c r="B717" s="289">
        <f>+F716</f>
        <v/>
      </c>
      <c r="C717" s="287">
        <f>(IF(A717&lt;$B$613,PMT($B$614/12,$B$613,-$B$612,$B$617,$B$620),IF(A717=$B$613,PMT($B$614/12,$B$613,-$B$612,$B$617,$B$620)+$B$617,0)))</f>
        <v/>
      </c>
      <c r="D717" s="289">
        <f>IF(A717&lt;=$B$613,B717*$B$614/12,0)</f>
        <v/>
      </c>
      <c r="E717" s="289">
        <f>C717-D717</f>
        <v/>
      </c>
      <c r="F717" s="314">
        <f>(B717-E717)</f>
        <v/>
      </c>
      <c r="G717" s="112">
        <f>B717*(1-B$621)^($A717)</f>
        <v/>
      </c>
      <c r="H717" s="112">
        <f>IF(A717&lt;=$B$613,G717*$B$614/12,0)</f>
        <v/>
      </c>
      <c r="I717" s="315">
        <f>C717</f>
        <v/>
      </c>
      <c r="J717" s="314" t="n"/>
      <c r="K717" s="315">
        <f>C717</f>
        <v/>
      </c>
      <c r="L717" s="316">
        <f>F717/$B$612*100</f>
        <v/>
      </c>
      <c r="M717" s="317" t="n"/>
      <c r="N717" s="73" t="n">
        <v>86</v>
      </c>
      <c r="O717" s="289">
        <f>+S716</f>
        <v/>
      </c>
      <c r="P717" s="287">
        <f>(IF(N717&lt;$B$613,PMT($B$615/12,$B$613,-$B$612,$B$617,0),IF(N717=$B$613,PMT($B$615/12,$B$613,-$B$612,$B$617,0)+$B$617,0)))</f>
        <v/>
      </c>
      <c r="Q717" s="289">
        <f>IF(N717&lt;=$B$613,O717*$B$615/12,0)</f>
        <v/>
      </c>
      <c r="R717" s="289">
        <f>P717-Q717</f>
        <v/>
      </c>
      <c r="S717" s="314">
        <f>(O717-R717)</f>
        <v/>
      </c>
      <c r="T717" s="112">
        <f>O717*(1-B$621)^($N717)</f>
        <v/>
      </c>
      <c r="U717" s="112">
        <f>IF(N717&lt;=$B$613,T717*$B$615/12,0)</f>
        <v/>
      </c>
      <c r="V717" s="315">
        <f>P717</f>
        <v/>
      </c>
      <c r="W717" s="314" t="n"/>
      <c r="X717" s="315">
        <f>P717</f>
        <v/>
      </c>
      <c r="Y717" s="316">
        <f>S717/$B$612*100</f>
        <v/>
      </c>
      <c r="Z717" s="46" t="n"/>
      <c r="AA717" s="313">
        <f>+V717-I717</f>
        <v/>
      </c>
      <c r="AB717" s="46" t="n"/>
      <c r="AC717" s="46" t="n"/>
      <c r="AD717" s="46" t="n"/>
      <c r="AE717" s="46" t="n"/>
    </row>
    <row r="718">
      <c r="A718" s="73" t="n">
        <v>87</v>
      </c>
      <c r="B718" s="289">
        <f>+F717</f>
        <v/>
      </c>
      <c r="C718" s="287">
        <f>(IF(A718&lt;$B$613,PMT($B$614/12,$B$613,-$B$612,$B$617,$B$620),IF(A718=$B$613,PMT($B$614/12,$B$613,-$B$612,$B$617,$B$620)+$B$617,0)))</f>
        <v/>
      </c>
      <c r="D718" s="289">
        <f>IF(A718&lt;=$B$613,B718*$B$614/12,0)</f>
        <v/>
      </c>
      <c r="E718" s="289">
        <f>C718-D718</f>
        <v/>
      </c>
      <c r="F718" s="314">
        <f>(B718-E718)</f>
        <v/>
      </c>
      <c r="G718" s="112">
        <f>B718*(1-B$621)^($A718)</f>
        <v/>
      </c>
      <c r="H718" s="112">
        <f>IF(A718&lt;=$B$613,G718*$B$614/12,0)</f>
        <v/>
      </c>
      <c r="I718" s="315">
        <f>C718</f>
        <v/>
      </c>
      <c r="J718" s="314" t="n"/>
      <c r="K718" s="315">
        <f>C718</f>
        <v/>
      </c>
      <c r="L718" s="316">
        <f>F718/$B$612*100</f>
        <v/>
      </c>
      <c r="M718" s="317" t="n"/>
      <c r="N718" s="73" t="n">
        <v>87</v>
      </c>
      <c r="O718" s="289">
        <f>+S717</f>
        <v/>
      </c>
      <c r="P718" s="287">
        <f>(IF(N718&lt;$B$613,PMT($B$615/12,$B$613,-$B$612,$B$617,0),IF(N718=$B$613,PMT($B$615/12,$B$613,-$B$612,$B$617,0)+$B$617,0)))</f>
        <v/>
      </c>
      <c r="Q718" s="289">
        <f>IF(N718&lt;=$B$613,O718*$B$615/12,0)</f>
        <v/>
      </c>
      <c r="R718" s="289">
        <f>P718-Q718</f>
        <v/>
      </c>
      <c r="S718" s="314">
        <f>(O718-R718)</f>
        <v/>
      </c>
      <c r="T718" s="112">
        <f>O718*(1-B$621)^($N718)</f>
        <v/>
      </c>
      <c r="U718" s="112">
        <f>IF(N718&lt;=$B$613,T718*$B$615/12,0)</f>
        <v/>
      </c>
      <c r="V718" s="315">
        <f>P718</f>
        <v/>
      </c>
      <c r="W718" s="314" t="n"/>
      <c r="X718" s="315">
        <f>P718</f>
        <v/>
      </c>
      <c r="Y718" s="316">
        <f>S718/$B$612*100</f>
        <v/>
      </c>
      <c r="Z718" s="46" t="n"/>
      <c r="AA718" s="313">
        <f>+V718-I718</f>
        <v/>
      </c>
      <c r="AB718" s="46" t="n"/>
      <c r="AC718" s="46" t="n"/>
      <c r="AD718" s="46" t="n"/>
      <c r="AE718" s="46" t="n"/>
    </row>
    <row r="719">
      <c r="A719" s="73" t="n">
        <v>88</v>
      </c>
      <c r="B719" s="289">
        <f>+F718</f>
        <v/>
      </c>
      <c r="C719" s="287">
        <f>(IF(A719&lt;$B$613,PMT($B$614/12,$B$613,-$B$612,$B$617,$B$620),IF(A719=$B$613,PMT($B$614/12,$B$613,-$B$612,$B$617,$B$620)+$B$617,0)))</f>
        <v/>
      </c>
      <c r="D719" s="289">
        <f>IF(A719&lt;=$B$613,B719*$B$614/12,0)</f>
        <v/>
      </c>
      <c r="E719" s="289">
        <f>C719-D719</f>
        <v/>
      </c>
      <c r="F719" s="314">
        <f>(B719-E719)</f>
        <v/>
      </c>
      <c r="G719" s="112">
        <f>B719*(1-B$621)^($A719)</f>
        <v/>
      </c>
      <c r="H719" s="112">
        <f>IF(A719&lt;=$B$613,G719*$B$614/12,0)</f>
        <v/>
      </c>
      <c r="I719" s="315">
        <f>C719</f>
        <v/>
      </c>
      <c r="J719" s="314" t="n"/>
      <c r="K719" s="315">
        <f>C719</f>
        <v/>
      </c>
      <c r="L719" s="316">
        <f>F719/$B$612*100</f>
        <v/>
      </c>
      <c r="M719" s="317" t="n"/>
      <c r="N719" s="73" t="n">
        <v>88</v>
      </c>
      <c r="O719" s="289">
        <f>+S718</f>
        <v/>
      </c>
      <c r="P719" s="287">
        <f>(IF(N719&lt;$B$613,PMT($B$615/12,$B$613,-$B$612,$B$617,0),IF(N719=$B$613,PMT($B$615/12,$B$613,-$B$612,$B$617,0)+$B$617,0)))</f>
        <v/>
      </c>
      <c r="Q719" s="289">
        <f>IF(N719&lt;=$B$613,O719*$B$615/12,0)</f>
        <v/>
      </c>
      <c r="R719" s="289">
        <f>P719-Q719</f>
        <v/>
      </c>
      <c r="S719" s="314">
        <f>(O719-R719)</f>
        <v/>
      </c>
      <c r="T719" s="112">
        <f>O719*(1-B$621)^($N719)</f>
        <v/>
      </c>
      <c r="U719" s="112">
        <f>IF(N719&lt;=$B$613,T719*$B$615/12,0)</f>
        <v/>
      </c>
      <c r="V719" s="315">
        <f>P719</f>
        <v/>
      </c>
      <c r="W719" s="314" t="n"/>
      <c r="X719" s="315">
        <f>P719</f>
        <v/>
      </c>
      <c r="Y719" s="316">
        <f>S719/$B$612*100</f>
        <v/>
      </c>
      <c r="Z719" s="46" t="n"/>
      <c r="AA719" s="313">
        <f>+V719-I719</f>
        <v/>
      </c>
      <c r="AB719" s="46" t="n"/>
      <c r="AC719" s="46" t="n"/>
      <c r="AD719" s="46" t="n"/>
      <c r="AE719" s="46" t="n"/>
    </row>
    <row r="720">
      <c r="A720" s="73" t="n">
        <v>89</v>
      </c>
      <c r="B720" s="289">
        <f>+F719</f>
        <v/>
      </c>
      <c r="C720" s="287">
        <f>(IF(A720&lt;$B$613,PMT($B$614/12,$B$613,-$B$612,$B$617,$B$620),IF(A720=$B$613,PMT($B$614/12,$B$613,-$B$612,$B$617,$B$620)+$B$617,0)))</f>
        <v/>
      </c>
      <c r="D720" s="289">
        <f>IF(A720&lt;=$B$613,B720*$B$614/12,0)</f>
        <v/>
      </c>
      <c r="E720" s="289">
        <f>C720-D720</f>
        <v/>
      </c>
      <c r="F720" s="314">
        <f>(B720-E720)</f>
        <v/>
      </c>
      <c r="G720" s="112">
        <f>B720*(1-B$621)^($A720)</f>
        <v/>
      </c>
      <c r="H720" s="112">
        <f>IF(A720&lt;=$B$613,G720*$B$614/12,0)</f>
        <v/>
      </c>
      <c r="I720" s="315">
        <f>C720</f>
        <v/>
      </c>
      <c r="J720" s="314" t="n"/>
      <c r="K720" s="315">
        <f>C720</f>
        <v/>
      </c>
      <c r="L720" s="316">
        <f>F720/$B$612*100</f>
        <v/>
      </c>
      <c r="M720" s="317" t="n"/>
      <c r="N720" s="73" t="n">
        <v>89</v>
      </c>
      <c r="O720" s="289">
        <f>+S719</f>
        <v/>
      </c>
      <c r="P720" s="287">
        <f>(IF(N720&lt;$B$613,PMT($B$615/12,$B$613,-$B$612,$B$617,0),IF(N720=$B$613,PMT($B$615/12,$B$613,-$B$612,$B$617,0)+$B$617,0)))</f>
        <v/>
      </c>
      <c r="Q720" s="289">
        <f>IF(N720&lt;=$B$613,O720*$B$615/12,0)</f>
        <v/>
      </c>
      <c r="R720" s="289">
        <f>P720-Q720</f>
        <v/>
      </c>
      <c r="S720" s="314">
        <f>(O720-R720)</f>
        <v/>
      </c>
      <c r="T720" s="112">
        <f>O720*(1-B$621)^($N720)</f>
        <v/>
      </c>
      <c r="U720" s="112">
        <f>IF(N720&lt;=$B$613,T720*$B$615/12,0)</f>
        <v/>
      </c>
      <c r="V720" s="315">
        <f>P720</f>
        <v/>
      </c>
      <c r="W720" s="314" t="n"/>
      <c r="X720" s="315">
        <f>P720</f>
        <v/>
      </c>
      <c r="Y720" s="316">
        <f>S720/$B$612*100</f>
        <v/>
      </c>
      <c r="Z720" s="46" t="n"/>
      <c r="AA720" s="313">
        <f>+V720-I720</f>
        <v/>
      </c>
      <c r="AB720" s="46" t="n"/>
      <c r="AC720" s="46" t="n"/>
      <c r="AD720" s="46" t="n"/>
      <c r="AE720" s="46" t="n"/>
    </row>
    <row r="721">
      <c r="A721" s="73" t="n">
        <v>90</v>
      </c>
      <c r="B721" s="289">
        <f>+F720</f>
        <v/>
      </c>
      <c r="C721" s="287">
        <f>(IF(A721&lt;$B$613,PMT($B$614/12,$B$613,-$B$612,$B$617,$B$620),IF(A721=$B$613,PMT($B$614/12,$B$613,-$B$612,$B$617,$B$620)+$B$617,0)))</f>
        <v/>
      </c>
      <c r="D721" s="289">
        <f>IF(A721&lt;=$B$613,B721*$B$614/12,0)</f>
        <v/>
      </c>
      <c r="E721" s="289">
        <f>C721-D721</f>
        <v/>
      </c>
      <c r="F721" s="314">
        <f>(B721-E721)</f>
        <v/>
      </c>
      <c r="G721" s="112">
        <f>B721*(1-B$621)^($A721)</f>
        <v/>
      </c>
      <c r="H721" s="112">
        <f>IF(A721&lt;=$B$613,G721*$B$614/12,0)</f>
        <v/>
      </c>
      <c r="I721" s="315">
        <f>C721</f>
        <v/>
      </c>
      <c r="J721" s="314" t="n"/>
      <c r="K721" s="315">
        <f>C721</f>
        <v/>
      </c>
      <c r="L721" s="316">
        <f>F721/$B$612*100</f>
        <v/>
      </c>
      <c r="M721" s="317" t="n"/>
      <c r="N721" s="73" t="n">
        <v>90</v>
      </c>
      <c r="O721" s="289">
        <f>+S720</f>
        <v/>
      </c>
      <c r="P721" s="287">
        <f>(IF(N721&lt;$B$613,PMT($B$615/12,$B$613,-$B$612,$B$617,0),IF(N721=$B$613,PMT($B$615/12,$B$613,-$B$612,$B$617,0)+$B$617,0)))</f>
        <v/>
      </c>
      <c r="Q721" s="289">
        <f>IF(N721&lt;=$B$613,O721*$B$615/12,0)</f>
        <v/>
      </c>
      <c r="R721" s="289">
        <f>P721-Q721</f>
        <v/>
      </c>
      <c r="S721" s="314">
        <f>(O721-R721)</f>
        <v/>
      </c>
      <c r="T721" s="112">
        <f>O721*(1-B$621)^($N721)</f>
        <v/>
      </c>
      <c r="U721" s="112">
        <f>IF(N721&lt;=$B$613,T721*$B$615/12,0)</f>
        <v/>
      </c>
      <c r="V721" s="315">
        <f>P721</f>
        <v/>
      </c>
      <c r="W721" s="314" t="n"/>
      <c r="X721" s="315">
        <f>P721</f>
        <v/>
      </c>
      <c r="Y721" s="316">
        <f>S721/$B$612*100</f>
        <v/>
      </c>
      <c r="Z721" s="46" t="n"/>
      <c r="AA721" s="313">
        <f>+V721-I721</f>
        <v/>
      </c>
      <c r="AB721" s="46" t="n"/>
      <c r="AC721" s="46" t="n"/>
      <c r="AD721" s="46" t="n"/>
      <c r="AE721" s="46" t="n"/>
    </row>
    <row r="722">
      <c r="A722" s="73" t="n">
        <v>91</v>
      </c>
      <c r="B722" s="289">
        <f>+F721</f>
        <v/>
      </c>
      <c r="C722" s="287">
        <f>(IF(A722&lt;$B$613,PMT($B$614/12,$B$613,-$B$612,$B$617,$B$620),IF(A722=$B$613,PMT($B$614/12,$B$613,-$B$612,$B$617,$B$620)+$B$617,0)))</f>
        <v/>
      </c>
      <c r="D722" s="289">
        <f>IF(A722&lt;=$B$613,B722*$B$614/12,0)</f>
        <v/>
      </c>
      <c r="E722" s="289">
        <f>C722-D722</f>
        <v/>
      </c>
      <c r="F722" s="314">
        <f>(B722-E722)</f>
        <v/>
      </c>
      <c r="G722" s="112">
        <f>B722*(1-B$621)^($A722)</f>
        <v/>
      </c>
      <c r="H722" s="112">
        <f>IF(A722&lt;=$B$613,G722*$B$614/12,0)</f>
        <v/>
      </c>
      <c r="I722" s="315">
        <f>C722</f>
        <v/>
      </c>
      <c r="J722" s="314" t="n"/>
      <c r="K722" s="315">
        <f>C722</f>
        <v/>
      </c>
      <c r="L722" s="316">
        <f>F722/$B$612*100</f>
        <v/>
      </c>
      <c r="M722" s="317" t="n"/>
      <c r="N722" s="73" t="n">
        <v>91</v>
      </c>
      <c r="O722" s="289">
        <f>+S721</f>
        <v/>
      </c>
      <c r="P722" s="287">
        <f>(IF(N722&lt;$B$613,PMT($B$615/12,$B$613,-$B$612,$B$617,0),IF(N722=$B$613,PMT($B$615/12,$B$613,-$B$612,$B$617,0)+$B$617,0)))</f>
        <v/>
      </c>
      <c r="Q722" s="289">
        <f>IF(N722&lt;=$B$613,O722*$B$615/12,0)</f>
        <v/>
      </c>
      <c r="R722" s="289">
        <f>P722-Q722</f>
        <v/>
      </c>
      <c r="S722" s="314">
        <f>(O722-R722)</f>
        <v/>
      </c>
      <c r="T722" s="112">
        <f>O722*(1-B$621)^($N722)</f>
        <v/>
      </c>
      <c r="U722" s="112">
        <f>IF(N722&lt;=$B$613,T722*$B$615/12,0)</f>
        <v/>
      </c>
      <c r="V722" s="315">
        <f>P722</f>
        <v/>
      </c>
      <c r="W722" s="314" t="n"/>
      <c r="X722" s="315">
        <f>P722</f>
        <v/>
      </c>
      <c r="Y722" s="316">
        <f>S722/$B$612*100</f>
        <v/>
      </c>
      <c r="Z722" s="46" t="n"/>
      <c r="AA722" s="313">
        <f>+V722-I722</f>
        <v/>
      </c>
      <c r="AB722" s="46" t="n"/>
      <c r="AC722" s="46" t="n"/>
      <c r="AD722" s="46" t="n"/>
      <c r="AE722" s="46" t="n"/>
    </row>
    <row r="723">
      <c r="A723" s="73" t="n">
        <v>92</v>
      </c>
      <c r="B723" s="289">
        <f>+F722</f>
        <v/>
      </c>
      <c r="C723" s="287">
        <f>(IF(A723&lt;$B$613,PMT($B$614/12,$B$613,-$B$612,$B$617,$B$620),IF(A723=$B$613,PMT($B$614/12,$B$613,-$B$612,$B$617,$B$620)+$B$617,0)))</f>
        <v/>
      </c>
      <c r="D723" s="289">
        <f>IF(A723&lt;=$B$613,B723*$B$614/12,0)</f>
        <v/>
      </c>
      <c r="E723" s="289">
        <f>C723-D723</f>
        <v/>
      </c>
      <c r="F723" s="314">
        <f>(B723-E723)</f>
        <v/>
      </c>
      <c r="G723" s="112">
        <f>B723*(1-B$621)^($A723)</f>
        <v/>
      </c>
      <c r="H723" s="112">
        <f>IF(A723&lt;=$B$613,G723*$B$614/12,0)</f>
        <v/>
      </c>
      <c r="I723" s="315">
        <f>C723</f>
        <v/>
      </c>
      <c r="J723" s="314" t="n"/>
      <c r="K723" s="315">
        <f>C723</f>
        <v/>
      </c>
      <c r="L723" s="316">
        <f>F723/$B$612*100</f>
        <v/>
      </c>
      <c r="M723" s="317" t="n"/>
      <c r="N723" s="73" t="n">
        <v>92</v>
      </c>
      <c r="O723" s="289">
        <f>+S722</f>
        <v/>
      </c>
      <c r="P723" s="287">
        <f>(IF(N723&lt;$B$613,PMT($B$615/12,$B$613,-$B$612,$B$617,0),IF(N723=$B$613,PMT($B$615/12,$B$613,-$B$612,$B$617,0)+$B$617,0)))</f>
        <v/>
      </c>
      <c r="Q723" s="289">
        <f>IF(N723&lt;=$B$613,O723*$B$615/12,0)</f>
        <v/>
      </c>
      <c r="R723" s="289">
        <f>P723-Q723</f>
        <v/>
      </c>
      <c r="S723" s="314">
        <f>(O723-R723)</f>
        <v/>
      </c>
      <c r="T723" s="112">
        <f>O723*(1-B$621)^($N723)</f>
        <v/>
      </c>
      <c r="U723" s="112">
        <f>IF(N723&lt;=$B$613,T723*$B$615/12,0)</f>
        <v/>
      </c>
      <c r="V723" s="315">
        <f>P723</f>
        <v/>
      </c>
      <c r="W723" s="314" t="n"/>
      <c r="X723" s="315">
        <f>P723</f>
        <v/>
      </c>
      <c r="Y723" s="316">
        <f>S723/$B$612*100</f>
        <v/>
      </c>
      <c r="Z723" s="46" t="n"/>
      <c r="AA723" s="313">
        <f>+V723-I723</f>
        <v/>
      </c>
      <c r="AB723" s="46" t="n"/>
      <c r="AC723" s="46" t="n"/>
      <c r="AD723" s="46" t="n"/>
      <c r="AE723" s="46" t="n"/>
    </row>
    <row r="724">
      <c r="A724" s="73" t="n">
        <v>93</v>
      </c>
      <c r="B724" s="289">
        <f>+F723</f>
        <v/>
      </c>
      <c r="C724" s="287">
        <f>(IF(A724&lt;$B$613,PMT($B$614/12,$B$613,-$B$612,$B$617,$B$620),IF(A724=$B$613,PMT($B$614/12,$B$613,-$B$612,$B$617,$B$620)+$B$617,0)))</f>
        <v/>
      </c>
      <c r="D724" s="289">
        <f>IF(A724&lt;=$B$613,B724*$B$614/12,0)</f>
        <v/>
      </c>
      <c r="E724" s="289">
        <f>C724-D724</f>
        <v/>
      </c>
      <c r="F724" s="314">
        <f>(B724-E724)</f>
        <v/>
      </c>
      <c r="G724" s="112">
        <f>B724*(1-B$621)^($A724)</f>
        <v/>
      </c>
      <c r="H724" s="112">
        <f>IF(A724&lt;=$B$613,G724*$B$614/12,0)</f>
        <v/>
      </c>
      <c r="I724" s="315">
        <f>C724</f>
        <v/>
      </c>
      <c r="J724" s="314" t="n"/>
      <c r="K724" s="315">
        <f>C724</f>
        <v/>
      </c>
      <c r="L724" s="316">
        <f>F724/$B$612*100</f>
        <v/>
      </c>
      <c r="M724" s="317" t="n"/>
      <c r="N724" s="73" t="n">
        <v>93</v>
      </c>
      <c r="O724" s="289">
        <f>+S723</f>
        <v/>
      </c>
      <c r="P724" s="287">
        <f>(IF(N724&lt;$B$613,PMT($B$615/12,$B$613,-$B$612,$B$617,0),IF(N724=$B$613,PMT($B$615/12,$B$613,-$B$612,$B$617,0)+$B$617,0)))</f>
        <v/>
      </c>
      <c r="Q724" s="289">
        <f>IF(N724&lt;=$B$613,O724*$B$615/12,0)</f>
        <v/>
      </c>
      <c r="R724" s="289">
        <f>P724-Q724</f>
        <v/>
      </c>
      <c r="S724" s="314">
        <f>(O724-R724)</f>
        <v/>
      </c>
      <c r="T724" s="112">
        <f>O724*(1-B$621)^($N724)</f>
        <v/>
      </c>
      <c r="U724" s="112">
        <f>IF(N724&lt;=$B$613,T724*$B$615/12,0)</f>
        <v/>
      </c>
      <c r="V724" s="315">
        <f>P724</f>
        <v/>
      </c>
      <c r="W724" s="314" t="n"/>
      <c r="X724" s="315">
        <f>P724</f>
        <v/>
      </c>
      <c r="Y724" s="316">
        <f>S724/$B$612*100</f>
        <v/>
      </c>
      <c r="Z724" s="46" t="n"/>
      <c r="AA724" s="313">
        <f>+V724-I724</f>
        <v/>
      </c>
      <c r="AB724" s="46" t="n"/>
      <c r="AC724" s="46" t="n"/>
      <c r="AD724" s="46" t="n"/>
      <c r="AE724" s="46" t="n"/>
    </row>
    <row r="725">
      <c r="A725" s="73" t="n">
        <v>94</v>
      </c>
      <c r="B725" s="289">
        <f>+F724</f>
        <v/>
      </c>
      <c r="C725" s="287">
        <f>(IF(A725&lt;$B$613,PMT($B$614/12,$B$613,-$B$612,$B$617,$B$620),IF(A725=$B$613,PMT($B$614/12,$B$613,-$B$612,$B$617,$B$620)+$B$617,0)))</f>
        <v/>
      </c>
      <c r="D725" s="289">
        <f>IF(A725&lt;=$B$613,B725*$B$614/12,0)</f>
        <v/>
      </c>
      <c r="E725" s="289">
        <f>C725-D725</f>
        <v/>
      </c>
      <c r="F725" s="314">
        <f>(B725-E725)</f>
        <v/>
      </c>
      <c r="G725" s="112">
        <f>B725*(1-B$621)^($A725)</f>
        <v/>
      </c>
      <c r="H725" s="112">
        <f>IF(A725&lt;=$B$613,G725*$B$614/12,0)</f>
        <v/>
      </c>
      <c r="I725" s="315">
        <f>C725</f>
        <v/>
      </c>
      <c r="J725" s="314" t="n"/>
      <c r="K725" s="315">
        <f>C725</f>
        <v/>
      </c>
      <c r="L725" s="316">
        <f>F725/$B$612*100</f>
        <v/>
      </c>
      <c r="M725" s="317" t="n"/>
      <c r="N725" s="73" t="n">
        <v>94</v>
      </c>
      <c r="O725" s="289">
        <f>+S724</f>
        <v/>
      </c>
      <c r="P725" s="287">
        <f>(IF(N725&lt;$B$613,PMT($B$615/12,$B$613,-$B$612,$B$617,0),IF(N725=$B$613,PMT($B$615/12,$B$613,-$B$612,$B$617,0)+$B$617,0)))</f>
        <v/>
      </c>
      <c r="Q725" s="289">
        <f>IF(N725&lt;=$B$613,O725*$B$615/12,0)</f>
        <v/>
      </c>
      <c r="R725" s="289">
        <f>P725-Q725</f>
        <v/>
      </c>
      <c r="S725" s="314">
        <f>(O725-R725)</f>
        <v/>
      </c>
      <c r="T725" s="112">
        <f>O725*(1-B$621)^($N725)</f>
        <v/>
      </c>
      <c r="U725" s="112">
        <f>IF(N725&lt;=$B$613,T725*$B$615/12,0)</f>
        <v/>
      </c>
      <c r="V725" s="315">
        <f>P725</f>
        <v/>
      </c>
      <c r="W725" s="314" t="n"/>
      <c r="X725" s="315">
        <f>P725</f>
        <v/>
      </c>
      <c r="Y725" s="316">
        <f>S725/$B$612*100</f>
        <v/>
      </c>
      <c r="Z725" s="46" t="n"/>
      <c r="AA725" s="313">
        <f>+V725-I725</f>
        <v/>
      </c>
      <c r="AB725" s="46" t="n"/>
      <c r="AC725" s="46" t="n"/>
      <c r="AD725" s="46" t="n"/>
      <c r="AE725" s="46" t="n"/>
    </row>
    <row r="726">
      <c r="A726" s="73" t="n">
        <v>95</v>
      </c>
      <c r="B726" s="289">
        <f>+F725</f>
        <v/>
      </c>
      <c r="C726" s="287">
        <f>(IF(A726&lt;$B$613,PMT($B$614/12,$B$613,-$B$612,$B$617,$B$620),IF(A726=$B$613,PMT($B$614/12,$B$613,-$B$612,$B$617,$B$620)+$B$617,0)))</f>
        <v/>
      </c>
      <c r="D726" s="289">
        <f>IF(A726&lt;=$B$613,B726*$B$614/12,0)</f>
        <v/>
      </c>
      <c r="E726" s="289">
        <f>C726-D726</f>
        <v/>
      </c>
      <c r="F726" s="314">
        <f>(B726-E726)</f>
        <v/>
      </c>
      <c r="G726" s="112">
        <f>B726*(1-B$621)^($A726)</f>
        <v/>
      </c>
      <c r="H726" s="112">
        <f>IF(A726&lt;=$B$613,G726*$B$614/12,0)</f>
        <v/>
      </c>
      <c r="I726" s="315">
        <f>C726</f>
        <v/>
      </c>
      <c r="J726" s="314" t="n"/>
      <c r="K726" s="315">
        <f>C726</f>
        <v/>
      </c>
      <c r="L726" s="316">
        <f>F726/$B$612*100</f>
        <v/>
      </c>
      <c r="M726" s="317" t="n"/>
      <c r="N726" s="73" t="n">
        <v>95</v>
      </c>
      <c r="O726" s="289">
        <f>+S725</f>
        <v/>
      </c>
      <c r="P726" s="287">
        <f>(IF(N726&lt;$B$613,PMT($B$615/12,$B$613,-$B$612,$B$617,0),IF(N726=$B$613,PMT($B$615/12,$B$613,-$B$612,$B$617,0)+$B$617,0)))</f>
        <v/>
      </c>
      <c r="Q726" s="289">
        <f>IF(N726&lt;=$B$613,O726*$B$615/12,0)</f>
        <v/>
      </c>
      <c r="R726" s="289">
        <f>P726-Q726</f>
        <v/>
      </c>
      <c r="S726" s="314">
        <f>(O726-R726)</f>
        <v/>
      </c>
      <c r="T726" s="112">
        <f>O726*(1-B$621)^($N726)</f>
        <v/>
      </c>
      <c r="U726" s="112">
        <f>IF(N726&lt;=$B$613,T726*$B$615/12,0)</f>
        <v/>
      </c>
      <c r="V726" s="315">
        <f>P726</f>
        <v/>
      </c>
      <c r="W726" s="314" t="n"/>
      <c r="X726" s="315">
        <f>P726</f>
        <v/>
      </c>
      <c r="Y726" s="316">
        <f>S726/$B$612*100</f>
        <v/>
      </c>
      <c r="Z726" s="46" t="n"/>
      <c r="AA726" s="313">
        <f>+V726-I726</f>
        <v/>
      </c>
      <c r="AB726" s="46" t="n"/>
      <c r="AC726" s="46" t="n"/>
      <c r="AD726" s="46" t="n"/>
      <c r="AE726" s="46" t="n"/>
    </row>
    <row r="727">
      <c r="A727" s="73" t="n">
        <v>96</v>
      </c>
      <c r="B727" s="289">
        <f>+F726</f>
        <v/>
      </c>
      <c r="C727" s="287">
        <f>(IF(A727&lt;$B$613,PMT($B$614/12,$B$613,-$B$612,$B$617,$B$620),IF(A727=$B$613,PMT($B$614/12,$B$613,-$B$612,$B$617,$B$620)+$B$617,0)))</f>
        <v/>
      </c>
      <c r="D727" s="289">
        <f>IF(A727&lt;=$B$613,B727*$B$614/12,0)</f>
        <v/>
      </c>
      <c r="E727" s="289">
        <f>C727-D727</f>
        <v/>
      </c>
      <c r="F727" s="314">
        <f>(B727-E727)</f>
        <v/>
      </c>
      <c r="G727" s="112">
        <f>B727*(1-B$621)^($A727)</f>
        <v/>
      </c>
      <c r="H727" s="112">
        <f>IF(A727&lt;=$B$613,G727*$B$614/12,0)</f>
        <v/>
      </c>
      <c r="I727" s="315">
        <f>C727</f>
        <v/>
      </c>
      <c r="J727" s="314" t="n"/>
      <c r="K727" s="315">
        <f>C727</f>
        <v/>
      </c>
      <c r="L727" s="316">
        <f>F727/$B$612*100</f>
        <v/>
      </c>
      <c r="M727" s="317" t="n"/>
      <c r="N727" s="73" t="n">
        <v>96</v>
      </c>
      <c r="O727" s="289">
        <f>+S726</f>
        <v/>
      </c>
      <c r="P727" s="287">
        <f>(IF(N727&lt;$B$613,PMT($B$615/12,$B$613,-$B$612,$B$617,0),IF(N727=$B$613,PMT($B$615/12,$B$613,-$B$612,$B$617,0)+$B$617,0)))</f>
        <v/>
      </c>
      <c r="Q727" s="289">
        <f>IF(N727&lt;=$B$613,O727*$B$615/12,0)</f>
        <v/>
      </c>
      <c r="R727" s="289">
        <f>P727-Q727</f>
        <v/>
      </c>
      <c r="S727" s="314">
        <f>(O727-R727)</f>
        <v/>
      </c>
      <c r="T727" s="112">
        <f>O727*(1-B$621)^($N727)</f>
        <v/>
      </c>
      <c r="U727" s="112">
        <f>IF(N727&lt;=$B$613,T727*$B$615/12,0)</f>
        <v/>
      </c>
      <c r="V727" s="315">
        <f>P727</f>
        <v/>
      </c>
      <c r="W727" s="314" t="n"/>
      <c r="X727" s="315">
        <f>P727</f>
        <v/>
      </c>
      <c r="Y727" s="316">
        <f>S727/$B$612*100</f>
        <v/>
      </c>
      <c r="Z727" s="46" t="n"/>
      <c r="AA727" s="313">
        <f>+V727-I727</f>
        <v/>
      </c>
      <c r="AB727" s="46" t="n"/>
      <c r="AC727" s="46" t="n"/>
      <c r="AD727" s="46" t="n"/>
      <c r="AE727" s="46" t="n"/>
    </row>
    <row r="728">
      <c r="A728" s="73" t="n">
        <v>97</v>
      </c>
      <c r="B728" s="289">
        <f>+F727</f>
        <v/>
      </c>
      <c r="C728" s="287">
        <f>(IF(A728&lt;$B$613,PMT($B$614/12,$B$613,-$B$612,$B$617,$B$620),IF(A728=$B$613,PMT($B$614/12,$B$613,-$B$612,$B$617,$B$620)+$B$617,0)))</f>
        <v/>
      </c>
      <c r="D728" s="289">
        <f>IF(A728&lt;=$B$613,B728*$B$614/12,0)</f>
        <v/>
      </c>
      <c r="E728" s="289">
        <f>C728-D728</f>
        <v/>
      </c>
      <c r="F728" s="314">
        <f>(B728-E728)</f>
        <v/>
      </c>
      <c r="G728" s="112">
        <f>B728*(1-B$621)^($A728)</f>
        <v/>
      </c>
      <c r="H728" s="112">
        <f>IF(A728&lt;=$B$613,G728*$B$614/12,0)</f>
        <v/>
      </c>
      <c r="I728" s="315">
        <f>C728</f>
        <v/>
      </c>
      <c r="J728" s="314" t="n"/>
      <c r="K728" s="315">
        <f>C728</f>
        <v/>
      </c>
      <c r="L728" s="316">
        <f>F728/$B$612*100</f>
        <v/>
      </c>
      <c r="M728" s="317" t="n"/>
      <c r="N728" s="73" t="n">
        <v>97</v>
      </c>
      <c r="O728" s="289">
        <f>+S727</f>
        <v/>
      </c>
      <c r="P728" s="287">
        <f>(IF(N728&lt;$B$613,PMT($B$615/12,$B$613,-$B$612,$B$617,0),IF(N728=$B$613,PMT($B$615/12,$B$613,-$B$612,$B$617,0)+$B$617,0)))</f>
        <v/>
      </c>
      <c r="Q728" s="289">
        <f>IF(N728&lt;=$B$613,O728*$B$615/12,0)</f>
        <v/>
      </c>
      <c r="R728" s="289">
        <f>P728-Q728</f>
        <v/>
      </c>
      <c r="S728" s="314">
        <f>(O728-R728)</f>
        <v/>
      </c>
      <c r="T728" s="112">
        <f>O728*(1-B$621)^($N728)</f>
        <v/>
      </c>
      <c r="U728" s="112">
        <f>IF(N728&lt;=$B$613,T728*$B$615/12,0)</f>
        <v/>
      </c>
      <c r="V728" s="315">
        <f>P728</f>
        <v/>
      </c>
      <c r="W728" s="314" t="n"/>
      <c r="X728" s="315">
        <f>P728</f>
        <v/>
      </c>
      <c r="Y728" s="316">
        <f>S728/$B$612*100</f>
        <v/>
      </c>
      <c r="Z728" s="46" t="n"/>
      <c r="AA728" s="313">
        <f>+V728-I728</f>
        <v/>
      </c>
      <c r="AB728" s="46" t="n"/>
      <c r="AC728" s="46" t="n"/>
      <c r="AD728" s="46" t="n"/>
      <c r="AE728" s="46" t="n"/>
    </row>
    <row r="729">
      <c r="A729" s="73" t="n">
        <v>98</v>
      </c>
      <c r="B729" s="289">
        <f>+F728</f>
        <v/>
      </c>
      <c r="C729" s="287">
        <f>(IF(A729&lt;$B$613,PMT($B$614/12,$B$613,-$B$612,$B$617,$B$620),IF(A729=$B$613,PMT($B$614/12,$B$613,-$B$612,$B$617,$B$620)+$B$617,0)))</f>
        <v/>
      </c>
      <c r="D729" s="289">
        <f>IF(A729&lt;=$B$613,B729*$B$614/12,0)</f>
        <v/>
      </c>
      <c r="E729" s="289">
        <f>C729-D729</f>
        <v/>
      </c>
      <c r="F729" s="314">
        <f>(B729-E729)</f>
        <v/>
      </c>
      <c r="G729" s="112">
        <f>B729*(1-B$621)^($A729)</f>
        <v/>
      </c>
      <c r="H729" s="112">
        <f>IF(A729&lt;=$B$613,G729*$B$614/12,0)</f>
        <v/>
      </c>
      <c r="I729" s="315">
        <f>C729</f>
        <v/>
      </c>
      <c r="J729" s="314" t="n"/>
      <c r="K729" s="315">
        <f>C729</f>
        <v/>
      </c>
      <c r="L729" s="316">
        <f>F729/$B$612*100</f>
        <v/>
      </c>
      <c r="M729" s="317" t="n"/>
      <c r="N729" s="73" t="n">
        <v>98</v>
      </c>
      <c r="O729" s="289">
        <f>+S728</f>
        <v/>
      </c>
      <c r="P729" s="287">
        <f>(IF(N729&lt;$B$613,PMT($B$615/12,$B$613,-$B$612,$B$617,0),IF(N729=$B$613,PMT($B$615/12,$B$613,-$B$612,$B$617,0)+$B$617,0)))</f>
        <v/>
      </c>
      <c r="Q729" s="289">
        <f>IF(N729&lt;=$B$613,O729*$B$615/12,0)</f>
        <v/>
      </c>
      <c r="R729" s="289">
        <f>P729-Q729</f>
        <v/>
      </c>
      <c r="S729" s="314">
        <f>(O729-R729)</f>
        <v/>
      </c>
      <c r="T729" s="112">
        <f>O729*(1-B$621)^($N729)</f>
        <v/>
      </c>
      <c r="U729" s="112">
        <f>IF(N729&lt;=$B$613,T729*$B$615/12,0)</f>
        <v/>
      </c>
      <c r="V729" s="315">
        <f>P729</f>
        <v/>
      </c>
      <c r="W729" s="314" t="n"/>
      <c r="X729" s="315">
        <f>P729</f>
        <v/>
      </c>
      <c r="Y729" s="316">
        <f>S729/$B$612*100</f>
        <v/>
      </c>
      <c r="Z729" s="46" t="n"/>
      <c r="AA729" s="313">
        <f>+V729-I729</f>
        <v/>
      </c>
      <c r="AB729" s="46" t="n"/>
      <c r="AC729" s="46" t="n"/>
      <c r="AD729" s="46" t="n"/>
      <c r="AE729" s="46" t="n"/>
    </row>
    <row r="730">
      <c r="A730" s="73" t="n">
        <v>99</v>
      </c>
      <c r="B730" s="289">
        <f>+F729</f>
        <v/>
      </c>
      <c r="C730" s="287">
        <f>(IF(A730&lt;$B$613,PMT($B$614/12,$B$613,-$B$612,$B$617,$B$620),IF(A730=$B$613,PMT($B$614/12,$B$613,-$B$612,$B$617,$B$620)+$B$617,0)))</f>
        <v/>
      </c>
      <c r="D730" s="289">
        <f>IF(A730&lt;=$B$613,B730*$B$614/12,0)</f>
        <v/>
      </c>
      <c r="E730" s="289">
        <f>C730-D730</f>
        <v/>
      </c>
      <c r="F730" s="314">
        <f>(B730-E730)</f>
        <v/>
      </c>
      <c r="G730" s="112">
        <f>B730*(1-B$621)^($A730)</f>
        <v/>
      </c>
      <c r="H730" s="112">
        <f>IF(A730&lt;=$B$613,G730*$B$614/12,0)</f>
        <v/>
      </c>
      <c r="I730" s="315">
        <f>C730</f>
        <v/>
      </c>
      <c r="J730" s="314" t="n"/>
      <c r="K730" s="315">
        <f>C730</f>
        <v/>
      </c>
      <c r="L730" s="316">
        <f>F730/$B$612*100</f>
        <v/>
      </c>
      <c r="M730" s="317" t="n"/>
      <c r="N730" s="73" t="n">
        <v>99</v>
      </c>
      <c r="O730" s="289">
        <f>+S729</f>
        <v/>
      </c>
      <c r="P730" s="287">
        <f>(IF(N730&lt;$B$613,PMT($B$615/12,$B$613,-$B$612,$B$617,0),IF(N730=$B$613,PMT($B$615/12,$B$613,-$B$612,$B$617,0)+$B$617,0)))</f>
        <v/>
      </c>
      <c r="Q730" s="289">
        <f>IF(N730&lt;=$B$613,O730*$B$615/12,0)</f>
        <v/>
      </c>
      <c r="R730" s="289">
        <f>P730-Q730</f>
        <v/>
      </c>
      <c r="S730" s="314">
        <f>(O730-R730)</f>
        <v/>
      </c>
      <c r="T730" s="112">
        <f>O730*(1-B$621)^($N730)</f>
        <v/>
      </c>
      <c r="U730" s="112">
        <f>IF(N730&lt;=$B$613,T730*$B$615/12,0)</f>
        <v/>
      </c>
      <c r="V730" s="315">
        <f>P730</f>
        <v/>
      </c>
      <c r="W730" s="314" t="n"/>
      <c r="X730" s="315">
        <f>P730</f>
        <v/>
      </c>
      <c r="Y730" s="316">
        <f>S730/$B$612*100</f>
        <v/>
      </c>
      <c r="Z730" s="46" t="n"/>
      <c r="AA730" s="313">
        <f>+V730-I730</f>
        <v/>
      </c>
      <c r="AB730" s="46" t="n"/>
      <c r="AC730" s="46" t="n"/>
      <c r="AD730" s="46" t="n"/>
      <c r="AE730" s="46" t="n"/>
    </row>
    <row r="731">
      <c r="A731" s="73" t="n">
        <v>100</v>
      </c>
      <c r="B731" s="289">
        <f>+F730</f>
        <v/>
      </c>
      <c r="C731" s="287">
        <f>(IF(A731&lt;$B$613,PMT($B$614/12,$B$613,-$B$612,$B$617,$B$620),IF(A731=$B$613,PMT($B$614/12,$B$613,-$B$612,$B$617,$B$620)+$B$617,0)))</f>
        <v/>
      </c>
      <c r="D731" s="289">
        <f>IF(A731&lt;=$B$613,B731*$B$614/12,0)</f>
        <v/>
      </c>
      <c r="E731" s="289">
        <f>C731-D731</f>
        <v/>
      </c>
      <c r="F731" s="314">
        <f>(B731-E731)</f>
        <v/>
      </c>
      <c r="G731" s="112">
        <f>B731*(1-B$621)^($A731)</f>
        <v/>
      </c>
      <c r="H731" s="112">
        <f>IF(A731&lt;=$B$613,G731*$B$614/12,0)</f>
        <v/>
      </c>
      <c r="I731" s="315">
        <f>C731</f>
        <v/>
      </c>
      <c r="J731" s="314" t="n"/>
      <c r="K731" s="315">
        <f>C731</f>
        <v/>
      </c>
      <c r="L731" s="316">
        <f>F731/$B$612*100</f>
        <v/>
      </c>
      <c r="M731" s="317" t="n"/>
      <c r="N731" s="73" t="n">
        <v>100</v>
      </c>
      <c r="O731" s="289">
        <f>+S730</f>
        <v/>
      </c>
      <c r="P731" s="287">
        <f>(IF(N731&lt;$B$613,PMT($B$615/12,$B$613,-$B$612,$B$617,0),IF(N731=$B$613,PMT($B$615/12,$B$613,-$B$612,$B$617,0)+$B$617,0)))</f>
        <v/>
      </c>
      <c r="Q731" s="289">
        <f>IF(N731&lt;=$B$613,O731*$B$615/12,0)</f>
        <v/>
      </c>
      <c r="R731" s="289">
        <f>P731-Q731</f>
        <v/>
      </c>
      <c r="S731" s="314">
        <f>(O731-R731)</f>
        <v/>
      </c>
      <c r="T731" s="112">
        <f>O731*(1-B$621)^($N731)</f>
        <v/>
      </c>
      <c r="U731" s="112">
        <f>IF(N731&lt;=$B$613,T731*$B$615/12,0)</f>
        <v/>
      </c>
      <c r="V731" s="315">
        <f>P731</f>
        <v/>
      </c>
      <c r="W731" s="314" t="n"/>
      <c r="X731" s="315">
        <f>P731</f>
        <v/>
      </c>
      <c r="Y731" s="316">
        <f>S731/$B$612*100</f>
        <v/>
      </c>
      <c r="Z731" s="46" t="n"/>
      <c r="AA731" s="313">
        <f>+V731-I731</f>
        <v/>
      </c>
      <c r="AB731" s="46" t="n"/>
      <c r="AC731" s="46" t="n"/>
      <c r="AD731" s="46" t="n"/>
      <c r="AE731" s="46" t="n"/>
    </row>
    <row r="732">
      <c r="A732" s="73" t="n">
        <v>101</v>
      </c>
      <c r="B732" s="289">
        <f>+F731</f>
        <v/>
      </c>
      <c r="C732" s="287">
        <f>(IF(A732&lt;$B$613,PMT($B$614/12,$B$613,-$B$612,$B$617,$B$620),IF(A732=$B$613,PMT($B$614/12,$B$613,-$B$612,$B$617,$B$620)+$B$617,0)))</f>
        <v/>
      </c>
      <c r="D732" s="289">
        <f>IF(A732&lt;=$B$613,B732*$B$614/12,0)</f>
        <v/>
      </c>
      <c r="E732" s="289">
        <f>C732-D732</f>
        <v/>
      </c>
      <c r="F732" s="314">
        <f>(B732-E732)</f>
        <v/>
      </c>
      <c r="G732" s="112">
        <f>B732*(1-B$621)^($A732)</f>
        <v/>
      </c>
      <c r="H732" s="112">
        <f>IF(A732&lt;=$B$613,G732*$B$614/12,0)</f>
        <v/>
      </c>
      <c r="I732" s="315">
        <f>C732</f>
        <v/>
      </c>
      <c r="J732" s="314" t="n"/>
      <c r="K732" s="315">
        <f>C732</f>
        <v/>
      </c>
      <c r="L732" s="316">
        <f>F732/$B$612*100</f>
        <v/>
      </c>
      <c r="M732" s="317" t="n"/>
      <c r="N732" s="73" t="n">
        <v>101</v>
      </c>
      <c r="O732" s="289">
        <f>+S731</f>
        <v/>
      </c>
      <c r="P732" s="287">
        <f>(IF(N732&lt;$B$613,PMT($B$615/12,$B$613,-$B$612,$B$617,0),IF(N732=$B$613,PMT($B$615/12,$B$613,-$B$612,$B$617,0)+$B$617,0)))</f>
        <v/>
      </c>
      <c r="Q732" s="289">
        <f>IF(N732&lt;=$B$613,O732*$B$615/12,0)</f>
        <v/>
      </c>
      <c r="R732" s="289">
        <f>P732-Q732</f>
        <v/>
      </c>
      <c r="S732" s="314">
        <f>(O732-R732)</f>
        <v/>
      </c>
      <c r="T732" s="112">
        <f>O732*(1-B$621)^($N732)</f>
        <v/>
      </c>
      <c r="U732" s="112">
        <f>IF(N732&lt;=$B$613,T732*$B$615/12,0)</f>
        <v/>
      </c>
      <c r="V732" s="315">
        <f>P732</f>
        <v/>
      </c>
      <c r="W732" s="314" t="n"/>
      <c r="X732" s="315">
        <f>P732</f>
        <v/>
      </c>
      <c r="Y732" s="316">
        <f>S732/$B$612*100</f>
        <v/>
      </c>
      <c r="Z732" s="46" t="n"/>
      <c r="AA732" s="313">
        <f>+V732-I732</f>
        <v/>
      </c>
      <c r="AB732" s="46" t="n"/>
      <c r="AC732" s="46" t="n"/>
      <c r="AD732" s="46" t="n"/>
      <c r="AE732" s="46" t="n"/>
    </row>
    <row r="733">
      <c r="A733" s="73" t="n">
        <v>102</v>
      </c>
      <c r="B733" s="289">
        <f>+F732</f>
        <v/>
      </c>
      <c r="C733" s="287">
        <f>(IF(A733&lt;$B$613,PMT($B$614/12,$B$613,-$B$612,$B$617,$B$620),IF(A733=$B$613,PMT($B$614/12,$B$613,-$B$612,$B$617,$B$620)+$B$617,0)))</f>
        <v/>
      </c>
      <c r="D733" s="289">
        <f>IF(A733&lt;=$B$613,B733*$B$614/12,0)</f>
        <v/>
      </c>
      <c r="E733" s="289">
        <f>C733-D733</f>
        <v/>
      </c>
      <c r="F733" s="314">
        <f>(B733-E733)</f>
        <v/>
      </c>
      <c r="G733" s="112">
        <f>B733*(1-B$621)^($A733)</f>
        <v/>
      </c>
      <c r="H733" s="112">
        <f>IF(A733&lt;=$B$613,G733*$B$614/12,0)</f>
        <v/>
      </c>
      <c r="I733" s="315">
        <f>C733</f>
        <v/>
      </c>
      <c r="J733" s="314" t="n"/>
      <c r="K733" s="315">
        <f>C733</f>
        <v/>
      </c>
      <c r="L733" s="316">
        <f>F733/$B$612*100</f>
        <v/>
      </c>
      <c r="M733" s="317" t="n"/>
      <c r="N733" s="73" t="n">
        <v>102</v>
      </c>
      <c r="O733" s="289">
        <f>+S732</f>
        <v/>
      </c>
      <c r="P733" s="287">
        <f>(IF(N733&lt;$B$613,PMT($B$615/12,$B$613,-$B$612,$B$617,0),IF(N733=$B$613,PMT($B$615/12,$B$613,-$B$612,$B$617,0)+$B$617,0)))</f>
        <v/>
      </c>
      <c r="Q733" s="289">
        <f>IF(N733&lt;=$B$613,O733*$B$615/12,0)</f>
        <v/>
      </c>
      <c r="R733" s="289">
        <f>P733-Q733</f>
        <v/>
      </c>
      <c r="S733" s="314">
        <f>(O733-R733)</f>
        <v/>
      </c>
      <c r="T733" s="112">
        <f>O733*(1-B$621)^($N733)</f>
        <v/>
      </c>
      <c r="U733" s="112">
        <f>IF(N733&lt;=$B$613,T733*$B$615/12,0)</f>
        <v/>
      </c>
      <c r="V733" s="315">
        <f>P733</f>
        <v/>
      </c>
      <c r="W733" s="314" t="n"/>
      <c r="X733" s="315">
        <f>P733</f>
        <v/>
      </c>
      <c r="Y733" s="316">
        <f>S733/$B$612*100</f>
        <v/>
      </c>
      <c r="Z733" s="46" t="n"/>
      <c r="AA733" s="313">
        <f>+V733-I733</f>
        <v/>
      </c>
      <c r="AB733" s="46" t="n"/>
      <c r="AC733" s="46" t="n"/>
      <c r="AD733" s="46" t="n"/>
      <c r="AE733" s="46" t="n"/>
    </row>
    <row r="734">
      <c r="A734" s="73" t="n">
        <v>103</v>
      </c>
      <c r="B734" s="289">
        <f>+F733</f>
        <v/>
      </c>
      <c r="C734" s="287">
        <f>(IF(A734&lt;$B$613,PMT($B$614/12,$B$613,-$B$612,$B$617,$B$620),IF(A734=$B$613,PMT($B$614/12,$B$613,-$B$612,$B$617,$B$620)+$B$617,0)))</f>
        <v/>
      </c>
      <c r="D734" s="289">
        <f>IF(A734&lt;=$B$613,B734*$B$614/12,0)</f>
        <v/>
      </c>
      <c r="E734" s="289">
        <f>C734-D734</f>
        <v/>
      </c>
      <c r="F734" s="314">
        <f>(B734-E734)</f>
        <v/>
      </c>
      <c r="G734" s="112">
        <f>B734*(1-B$621)^($A734)</f>
        <v/>
      </c>
      <c r="H734" s="112">
        <f>IF(A734&lt;=$B$613,G734*$B$614/12,0)</f>
        <v/>
      </c>
      <c r="I734" s="315">
        <f>C734</f>
        <v/>
      </c>
      <c r="J734" s="314" t="n"/>
      <c r="K734" s="315">
        <f>C734</f>
        <v/>
      </c>
      <c r="L734" s="316">
        <f>F734/$B$612*100</f>
        <v/>
      </c>
      <c r="M734" s="317" t="n"/>
      <c r="N734" s="73" t="n">
        <v>103</v>
      </c>
      <c r="O734" s="289">
        <f>+S733</f>
        <v/>
      </c>
      <c r="P734" s="287">
        <f>(IF(N734&lt;$B$613,PMT($B$615/12,$B$613,-$B$612,$B$617,0),IF(N734=$B$613,PMT($B$615/12,$B$613,-$B$612,$B$617,0)+$B$617,0)))</f>
        <v/>
      </c>
      <c r="Q734" s="289">
        <f>IF(N734&lt;=$B$613,O734*$B$615/12,0)</f>
        <v/>
      </c>
      <c r="R734" s="289">
        <f>P734-Q734</f>
        <v/>
      </c>
      <c r="S734" s="314">
        <f>(O734-R734)</f>
        <v/>
      </c>
      <c r="T734" s="112">
        <f>O734*(1-B$621)^($N734)</f>
        <v/>
      </c>
      <c r="U734" s="112">
        <f>IF(N734&lt;=$B$613,T734*$B$615/12,0)</f>
        <v/>
      </c>
      <c r="V734" s="315">
        <f>P734</f>
        <v/>
      </c>
      <c r="W734" s="314" t="n"/>
      <c r="X734" s="315">
        <f>P734</f>
        <v/>
      </c>
      <c r="Y734" s="316">
        <f>S734/$B$612*100</f>
        <v/>
      </c>
      <c r="Z734" s="46" t="n"/>
      <c r="AA734" s="313">
        <f>+V734-I734</f>
        <v/>
      </c>
      <c r="AB734" s="46" t="n"/>
      <c r="AC734" s="46" t="n"/>
      <c r="AD734" s="46" t="n"/>
      <c r="AE734" s="46" t="n"/>
    </row>
    <row r="735">
      <c r="A735" s="73" t="n">
        <v>104</v>
      </c>
      <c r="B735" s="289">
        <f>+F734</f>
        <v/>
      </c>
      <c r="C735" s="287">
        <f>(IF(A735&lt;$B$613,PMT($B$614/12,$B$613,-$B$612,$B$617,$B$620),IF(A735=$B$613,PMT($B$614/12,$B$613,-$B$612,$B$617,$B$620)+$B$617,0)))</f>
        <v/>
      </c>
      <c r="D735" s="289">
        <f>IF(A735&lt;=$B$613,B735*$B$614/12,0)</f>
        <v/>
      </c>
      <c r="E735" s="289">
        <f>C735-D735</f>
        <v/>
      </c>
      <c r="F735" s="314">
        <f>(B735-E735)</f>
        <v/>
      </c>
      <c r="G735" s="112">
        <f>B735*(1-B$621)^($A735)</f>
        <v/>
      </c>
      <c r="H735" s="112">
        <f>IF(A735&lt;=$B$613,G735*$B$614/12,0)</f>
        <v/>
      </c>
      <c r="I735" s="315">
        <f>C735</f>
        <v/>
      </c>
      <c r="J735" s="314" t="n"/>
      <c r="K735" s="315">
        <f>C735</f>
        <v/>
      </c>
      <c r="L735" s="316">
        <f>F735/$B$612*100</f>
        <v/>
      </c>
      <c r="M735" s="317" t="n"/>
      <c r="N735" s="73" t="n">
        <v>104</v>
      </c>
      <c r="O735" s="289">
        <f>+S734</f>
        <v/>
      </c>
      <c r="P735" s="287">
        <f>(IF(N735&lt;$B$613,PMT($B$615/12,$B$613,-$B$612,$B$617,0),IF(N735=$B$613,PMT($B$615/12,$B$613,-$B$612,$B$617,0)+$B$617,0)))</f>
        <v/>
      </c>
      <c r="Q735" s="289">
        <f>IF(N735&lt;=$B$613,O735*$B$615/12,0)</f>
        <v/>
      </c>
      <c r="R735" s="289">
        <f>P735-Q735</f>
        <v/>
      </c>
      <c r="S735" s="314">
        <f>(O735-R735)</f>
        <v/>
      </c>
      <c r="T735" s="112">
        <f>O735*(1-B$621)^($N735)</f>
        <v/>
      </c>
      <c r="U735" s="112">
        <f>IF(N735&lt;=$B$613,T735*$B$615/12,0)</f>
        <v/>
      </c>
      <c r="V735" s="315">
        <f>P735</f>
        <v/>
      </c>
      <c r="W735" s="314" t="n"/>
      <c r="X735" s="315">
        <f>P735</f>
        <v/>
      </c>
      <c r="Y735" s="316">
        <f>S735/$B$612*100</f>
        <v/>
      </c>
      <c r="Z735" s="46" t="n"/>
      <c r="AA735" s="313">
        <f>+V735-I735</f>
        <v/>
      </c>
      <c r="AB735" s="46" t="n"/>
      <c r="AC735" s="46" t="n"/>
      <c r="AD735" s="46" t="n"/>
      <c r="AE735" s="46" t="n"/>
    </row>
    <row r="736">
      <c r="A736" s="73" t="n">
        <v>105</v>
      </c>
      <c r="B736" s="289">
        <f>+F735</f>
        <v/>
      </c>
      <c r="C736" s="287">
        <f>(IF(A736&lt;$B$613,PMT($B$614/12,$B$613,-$B$612,$B$617,$B$620),IF(A736=$B$613,PMT($B$614/12,$B$613,-$B$612,$B$617,$B$620)+$B$617,0)))</f>
        <v/>
      </c>
      <c r="D736" s="289">
        <f>IF(A736&lt;=$B$613,B736*$B$614/12,0)</f>
        <v/>
      </c>
      <c r="E736" s="289">
        <f>C736-D736</f>
        <v/>
      </c>
      <c r="F736" s="314">
        <f>(B736-E736)</f>
        <v/>
      </c>
      <c r="G736" s="112">
        <f>B736*(1-B$621)^($A736)</f>
        <v/>
      </c>
      <c r="H736" s="112">
        <f>IF(A736&lt;=$B$613,G736*$B$614/12,0)</f>
        <v/>
      </c>
      <c r="I736" s="315">
        <f>C736</f>
        <v/>
      </c>
      <c r="J736" s="314" t="n"/>
      <c r="K736" s="315">
        <f>C736</f>
        <v/>
      </c>
      <c r="L736" s="316">
        <f>F736/$B$612*100</f>
        <v/>
      </c>
      <c r="M736" s="317" t="n"/>
      <c r="N736" s="73" t="n">
        <v>105</v>
      </c>
      <c r="O736" s="289">
        <f>+S735</f>
        <v/>
      </c>
      <c r="P736" s="287">
        <f>(IF(N736&lt;$B$613,PMT($B$615/12,$B$613,-$B$612,$B$617,0),IF(N736=$B$613,PMT($B$615/12,$B$613,-$B$612,$B$617,0)+$B$617,0)))</f>
        <v/>
      </c>
      <c r="Q736" s="289">
        <f>IF(N736&lt;=$B$613,O736*$B$615/12,0)</f>
        <v/>
      </c>
      <c r="R736" s="289">
        <f>P736-Q736</f>
        <v/>
      </c>
      <c r="S736" s="314">
        <f>(O736-R736)</f>
        <v/>
      </c>
      <c r="T736" s="112">
        <f>O736*(1-B$621)^($N736)</f>
        <v/>
      </c>
      <c r="U736" s="112">
        <f>IF(N736&lt;=$B$613,T736*$B$615/12,0)</f>
        <v/>
      </c>
      <c r="V736" s="315">
        <f>P736</f>
        <v/>
      </c>
      <c r="W736" s="314" t="n"/>
      <c r="X736" s="315">
        <f>P736</f>
        <v/>
      </c>
      <c r="Y736" s="316">
        <f>S736/$B$612*100</f>
        <v/>
      </c>
      <c r="Z736" s="46" t="n"/>
      <c r="AA736" s="313">
        <f>+V736-I736</f>
        <v/>
      </c>
      <c r="AB736" s="46" t="n"/>
      <c r="AC736" s="46" t="n"/>
      <c r="AD736" s="46" t="n"/>
      <c r="AE736" s="46" t="n"/>
    </row>
    <row r="737">
      <c r="A737" s="73" t="n">
        <v>106</v>
      </c>
      <c r="B737" s="289">
        <f>+F736</f>
        <v/>
      </c>
      <c r="C737" s="287">
        <f>(IF(A737&lt;$B$613,PMT($B$614/12,$B$613,-$B$612,$B$617,$B$620),IF(A737=$B$613,PMT($B$614/12,$B$613,-$B$612,$B$617,$B$620)+$B$617,0)))</f>
        <v/>
      </c>
      <c r="D737" s="289">
        <f>IF(A737&lt;=$B$613,B737*$B$614/12,0)</f>
        <v/>
      </c>
      <c r="E737" s="289">
        <f>C737-D737</f>
        <v/>
      </c>
      <c r="F737" s="314">
        <f>(B737-E737)</f>
        <v/>
      </c>
      <c r="G737" s="112">
        <f>B737*(1-B$621)^($A737)</f>
        <v/>
      </c>
      <c r="H737" s="112">
        <f>IF(A737&lt;=$B$613,G737*$B$614/12,0)</f>
        <v/>
      </c>
      <c r="I737" s="315">
        <f>C737</f>
        <v/>
      </c>
      <c r="J737" s="314" t="n"/>
      <c r="K737" s="315">
        <f>C737</f>
        <v/>
      </c>
      <c r="L737" s="316">
        <f>F737/$B$612*100</f>
        <v/>
      </c>
      <c r="M737" s="317" t="n"/>
      <c r="N737" s="73" t="n">
        <v>106</v>
      </c>
      <c r="O737" s="289">
        <f>+S736</f>
        <v/>
      </c>
      <c r="P737" s="287">
        <f>(IF(N737&lt;$B$613,PMT($B$615/12,$B$613,-$B$612,$B$617,0),IF(N737=$B$613,PMT($B$615/12,$B$613,-$B$612,$B$617,0)+$B$617,0)))</f>
        <v/>
      </c>
      <c r="Q737" s="289">
        <f>IF(N737&lt;=$B$613,O737*$B$615/12,0)</f>
        <v/>
      </c>
      <c r="R737" s="289">
        <f>P737-Q737</f>
        <v/>
      </c>
      <c r="S737" s="314">
        <f>(O737-R737)</f>
        <v/>
      </c>
      <c r="T737" s="112">
        <f>O737*(1-B$621)^($N737)</f>
        <v/>
      </c>
      <c r="U737" s="112">
        <f>IF(N737&lt;=$B$613,T737*$B$615/12,0)</f>
        <v/>
      </c>
      <c r="V737" s="315">
        <f>P737</f>
        <v/>
      </c>
      <c r="W737" s="314" t="n"/>
      <c r="X737" s="315">
        <f>P737</f>
        <v/>
      </c>
      <c r="Y737" s="316">
        <f>S737/$B$612*100</f>
        <v/>
      </c>
      <c r="Z737" s="46" t="n"/>
      <c r="AA737" s="313">
        <f>+V737-I737</f>
        <v/>
      </c>
      <c r="AB737" s="46" t="n"/>
      <c r="AC737" s="46" t="n"/>
      <c r="AD737" s="46" t="n"/>
      <c r="AE737" s="46" t="n"/>
    </row>
    <row r="738">
      <c r="A738" s="73" t="n">
        <v>107</v>
      </c>
      <c r="B738" s="289">
        <f>+F737</f>
        <v/>
      </c>
      <c r="C738" s="287">
        <f>(IF(A738&lt;$B$613,PMT($B$614/12,$B$613,-$B$612,$B$617,$B$620),IF(A738=$B$613,PMT($B$614/12,$B$613,-$B$612,$B$617,$B$620)+$B$617,0)))</f>
        <v/>
      </c>
      <c r="D738" s="289">
        <f>IF(A738&lt;=$B$613,B738*$B$614/12,0)</f>
        <v/>
      </c>
      <c r="E738" s="289">
        <f>C738-D738</f>
        <v/>
      </c>
      <c r="F738" s="314">
        <f>(B738-E738)</f>
        <v/>
      </c>
      <c r="G738" s="112">
        <f>B738*(1-B$621)^($A738)</f>
        <v/>
      </c>
      <c r="H738" s="112">
        <f>IF(A738&lt;=$B$613,G738*$B$614/12,0)</f>
        <v/>
      </c>
      <c r="I738" s="315">
        <f>C738</f>
        <v/>
      </c>
      <c r="J738" s="314" t="n"/>
      <c r="K738" s="315">
        <f>C738</f>
        <v/>
      </c>
      <c r="L738" s="316">
        <f>F738/$B$612*100</f>
        <v/>
      </c>
      <c r="M738" s="317" t="n"/>
      <c r="N738" s="73" t="n">
        <v>107</v>
      </c>
      <c r="O738" s="289">
        <f>+S737</f>
        <v/>
      </c>
      <c r="P738" s="287">
        <f>(IF(N738&lt;$B$613,PMT($B$615/12,$B$613,-$B$612,$B$617,0),IF(N738=$B$613,PMT($B$615/12,$B$613,-$B$612,$B$617,0)+$B$617,0)))</f>
        <v/>
      </c>
      <c r="Q738" s="289">
        <f>IF(N738&lt;=$B$613,O738*$B$615/12,0)</f>
        <v/>
      </c>
      <c r="R738" s="289">
        <f>P738-Q738</f>
        <v/>
      </c>
      <c r="S738" s="314">
        <f>(O738-R738)</f>
        <v/>
      </c>
      <c r="T738" s="112">
        <f>O738*(1-B$621)^($N738)</f>
        <v/>
      </c>
      <c r="U738" s="112">
        <f>IF(N738&lt;=$B$613,T738*$B$615/12,0)</f>
        <v/>
      </c>
      <c r="V738" s="315">
        <f>P738</f>
        <v/>
      </c>
      <c r="W738" s="314" t="n"/>
      <c r="X738" s="315">
        <f>P738</f>
        <v/>
      </c>
      <c r="Y738" s="316">
        <f>S738/$B$612*100</f>
        <v/>
      </c>
      <c r="Z738" s="46" t="n"/>
      <c r="AA738" s="313">
        <f>+V738-I738</f>
        <v/>
      </c>
      <c r="AB738" s="46" t="n"/>
      <c r="AC738" s="46" t="n"/>
      <c r="AD738" s="46" t="n"/>
      <c r="AE738" s="46" t="n"/>
    </row>
    <row r="739">
      <c r="A739" s="73" t="n">
        <v>108</v>
      </c>
      <c r="B739" s="289">
        <f>+F738</f>
        <v/>
      </c>
      <c r="C739" s="287">
        <f>(IF(A739&lt;$B$613,PMT($B$614/12,$B$613,-$B$612,$B$617,$B$620),IF(A739=$B$613,PMT($B$614/12,$B$613,-$B$612,$B$617,$B$620)+$B$617,0)))</f>
        <v/>
      </c>
      <c r="D739" s="289">
        <f>IF(A739&lt;=$B$613,B739*$B$614/12,0)</f>
        <v/>
      </c>
      <c r="E739" s="289">
        <f>C739-D739</f>
        <v/>
      </c>
      <c r="F739" s="314">
        <f>(B739-E739)</f>
        <v/>
      </c>
      <c r="G739" s="112">
        <f>B739*(1-B$621)^($A739)</f>
        <v/>
      </c>
      <c r="H739" s="112">
        <f>IF(A739&lt;=$B$613,G739*$B$614/12,0)</f>
        <v/>
      </c>
      <c r="I739" s="315">
        <f>C739</f>
        <v/>
      </c>
      <c r="J739" s="314" t="n"/>
      <c r="K739" s="315">
        <f>C739</f>
        <v/>
      </c>
      <c r="L739" s="316">
        <f>F739/$B$612*100</f>
        <v/>
      </c>
      <c r="M739" s="317" t="n"/>
      <c r="N739" s="73" t="n">
        <v>108</v>
      </c>
      <c r="O739" s="289">
        <f>+S738</f>
        <v/>
      </c>
      <c r="P739" s="287">
        <f>(IF(N739&lt;$B$613,PMT($B$615/12,$B$613,-$B$612,$B$617,0),IF(N739=$B$613,PMT($B$615/12,$B$613,-$B$612,$B$617,0)+$B$617,0)))</f>
        <v/>
      </c>
      <c r="Q739" s="289">
        <f>IF(N739&lt;=$B$613,O739*$B$615/12,0)</f>
        <v/>
      </c>
      <c r="R739" s="289">
        <f>P739-Q739</f>
        <v/>
      </c>
      <c r="S739" s="314">
        <f>(O739-R739)</f>
        <v/>
      </c>
      <c r="T739" s="112">
        <f>O739*(1-B$621)^($N739)</f>
        <v/>
      </c>
      <c r="U739" s="112">
        <f>IF(N739&lt;=$B$613,T739*$B$615/12,0)</f>
        <v/>
      </c>
      <c r="V739" s="315">
        <f>P739</f>
        <v/>
      </c>
      <c r="W739" s="314" t="n"/>
      <c r="X739" s="315">
        <f>P739</f>
        <v/>
      </c>
      <c r="Y739" s="316">
        <f>S739/$B$612*100</f>
        <v/>
      </c>
      <c r="Z739" s="46" t="n"/>
      <c r="AA739" s="313">
        <f>+V739-I739</f>
        <v/>
      </c>
      <c r="AB739" s="46" t="n"/>
      <c r="AC739" s="46" t="n"/>
      <c r="AD739" s="46" t="n"/>
      <c r="AE739" s="46" t="n"/>
    </row>
    <row r="740">
      <c r="A740" s="73" t="n">
        <v>109</v>
      </c>
      <c r="B740" s="289">
        <f>+F739</f>
        <v/>
      </c>
      <c r="C740" s="287">
        <f>(IF(A740&lt;$B$613,PMT($B$614/12,$B$613,-$B$612,$B$617,$B$620),IF(A740=$B$613,PMT($B$614/12,$B$613,-$B$612,$B$617,$B$620)+$B$617,0)))</f>
        <v/>
      </c>
      <c r="D740" s="289">
        <f>IF(A740&lt;=$B$613,B740*$B$614/12,0)</f>
        <v/>
      </c>
      <c r="E740" s="289">
        <f>C740-D740</f>
        <v/>
      </c>
      <c r="F740" s="314">
        <f>(B740-E740)</f>
        <v/>
      </c>
      <c r="G740" s="112">
        <f>B740*(1-B$621)^($A740)</f>
        <v/>
      </c>
      <c r="H740" s="112">
        <f>IF(A740&lt;=$B$613,G740*$B$614/12,0)</f>
        <v/>
      </c>
      <c r="I740" s="315">
        <f>C740</f>
        <v/>
      </c>
      <c r="J740" s="314" t="n"/>
      <c r="K740" s="315">
        <f>C740</f>
        <v/>
      </c>
      <c r="L740" s="316">
        <f>F740/$B$612*100</f>
        <v/>
      </c>
      <c r="M740" s="317" t="n"/>
      <c r="N740" s="73" t="n">
        <v>109</v>
      </c>
      <c r="O740" s="289">
        <f>+S739</f>
        <v/>
      </c>
      <c r="P740" s="287">
        <f>(IF(N740&lt;$B$613,PMT($B$615/12,$B$613,-$B$612,$B$617,0),IF(N740=$B$613,PMT($B$615/12,$B$613,-$B$612,$B$617,0)+$B$617,0)))</f>
        <v/>
      </c>
      <c r="Q740" s="289">
        <f>IF(N740&lt;=$B$613,O740*$B$615/12,0)</f>
        <v/>
      </c>
      <c r="R740" s="289">
        <f>P740-Q740</f>
        <v/>
      </c>
      <c r="S740" s="314">
        <f>(O740-R740)</f>
        <v/>
      </c>
      <c r="T740" s="112">
        <f>O740*(1-B$621)^($N740)</f>
        <v/>
      </c>
      <c r="U740" s="112">
        <f>IF(N740&lt;=$B$613,T740*$B$615/12,0)</f>
        <v/>
      </c>
      <c r="V740" s="315">
        <f>P740</f>
        <v/>
      </c>
      <c r="W740" s="314" t="n"/>
      <c r="X740" s="315">
        <f>P740</f>
        <v/>
      </c>
      <c r="Y740" s="316">
        <f>S740/$B$612*100</f>
        <v/>
      </c>
      <c r="Z740" s="46" t="n"/>
      <c r="AA740" s="313">
        <f>+V740-I740</f>
        <v/>
      </c>
    </row>
    <row r="741">
      <c r="A741" s="73" t="n">
        <v>110</v>
      </c>
      <c r="B741" s="289">
        <f>+F740</f>
        <v/>
      </c>
      <c r="C741" s="287">
        <f>(IF(A741&lt;$B$613,PMT($B$614/12,$B$613,-$B$612,$B$617,$B$620),IF(A741=$B$613,PMT($B$614/12,$B$613,-$B$612,$B$617,$B$620)+$B$617,0)))</f>
        <v/>
      </c>
      <c r="D741" s="289">
        <f>IF(A741&lt;=$B$613,B741*$B$614/12,0)</f>
        <v/>
      </c>
      <c r="E741" s="289">
        <f>C741-D741</f>
        <v/>
      </c>
      <c r="F741" s="314">
        <f>(B741-E741)</f>
        <v/>
      </c>
      <c r="G741" s="112">
        <f>B741*(1-B$621)^($A741)</f>
        <v/>
      </c>
      <c r="H741" s="112">
        <f>IF(A741&lt;=$B$613,G741*$B$614/12,0)</f>
        <v/>
      </c>
      <c r="I741" s="315">
        <f>C741</f>
        <v/>
      </c>
      <c r="J741" s="314" t="n"/>
      <c r="K741" s="315">
        <f>C741</f>
        <v/>
      </c>
      <c r="L741" s="316">
        <f>F741/$B$612*100</f>
        <v/>
      </c>
      <c r="M741" s="317" t="n"/>
      <c r="N741" s="73" t="n">
        <v>110</v>
      </c>
      <c r="O741" s="289">
        <f>+S740</f>
        <v/>
      </c>
      <c r="P741" s="287">
        <f>(IF(N741&lt;$B$613,PMT($B$615/12,$B$613,-$B$612,$B$617,0),IF(N741=$B$613,PMT($B$615/12,$B$613,-$B$612,$B$617,0)+$B$617,0)))</f>
        <v/>
      </c>
      <c r="Q741" s="289">
        <f>IF(N741&lt;=$B$613,O741*$B$615/12,0)</f>
        <v/>
      </c>
      <c r="R741" s="289">
        <f>P741-Q741</f>
        <v/>
      </c>
      <c r="S741" s="314">
        <f>(O741-R741)</f>
        <v/>
      </c>
      <c r="T741" s="112">
        <f>O741*(1-B$621)^($N741)</f>
        <v/>
      </c>
      <c r="U741" s="112">
        <f>IF(N741&lt;=$B$613,T741*$B$615/12,0)</f>
        <v/>
      </c>
      <c r="V741" s="315">
        <f>P741</f>
        <v/>
      </c>
      <c r="W741" s="314" t="n"/>
      <c r="X741" s="315">
        <f>P741</f>
        <v/>
      </c>
      <c r="Y741" s="316">
        <f>S741/$B$612*100</f>
        <v/>
      </c>
      <c r="Z741" s="46" t="n"/>
      <c r="AA741" s="313">
        <f>+V741-I741</f>
        <v/>
      </c>
    </row>
    <row r="742">
      <c r="A742" s="73" t="n">
        <v>111</v>
      </c>
      <c r="B742" s="289">
        <f>+F741</f>
        <v/>
      </c>
      <c r="C742" s="287">
        <f>(IF(A742&lt;$B$613,PMT($B$614/12,$B$613,-$B$612,$B$617,$B$620),IF(A742=$B$613,PMT($B$614/12,$B$613,-$B$612,$B$617,$B$620)+$B$617,0)))</f>
        <v/>
      </c>
      <c r="D742" s="289">
        <f>IF(A742&lt;=$B$613,B742*$B$614/12,0)</f>
        <v/>
      </c>
      <c r="E742" s="289">
        <f>C742-D742</f>
        <v/>
      </c>
      <c r="F742" s="314">
        <f>(B742-E742)</f>
        <v/>
      </c>
      <c r="G742" s="112">
        <f>B742*(1-B$621)^($A742)</f>
        <v/>
      </c>
      <c r="H742" s="112">
        <f>IF(A742&lt;=$B$613,G742*$B$614/12,0)</f>
        <v/>
      </c>
      <c r="I742" s="315">
        <f>C742</f>
        <v/>
      </c>
      <c r="J742" s="314" t="n"/>
      <c r="K742" s="315">
        <f>C742</f>
        <v/>
      </c>
      <c r="L742" s="316">
        <f>F742/$B$612*100</f>
        <v/>
      </c>
      <c r="M742" s="317" t="n"/>
      <c r="N742" s="73" t="n">
        <v>111</v>
      </c>
      <c r="O742" s="289">
        <f>+S741</f>
        <v/>
      </c>
      <c r="P742" s="287">
        <f>(IF(N742&lt;$B$613,PMT($B$615/12,$B$613,-$B$612,$B$617,0),IF(N742=$B$613,PMT($B$615/12,$B$613,-$B$612,$B$617,0)+$B$617,0)))</f>
        <v/>
      </c>
      <c r="Q742" s="289">
        <f>IF(N742&lt;=$B$613,O742*$B$615/12,0)</f>
        <v/>
      </c>
      <c r="R742" s="289">
        <f>P742-Q742</f>
        <v/>
      </c>
      <c r="S742" s="314">
        <f>(O742-R742)</f>
        <v/>
      </c>
      <c r="T742" s="112">
        <f>O742*(1-B$621)^($N742)</f>
        <v/>
      </c>
      <c r="U742" s="112">
        <f>IF(N742&lt;=$B$613,T742*$B$615/12,0)</f>
        <v/>
      </c>
      <c r="V742" s="315">
        <f>P742</f>
        <v/>
      </c>
      <c r="W742" s="314" t="n"/>
      <c r="X742" s="315">
        <f>P742</f>
        <v/>
      </c>
      <c r="Y742" s="316">
        <f>S742/$B$612*100</f>
        <v/>
      </c>
      <c r="Z742" s="46" t="n"/>
      <c r="AA742" s="313">
        <f>+V742-I742</f>
        <v/>
      </c>
    </row>
    <row r="743">
      <c r="A743" s="73" t="n">
        <v>112</v>
      </c>
      <c r="B743" s="289">
        <f>+F742</f>
        <v/>
      </c>
      <c r="C743" s="287">
        <f>(IF(A743&lt;$B$613,PMT($B$614/12,$B$613,-$B$612,$B$617,$B$620),IF(A743=$B$613,PMT($B$614/12,$B$613,-$B$612,$B$617,$B$620)+$B$617,0)))</f>
        <v/>
      </c>
      <c r="D743" s="289">
        <f>IF(A743&lt;=$B$613,B743*$B$614/12,0)</f>
        <v/>
      </c>
      <c r="E743" s="289">
        <f>C743-D743</f>
        <v/>
      </c>
      <c r="F743" s="314">
        <f>(B743-E743)</f>
        <v/>
      </c>
      <c r="G743" s="112">
        <f>B743*(1-B$621)^($A743)</f>
        <v/>
      </c>
      <c r="H743" s="112">
        <f>IF(A743&lt;=$B$613,G743*$B$614/12,0)</f>
        <v/>
      </c>
      <c r="I743" s="315">
        <f>C743</f>
        <v/>
      </c>
      <c r="J743" s="314" t="n"/>
      <c r="K743" s="315">
        <f>C743</f>
        <v/>
      </c>
      <c r="L743" s="316">
        <f>F743/$B$612*100</f>
        <v/>
      </c>
      <c r="M743" s="317" t="n"/>
      <c r="N743" s="73" t="n">
        <v>112</v>
      </c>
      <c r="O743" s="289">
        <f>+S742</f>
        <v/>
      </c>
      <c r="P743" s="287">
        <f>(IF(N743&lt;$B$613,PMT($B$615/12,$B$613,-$B$612,$B$617,0),IF(N743=$B$613,PMT($B$615/12,$B$613,-$B$612,$B$617,0)+$B$617,0)))</f>
        <v/>
      </c>
      <c r="Q743" s="289">
        <f>IF(N743&lt;=$B$613,O743*$B$615/12,0)</f>
        <v/>
      </c>
      <c r="R743" s="289">
        <f>P743-Q743</f>
        <v/>
      </c>
      <c r="S743" s="314">
        <f>(O743-R743)</f>
        <v/>
      </c>
      <c r="T743" s="112">
        <f>O743*(1-B$621)^($N743)</f>
        <v/>
      </c>
      <c r="U743" s="112">
        <f>IF(N743&lt;=$B$613,T743*$B$615/12,0)</f>
        <v/>
      </c>
      <c r="V743" s="315">
        <f>P743</f>
        <v/>
      </c>
      <c r="W743" s="314" t="n"/>
      <c r="X743" s="315">
        <f>P743</f>
        <v/>
      </c>
      <c r="Y743" s="316">
        <f>S743/$B$612*100</f>
        <v/>
      </c>
      <c r="Z743" s="46" t="n"/>
      <c r="AA743" s="313">
        <f>+V743-I743</f>
        <v/>
      </c>
    </row>
    <row r="744">
      <c r="A744" s="73" t="n">
        <v>113</v>
      </c>
      <c r="B744" s="289">
        <f>+F743</f>
        <v/>
      </c>
      <c r="C744" s="287">
        <f>(IF(A744&lt;$B$613,PMT($B$614/12,$B$613,-$B$612,$B$617,$B$620),IF(A744=$B$613,PMT($B$614/12,$B$613,-$B$612,$B$617,$B$620)+$B$617,0)))</f>
        <v/>
      </c>
      <c r="D744" s="289">
        <f>IF(A744&lt;=$B$613,B744*$B$614/12,0)</f>
        <v/>
      </c>
      <c r="E744" s="289">
        <f>C744-D744</f>
        <v/>
      </c>
      <c r="F744" s="314">
        <f>(B744-E744)</f>
        <v/>
      </c>
      <c r="G744" s="112">
        <f>B744*(1-B$621)^($A744)</f>
        <v/>
      </c>
      <c r="H744" s="112">
        <f>IF(A744&lt;=$B$613,G744*$B$614/12,0)</f>
        <v/>
      </c>
      <c r="I744" s="315">
        <f>C744</f>
        <v/>
      </c>
      <c r="J744" s="314" t="n"/>
      <c r="K744" s="315">
        <f>C744</f>
        <v/>
      </c>
      <c r="L744" s="316">
        <f>F744/$B$612*100</f>
        <v/>
      </c>
      <c r="M744" s="317" t="n"/>
      <c r="N744" s="73" t="n">
        <v>113</v>
      </c>
      <c r="O744" s="289">
        <f>+S743</f>
        <v/>
      </c>
      <c r="P744" s="287">
        <f>(IF(N744&lt;$B$613,PMT($B$615/12,$B$613,-$B$612,$B$617,0),IF(N744=$B$613,PMT($B$615/12,$B$613,-$B$612,$B$617,0)+$B$617,0)))</f>
        <v/>
      </c>
      <c r="Q744" s="289">
        <f>IF(N744&lt;=$B$613,O744*$B$615/12,0)</f>
        <v/>
      </c>
      <c r="R744" s="289">
        <f>P744-Q744</f>
        <v/>
      </c>
      <c r="S744" s="314">
        <f>(O744-R744)</f>
        <v/>
      </c>
      <c r="T744" s="112">
        <f>O744*(1-B$621)^($N744)</f>
        <v/>
      </c>
      <c r="U744" s="112">
        <f>IF(N744&lt;=$B$613,T744*$B$615/12,0)</f>
        <v/>
      </c>
      <c r="V744" s="315">
        <f>P744</f>
        <v/>
      </c>
      <c r="W744" s="314" t="n"/>
      <c r="X744" s="315">
        <f>P744</f>
        <v/>
      </c>
      <c r="Y744" s="316">
        <f>S744/$B$612*100</f>
        <v/>
      </c>
      <c r="Z744" s="46" t="n"/>
      <c r="AA744" s="313">
        <f>+V744-I744</f>
        <v/>
      </c>
    </row>
    <row r="745">
      <c r="A745" s="73" t="n">
        <v>114</v>
      </c>
      <c r="B745" s="289">
        <f>+F744</f>
        <v/>
      </c>
      <c r="C745" s="287">
        <f>(IF(A745&lt;$B$613,PMT($B$614/12,$B$613,-$B$612,$B$617,$B$620),IF(A745=$B$613,PMT($B$614/12,$B$613,-$B$612,$B$617,$B$620)+$B$617,0)))</f>
        <v/>
      </c>
      <c r="D745" s="289">
        <f>IF(A745&lt;=$B$613,B745*$B$614/12,0)</f>
        <v/>
      </c>
      <c r="E745" s="289">
        <f>C745-D745</f>
        <v/>
      </c>
      <c r="F745" s="314">
        <f>(B745-E745)</f>
        <v/>
      </c>
      <c r="G745" s="112">
        <f>B745*(1-B$621)^($A745)</f>
        <v/>
      </c>
      <c r="H745" s="112">
        <f>IF(A745&lt;=$B$613,G745*$B$614/12,0)</f>
        <v/>
      </c>
      <c r="I745" s="315">
        <f>C745</f>
        <v/>
      </c>
      <c r="J745" s="314" t="n"/>
      <c r="K745" s="315">
        <f>C745</f>
        <v/>
      </c>
      <c r="L745" s="316">
        <f>F745/$B$612*100</f>
        <v/>
      </c>
      <c r="M745" s="317" t="n"/>
      <c r="N745" s="73" t="n">
        <v>114</v>
      </c>
      <c r="O745" s="289">
        <f>+S744</f>
        <v/>
      </c>
      <c r="P745" s="287">
        <f>(IF(N745&lt;$B$613,PMT($B$615/12,$B$613,-$B$612,$B$617,0),IF(N745=$B$613,PMT($B$615/12,$B$613,-$B$612,$B$617,0)+$B$617,0)))</f>
        <v/>
      </c>
      <c r="Q745" s="289">
        <f>IF(N745&lt;=$B$613,O745*$B$615/12,0)</f>
        <v/>
      </c>
      <c r="R745" s="289">
        <f>P745-Q745</f>
        <v/>
      </c>
      <c r="S745" s="314">
        <f>(O745-R745)</f>
        <v/>
      </c>
      <c r="T745" s="112">
        <f>O745*(1-B$621)^($N745)</f>
        <v/>
      </c>
      <c r="U745" s="112">
        <f>IF(N745&lt;=$B$613,T745*$B$615/12,0)</f>
        <v/>
      </c>
      <c r="V745" s="315">
        <f>P745</f>
        <v/>
      </c>
      <c r="W745" s="314" t="n"/>
      <c r="X745" s="315">
        <f>P745</f>
        <v/>
      </c>
      <c r="Y745" s="316">
        <f>S745/$B$612*100</f>
        <v/>
      </c>
      <c r="Z745" s="46" t="n"/>
      <c r="AA745" s="313">
        <f>+V745-I745</f>
        <v/>
      </c>
    </row>
    <row r="746">
      <c r="A746" s="73" t="n">
        <v>115</v>
      </c>
      <c r="B746" s="289">
        <f>+F745</f>
        <v/>
      </c>
      <c r="C746" s="287">
        <f>(IF(A746&lt;$B$613,PMT($B$614/12,$B$613,-$B$612,$B$617,$B$620),IF(A746=$B$613,PMT($B$614/12,$B$613,-$B$612,$B$617,$B$620)+$B$617,0)))</f>
        <v/>
      </c>
      <c r="D746" s="289">
        <f>IF(A746&lt;=$B$613,B746*$B$614/12,0)</f>
        <v/>
      </c>
      <c r="E746" s="289">
        <f>C746-D746</f>
        <v/>
      </c>
      <c r="F746" s="314">
        <f>(B746-E746)</f>
        <v/>
      </c>
      <c r="G746" s="112">
        <f>B746*(1-B$621)^($A746)</f>
        <v/>
      </c>
      <c r="H746" s="112">
        <f>IF(A746&lt;=$B$613,G746*$B$614/12,0)</f>
        <v/>
      </c>
      <c r="I746" s="315">
        <f>C746</f>
        <v/>
      </c>
      <c r="J746" s="314" t="n"/>
      <c r="K746" s="315">
        <f>C746</f>
        <v/>
      </c>
      <c r="L746" s="316">
        <f>F746/$B$612*100</f>
        <v/>
      </c>
      <c r="M746" s="317" t="n"/>
      <c r="N746" s="73" t="n">
        <v>115</v>
      </c>
      <c r="O746" s="289">
        <f>+S745</f>
        <v/>
      </c>
      <c r="P746" s="287">
        <f>(IF(N746&lt;$B$613,PMT($B$615/12,$B$613,-$B$612,$B$617,0),IF(N746=$B$613,PMT($B$615/12,$B$613,-$B$612,$B$617,0)+$B$617,0)))</f>
        <v/>
      </c>
      <c r="Q746" s="289">
        <f>IF(N746&lt;=$B$613,O746*$B$615/12,0)</f>
        <v/>
      </c>
      <c r="R746" s="289">
        <f>P746-Q746</f>
        <v/>
      </c>
      <c r="S746" s="314">
        <f>(O746-R746)</f>
        <v/>
      </c>
      <c r="T746" s="112">
        <f>O746*(1-B$621)^($N746)</f>
        <v/>
      </c>
      <c r="U746" s="112">
        <f>IF(N746&lt;=$B$613,T746*$B$615/12,0)</f>
        <v/>
      </c>
      <c r="V746" s="315">
        <f>P746</f>
        <v/>
      </c>
      <c r="W746" s="314" t="n"/>
      <c r="X746" s="315">
        <f>P746</f>
        <v/>
      </c>
      <c r="Y746" s="316">
        <f>S746/$B$612*100</f>
        <v/>
      </c>
      <c r="Z746" s="46" t="n"/>
      <c r="AA746" s="313">
        <f>+V746-I746</f>
        <v/>
      </c>
    </row>
    <row r="747">
      <c r="A747" s="73" t="n">
        <v>116</v>
      </c>
      <c r="B747" s="289">
        <f>+F746</f>
        <v/>
      </c>
      <c r="C747" s="287">
        <f>(IF(A747&lt;$B$613,PMT($B$614/12,$B$613,-$B$612,$B$617,$B$620),IF(A747=$B$613,PMT($B$614/12,$B$613,-$B$612,$B$617,$B$620)+$B$617,0)))</f>
        <v/>
      </c>
      <c r="D747" s="289">
        <f>IF(A747&lt;=$B$613,B747*$B$614/12,0)</f>
        <v/>
      </c>
      <c r="E747" s="289">
        <f>C747-D747</f>
        <v/>
      </c>
      <c r="F747" s="314">
        <f>(B747-E747)</f>
        <v/>
      </c>
      <c r="G747" s="112">
        <f>B747*(1-B$621)^($A747)</f>
        <v/>
      </c>
      <c r="H747" s="112">
        <f>IF(A747&lt;=$B$613,G747*$B$614/12,0)</f>
        <v/>
      </c>
      <c r="I747" s="315">
        <f>C747</f>
        <v/>
      </c>
      <c r="J747" s="314" t="n"/>
      <c r="K747" s="315">
        <f>C747</f>
        <v/>
      </c>
      <c r="L747" s="316">
        <f>F747/$B$612*100</f>
        <v/>
      </c>
      <c r="M747" s="317" t="n"/>
      <c r="N747" s="73" t="n">
        <v>116</v>
      </c>
      <c r="O747" s="289">
        <f>+S746</f>
        <v/>
      </c>
      <c r="P747" s="287">
        <f>(IF(N747&lt;$B$613,PMT($B$615/12,$B$613,-$B$612,$B$617,0),IF(N747=$B$613,PMT($B$615/12,$B$613,-$B$612,$B$617,0)+$B$617,0)))</f>
        <v/>
      </c>
      <c r="Q747" s="289">
        <f>IF(N747&lt;=$B$613,O747*$B$615/12,0)</f>
        <v/>
      </c>
      <c r="R747" s="289">
        <f>P747-Q747</f>
        <v/>
      </c>
      <c r="S747" s="314">
        <f>(O747-R747)</f>
        <v/>
      </c>
      <c r="T747" s="112">
        <f>O747*(1-B$621)^($N747)</f>
        <v/>
      </c>
      <c r="U747" s="112">
        <f>IF(N747&lt;=$B$613,T747*$B$615/12,0)</f>
        <v/>
      </c>
      <c r="V747" s="315">
        <f>P747</f>
        <v/>
      </c>
      <c r="W747" s="314" t="n"/>
      <c r="X747" s="315">
        <f>P747</f>
        <v/>
      </c>
      <c r="Y747" s="316">
        <f>S747/$B$612*100</f>
        <v/>
      </c>
      <c r="Z747" s="46" t="n"/>
      <c r="AA747" s="313">
        <f>+V747-I747</f>
        <v/>
      </c>
    </row>
    <row r="748">
      <c r="A748" s="73" t="n">
        <v>117</v>
      </c>
      <c r="B748" s="289">
        <f>+F747</f>
        <v/>
      </c>
      <c r="C748" s="287">
        <f>(IF(A748&lt;$B$613,PMT($B$614/12,$B$613,-$B$612,$B$617,$B$620),IF(A748=$B$613,PMT($B$614/12,$B$613,-$B$612,$B$617,$B$620)+$B$617,0)))</f>
        <v/>
      </c>
      <c r="D748" s="289">
        <f>IF(A748&lt;=$B$613,B748*$B$614/12,0)</f>
        <v/>
      </c>
      <c r="E748" s="289">
        <f>C748-D748</f>
        <v/>
      </c>
      <c r="F748" s="314">
        <f>(B748-E748)</f>
        <v/>
      </c>
      <c r="G748" s="112">
        <f>B748*(1-B$621)^($A748)</f>
        <v/>
      </c>
      <c r="H748" s="112">
        <f>IF(A748&lt;=$B$613,G748*$B$614/12,0)</f>
        <v/>
      </c>
      <c r="I748" s="315">
        <f>C748</f>
        <v/>
      </c>
      <c r="J748" s="314" t="n"/>
      <c r="K748" s="315">
        <f>C748</f>
        <v/>
      </c>
      <c r="L748" s="316">
        <f>F748/$B$612*100</f>
        <v/>
      </c>
      <c r="M748" s="317" t="n"/>
      <c r="N748" s="73" t="n">
        <v>117</v>
      </c>
      <c r="O748" s="289">
        <f>+S747</f>
        <v/>
      </c>
      <c r="P748" s="287">
        <f>(IF(N748&lt;$B$613,PMT($B$615/12,$B$613,-$B$612,$B$617,0),IF(N748=$B$613,PMT($B$615/12,$B$613,-$B$612,$B$617,0)+$B$617,0)))</f>
        <v/>
      </c>
      <c r="Q748" s="289">
        <f>IF(N748&lt;=$B$613,O748*$B$615/12,0)</f>
        <v/>
      </c>
      <c r="R748" s="289">
        <f>P748-Q748</f>
        <v/>
      </c>
      <c r="S748" s="314">
        <f>(O748-R748)</f>
        <v/>
      </c>
      <c r="T748" s="112">
        <f>O748*(1-B$621)^($N748)</f>
        <v/>
      </c>
      <c r="U748" s="112">
        <f>IF(N748&lt;=$B$613,T748*$B$615/12,0)</f>
        <v/>
      </c>
      <c r="V748" s="315">
        <f>P748</f>
        <v/>
      </c>
      <c r="W748" s="314" t="n"/>
      <c r="X748" s="315">
        <f>P748</f>
        <v/>
      </c>
      <c r="Y748" s="316">
        <f>S748/$B$612*100</f>
        <v/>
      </c>
      <c r="Z748" s="46" t="n"/>
      <c r="AA748" s="313">
        <f>+V748-I748</f>
        <v/>
      </c>
    </row>
    <row r="749">
      <c r="A749" s="73" t="n">
        <v>118</v>
      </c>
      <c r="B749" s="289">
        <f>+F748</f>
        <v/>
      </c>
      <c r="C749" s="287">
        <f>(IF(A749&lt;$B$613,PMT($B$614/12,$B$613,-$B$612,$B$617,$B$620),IF(A749=$B$613,PMT($B$614/12,$B$613,-$B$612,$B$617,$B$620)+$B$617,0)))</f>
        <v/>
      </c>
      <c r="D749" s="289">
        <f>IF(A749&lt;=$B$613,B749*$B$614/12,0)</f>
        <v/>
      </c>
      <c r="E749" s="289">
        <f>C749-D749</f>
        <v/>
      </c>
      <c r="F749" s="314">
        <f>(B749-E749)</f>
        <v/>
      </c>
      <c r="G749" s="112">
        <f>B749*(1-B$621)^($A749)</f>
        <v/>
      </c>
      <c r="H749" s="112">
        <f>IF(A749&lt;=$B$613,G749*$B$614/12,0)</f>
        <v/>
      </c>
      <c r="I749" s="315">
        <f>C749</f>
        <v/>
      </c>
      <c r="J749" s="314" t="n"/>
      <c r="K749" s="315">
        <f>C749</f>
        <v/>
      </c>
      <c r="L749" s="316">
        <f>F749/$B$612*100</f>
        <v/>
      </c>
      <c r="M749" s="317" t="n"/>
      <c r="N749" s="73" t="n">
        <v>118</v>
      </c>
      <c r="O749" s="289">
        <f>+S748</f>
        <v/>
      </c>
      <c r="P749" s="287">
        <f>(IF(N749&lt;$B$613,PMT($B$615/12,$B$613,-$B$612,$B$617,0),IF(N749=$B$613,PMT($B$615/12,$B$613,-$B$612,$B$617,0)+$B$617,0)))</f>
        <v/>
      </c>
      <c r="Q749" s="289">
        <f>IF(N749&lt;=$B$613,O749*$B$615/12,0)</f>
        <v/>
      </c>
      <c r="R749" s="289">
        <f>P749-Q749</f>
        <v/>
      </c>
      <c r="S749" s="314">
        <f>(O749-R749)</f>
        <v/>
      </c>
      <c r="T749" s="112">
        <f>O749*(1-B$621)^($N749)</f>
        <v/>
      </c>
      <c r="U749" s="112">
        <f>IF(N749&lt;=$B$613,T749*$B$615/12,0)</f>
        <v/>
      </c>
      <c r="V749" s="315">
        <f>P749</f>
        <v/>
      </c>
      <c r="W749" s="314" t="n"/>
      <c r="X749" s="315">
        <f>P749</f>
        <v/>
      </c>
      <c r="Y749" s="316">
        <f>S749/$B$612*100</f>
        <v/>
      </c>
      <c r="Z749" s="46" t="n"/>
      <c r="AA749" s="313">
        <f>+V749-I749</f>
        <v/>
      </c>
    </row>
    <row r="750">
      <c r="A750" s="73" t="n">
        <v>119</v>
      </c>
      <c r="B750" s="289">
        <f>+F749</f>
        <v/>
      </c>
      <c r="C750" s="287">
        <f>(IF(A750&lt;$B$613,PMT($B$614/12,$B$613,-$B$612,$B$617,$B$620),IF(A750=$B$613,PMT($B$614/12,$B$613,-$B$612,$B$617,$B$620)+$B$617,0)))</f>
        <v/>
      </c>
      <c r="D750" s="289">
        <f>IF(A750&lt;=$B$613,B750*$B$614/12,0)</f>
        <v/>
      </c>
      <c r="E750" s="289">
        <f>C750-D750</f>
        <v/>
      </c>
      <c r="F750" s="314">
        <f>(B750-E750)</f>
        <v/>
      </c>
      <c r="G750" s="112">
        <f>B750*(1-B$621)^($A750)</f>
        <v/>
      </c>
      <c r="H750" s="112">
        <f>IF(A750&lt;=$B$613,G750*$B$614/12,0)</f>
        <v/>
      </c>
      <c r="I750" s="315">
        <f>C750</f>
        <v/>
      </c>
      <c r="J750" s="314" t="n"/>
      <c r="K750" s="315">
        <f>C750</f>
        <v/>
      </c>
      <c r="L750" s="316">
        <f>F750/$B$612*100</f>
        <v/>
      </c>
      <c r="M750" s="317" t="n"/>
      <c r="N750" s="73" t="n">
        <v>119</v>
      </c>
      <c r="O750" s="289">
        <f>+S749</f>
        <v/>
      </c>
      <c r="P750" s="287">
        <f>(IF(N750&lt;$B$613,PMT($B$615/12,$B$613,-$B$612,$B$617,0),IF(N750=$B$613,PMT($B$615/12,$B$613,-$B$612,$B$617,0)+$B$617,0)))</f>
        <v/>
      </c>
      <c r="Q750" s="289">
        <f>IF(N750&lt;=$B$613,O750*$B$615/12,0)</f>
        <v/>
      </c>
      <c r="R750" s="289">
        <f>P750-Q750</f>
        <v/>
      </c>
      <c r="S750" s="314">
        <f>(O750-R750)</f>
        <v/>
      </c>
      <c r="T750" s="112">
        <f>O750*(1-B$621)^($N750)</f>
        <v/>
      </c>
      <c r="U750" s="112">
        <f>IF(N750&lt;=$B$613,T750*$B$615/12,0)</f>
        <v/>
      </c>
      <c r="V750" s="315">
        <f>P750</f>
        <v/>
      </c>
      <c r="W750" s="314" t="n"/>
      <c r="X750" s="315">
        <f>P750</f>
        <v/>
      </c>
      <c r="Y750" s="316">
        <f>S750/$B$612*100</f>
        <v/>
      </c>
      <c r="Z750" s="46" t="n"/>
      <c r="AA750" s="313">
        <f>+V750-I750</f>
        <v/>
      </c>
    </row>
    <row r="751">
      <c r="A751" s="73" t="n">
        <v>120</v>
      </c>
      <c r="B751" s="289">
        <f>+F750</f>
        <v/>
      </c>
      <c r="C751" s="287">
        <f>(IF(A751&lt;$B$613,PMT($B$614/12,$B$613,-$B$612,$B$617,$B$620),IF(A751=$B$613,PMT($B$614/12,$B$613,-$B$612,$B$617,$B$620)+$B$617,0)))</f>
        <v/>
      </c>
      <c r="D751" s="289">
        <f>IF(A751&lt;=$B$613,B751*$B$614/12,0)</f>
        <v/>
      </c>
      <c r="E751" s="289">
        <f>C751-D751</f>
        <v/>
      </c>
      <c r="F751" s="314">
        <f>(B751-E751)</f>
        <v/>
      </c>
      <c r="G751" s="112">
        <f>B751*(1-B$621)^($A751)</f>
        <v/>
      </c>
      <c r="H751" s="112">
        <f>IF(A751&lt;=$B$613,G751*$B$614/12,0)</f>
        <v/>
      </c>
      <c r="I751" s="315">
        <f>C751</f>
        <v/>
      </c>
      <c r="J751" s="314" t="n"/>
      <c r="K751" s="315">
        <f>C751</f>
        <v/>
      </c>
      <c r="L751" s="316">
        <f>F751/$B$612*100</f>
        <v/>
      </c>
      <c r="M751" s="317" t="n"/>
      <c r="N751" s="73" t="n">
        <v>120</v>
      </c>
      <c r="O751" s="289">
        <f>+S750</f>
        <v/>
      </c>
      <c r="P751" s="287">
        <f>(IF(N751&lt;$B$613,PMT($B$615/12,$B$613,-$B$612,$B$617,0),IF(N751=$B$613,PMT($B$615/12,$B$613,-$B$612,$B$617,0)+$B$617,0)))</f>
        <v/>
      </c>
      <c r="Q751" s="289">
        <f>IF(N751&lt;=$B$613,O751*$B$615/12,0)</f>
        <v/>
      </c>
      <c r="R751" s="289">
        <f>P751-Q751</f>
        <v/>
      </c>
      <c r="S751" s="314">
        <f>(O751-R751)</f>
        <v/>
      </c>
      <c r="T751" s="112">
        <f>O751*(1-B$621)^($N751)</f>
        <v/>
      </c>
      <c r="U751" s="112">
        <f>IF(N751&lt;=$B$613,T751*$B$615/12,0)</f>
        <v/>
      </c>
      <c r="V751" s="315">
        <f>P751</f>
        <v/>
      </c>
      <c r="W751" s="314" t="n"/>
      <c r="X751" s="315">
        <f>P751</f>
        <v/>
      </c>
      <c r="Y751" s="316">
        <f>S751/$B$612*100</f>
        <v/>
      </c>
      <c r="Z751" s="46" t="n"/>
      <c r="AA751" s="313">
        <f>+V751-I751</f>
        <v/>
      </c>
    </row>
    <row r="752">
      <c r="A752" s="73" t="n">
        <v>121</v>
      </c>
      <c r="B752" s="289">
        <f>+F751</f>
        <v/>
      </c>
      <c r="C752" s="287">
        <f>(IF(A752&lt;$B$613,PMT($B$614/12,$B$613,-$B$612,$B$617,$B$620),IF(A752=$B$613,PMT($B$614/12,$B$613,-$B$612,$B$617,$B$620)+$B$617,0)))</f>
        <v/>
      </c>
      <c r="D752" s="289">
        <f>IF(A752&lt;=$B$613,B752*$B$614/12,0)</f>
        <v/>
      </c>
      <c r="E752" s="289">
        <f>C752-D752</f>
        <v/>
      </c>
      <c r="F752" s="314">
        <f>(B752-E752)</f>
        <v/>
      </c>
      <c r="G752" s="112">
        <f>B752*(1-B$621)^($A752)</f>
        <v/>
      </c>
      <c r="H752" s="112">
        <f>IF(A752&lt;=$B$613,G752*$B$614/12,0)</f>
        <v/>
      </c>
      <c r="I752" s="315">
        <f>C752</f>
        <v/>
      </c>
      <c r="J752" s="314" t="n"/>
      <c r="K752" s="315">
        <f>C752</f>
        <v/>
      </c>
      <c r="L752" s="316">
        <f>F752/$B$612*100</f>
        <v/>
      </c>
      <c r="M752" s="317" t="n"/>
      <c r="N752" s="73" t="n">
        <v>121</v>
      </c>
      <c r="O752" s="289">
        <f>+S751</f>
        <v/>
      </c>
      <c r="P752" s="287">
        <f>(IF(N752&lt;$B$613,PMT($B$615/12,$B$613,-$B$612,$B$617,0),IF(N752=$B$613,PMT($B$615/12,$B$613,-$B$612,$B$617,0)+$B$617,0)))</f>
        <v/>
      </c>
      <c r="Q752" s="289">
        <f>IF(N752&lt;=$B$613,O752*$B$615/12,0)</f>
        <v/>
      </c>
      <c r="R752" s="289">
        <f>P752-Q752</f>
        <v/>
      </c>
      <c r="S752" s="314">
        <f>(O752-R752)</f>
        <v/>
      </c>
      <c r="T752" s="112">
        <f>O752*(1-B$621)^($N752)</f>
        <v/>
      </c>
      <c r="U752" s="112">
        <f>IF(N752&lt;=$B$613,T752*$B$615/12,0)</f>
        <v/>
      </c>
      <c r="V752" s="315">
        <f>P752</f>
        <v/>
      </c>
      <c r="W752" s="314" t="n"/>
      <c r="X752" s="315">
        <f>P752</f>
        <v/>
      </c>
      <c r="Y752" s="316">
        <f>S752/$B$612*100</f>
        <v/>
      </c>
      <c r="Z752" s="46" t="n"/>
      <c r="AA752" s="313">
        <f>+V752-I752</f>
        <v/>
      </c>
    </row>
    <row r="753">
      <c r="A753" s="73" t="n">
        <v>122</v>
      </c>
      <c r="B753" s="289">
        <f>+F752</f>
        <v/>
      </c>
      <c r="C753" s="287">
        <f>(IF(A753&lt;$B$613,PMT($B$614/12,$B$613,-$B$612,$B$617,$B$620),IF(A753=$B$613,PMT($B$614/12,$B$613,-$B$612,$B$617,$B$620)+$B$617,0)))</f>
        <v/>
      </c>
      <c r="D753" s="289">
        <f>IF(A753&lt;=$B$613,B753*$B$614/12,0)</f>
        <v/>
      </c>
      <c r="E753" s="289">
        <f>C753-D753</f>
        <v/>
      </c>
      <c r="F753" s="314">
        <f>(B753-E753)</f>
        <v/>
      </c>
      <c r="G753" s="112">
        <f>B753*(1-B$621)^($A753)</f>
        <v/>
      </c>
      <c r="H753" s="112">
        <f>IF(A753&lt;=$B$613,G753*$B$614/12,0)</f>
        <v/>
      </c>
      <c r="I753" s="315">
        <f>C753</f>
        <v/>
      </c>
      <c r="J753" s="314" t="n"/>
      <c r="K753" s="315">
        <f>C753</f>
        <v/>
      </c>
      <c r="L753" s="316">
        <f>F753/$B$612*100</f>
        <v/>
      </c>
      <c r="M753" s="317" t="n"/>
      <c r="N753" s="73" t="n">
        <v>122</v>
      </c>
      <c r="O753" s="289">
        <f>+S752</f>
        <v/>
      </c>
      <c r="P753" s="287">
        <f>(IF(N753&lt;$B$613,PMT($B$615/12,$B$613,-$B$612,$B$617,0),IF(N753=$B$613,PMT($B$615/12,$B$613,-$B$612,$B$617,0)+$B$617,0)))</f>
        <v/>
      </c>
      <c r="Q753" s="289">
        <f>IF(N753&lt;=$B$613,O753*$B$615/12,0)</f>
        <v/>
      </c>
      <c r="R753" s="289">
        <f>P753-Q753</f>
        <v/>
      </c>
      <c r="S753" s="314">
        <f>(O753-R753)</f>
        <v/>
      </c>
      <c r="T753" s="112">
        <f>O753*(1-B$621)^($N753)</f>
        <v/>
      </c>
      <c r="U753" s="112">
        <f>IF(N753&lt;=$B$613,T753*$B$615/12,0)</f>
        <v/>
      </c>
      <c r="V753" s="315">
        <f>P753</f>
        <v/>
      </c>
      <c r="W753" s="314" t="n"/>
      <c r="X753" s="315">
        <f>P753</f>
        <v/>
      </c>
      <c r="Y753" s="316">
        <f>S753/$B$612*100</f>
        <v/>
      </c>
      <c r="Z753" s="46" t="n"/>
      <c r="AA753" s="313">
        <f>+V753-I753</f>
        <v/>
      </c>
    </row>
    <row r="754">
      <c r="A754" s="73" t="n">
        <v>123</v>
      </c>
      <c r="B754" s="289">
        <f>+F753</f>
        <v/>
      </c>
      <c r="C754" s="287">
        <f>(IF(A754&lt;$B$613,PMT($B$614/12,$B$613,-$B$612,$B$617,$B$620),IF(A754=$B$613,PMT($B$614/12,$B$613,-$B$612,$B$617,$B$620)+$B$617,0)))</f>
        <v/>
      </c>
      <c r="D754" s="289">
        <f>IF(A754&lt;=$B$613,B754*$B$614/12,0)</f>
        <v/>
      </c>
      <c r="E754" s="289">
        <f>C754-D754</f>
        <v/>
      </c>
      <c r="F754" s="314">
        <f>(B754-E754)</f>
        <v/>
      </c>
      <c r="G754" s="112">
        <f>B754*(1-B$621)^($A754)</f>
        <v/>
      </c>
      <c r="H754" s="112">
        <f>IF(A754&lt;=$B$613,G754*$B$614/12,0)</f>
        <v/>
      </c>
      <c r="I754" s="315">
        <f>C754</f>
        <v/>
      </c>
      <c r="J754" s="314" t="n"/>
      <c r="K754" s="315">
        <f>C754</f>
        <v/>
      </c>
      <c r="L754" s="316">
        <f>F754/$B$612*100</f>
        <v/>
      </c>
      <c r="M754" s="317" t="n"/>
      <c r="N754" s="73" t="n">
        <v>123</v>
      </c>
      <c r="O754" s="289">
        <f>+S753</f>
        <v/>
      </c>
      <c r="P754" s="287">
        <f>(IF(N754&lt;$B$613,PMT($B$615/12,$B$613,-$B$612,$B$617,0),IF(N754=$B$613,PMT($B$615/12,$B$613,-$B$612,$B$617,0)+$B$617,0)))</f>
        <v/>
      </c>
      <c r="Q754" s="289">
        <f>IF(N754&lt;=$B$613,O754*$B$615/12,0)</f>
        <v/>
      </c>
      <c r="R754" s="289">
        <f>P754-Q754</f>
        <v/>
      </c>
      <c r="S754" s="314">
        <f>(O754-R754)</f>
        <v/>
      </c>
      <c r="T754" s="112">
        <f>O754*(1-B$621)^($N754)</f>
        <v/>
      </c>
      <c r="U754" s="112">
        <f>IF(N754&lt;=$B$613,T754*$B$615/12,0)</f>
        <v/>
      </c>
      <c r="V754" s="315">
        <f>P754</f>
        <v/>
      </c>
      <c r="W754" s="314" t="n"/>
      <c r="X754" s="315">
        <f>P754</f>
        <v/>
      </c>
      <c r="Y754" s="316">
        <f>S754/$B$612*100</f>
        <v/>
      </c>
      <c r="Z754" s="46" t="n"/>
      <c r="AA754" s="313">
        <f>+V754-I754</f>
        <v/>
      </c>
    </row>
    <row r="755">
      <c r="A755" s="73" t="n">
        <v>124</v>
      </c>
      <c r="B755" s="289">
        <f>+F754</f>
        <v/>
      </c>
      <c r="C755" s="287">
        <f>(IF(A755&lt;$B$613,PMT($B$614/12,$B$613,-$B$612,$B$617,$B$620),IF(A755=$B$613,PMT($B$614/12,$B$613,-$B$612,$B$617,$B$620)+$B$617,0)))</f>
        <v/>
      </c>
      <c r="D755" s="289">
        <f>IF(A755&lt;=$B$613,B755*$B$614/12,0)</f>
        <v/>
      </c>
      <c r="E755" s="289">
        <f>C755-D755</f>
        <v/>
      </c>
      <c r="F755" s="314">
        <f>(B755-E755)</f>
        <v/>
      </c>
      <c r="G755" s="112">
        <f>B755*(1-B$621)^($A755)</f>
        <v/>
      </c>
      <c r="H755" s="112">
        <f>IF(A755&lt;=$B$613,G755*$B$614/12,0)</f>
        <v/>
      </c>
      <c r="I755" s="315">
        <f>C755</f>
        <v/>
      </c>
      <c r="J755" s="314" t="n"/>
      <c r="K755" s="315">
        <f>C755</f>
        <v/>
      </c>
      <c r="L755" s="316">
        <f>F755/$B$612*100</f>
        <v/>
      </c>
      <c r="M755" s="317" t="n"/>
      <c r="N755" s="73" t="n">
        <v>124</v>
      </c>
      <c r="O755" s="289">
        <f>+S754</f>
        <v/>
      </c>
      <c r="P755" s="287">
        <f>(IF(N755&lt;$B$613,PMT($B$615/12,$B$613,-$B$612,$B$617,0),IF(N755=$B$613,PMT($B$615/12,$B$613,-$B$612,$B$617,0)+$B$617,0)))</f>
        <v/>
      </c>
      <c r="Q755" s="289">
        <f>IF(N755&lt;=$B$613,O755*$B$615/12,0)</f>
        <v/>
      </c>
      <c r="R755" s="289">
        <f>P755-Q755</f>
        <v/>
      </c>
      <c r="S755" s="314">
        <f>(O755-R755)</f>
        <v/>
      </c>
      <c r="T755" s="112">
        <f>O755*(1-B$621)^($N755)</f>
        <v/>
      </c>
      <c r="U755" s="112">
        <f>IF(N755&lt;=$B$613,T755*$B$615/12,0)</f>
        <v/>
      </c>
      <c r="V755" s="315">
        <f>P755</f>
        <v/>
      </c>
      <c r="W755" s="314" t="n"/>
      <c r="X755" s="315">
        <f>P755</f>
        <v/>
      </c>
      <c r="Y755" s="316">
        <f>S755/$B$612*100</f>
        <v/>
      </c>
      <c r="Z755" s="46" t="n"/>
      <c r="AA755" s="313">
        <f>+V755-I755</f>
        <v/>
      </c>
    </row>
    <row r="756">
      <c r="A756" s="73" t="n">
        <v>125</v>
      </c>
      <c r="B756" s="289">
        <f>+F755</f>
        <v/>
      </c>
      <c r="C756" s="287">
        <f>(IF(A756&lt;$B$613,PMT($B$614/12,$B$613,-$B$612,$B$617,$B$620),IF(A756=$B$613,PMT($B$614/12,$B$613,-$B$612,$B$617,$B$620)+$B$617,0)))</f>
        <v/>
      </c>
      <c r="D756" s="289">
        <f>IF(A756&lt;=$B$613,B756*$B$614/12,0)</f>
        <v/>
      </c>
      <c r="E756" s="289">
        <f>C756-D756</f>
        <v/>
      </c>
      <c r="F756" s="314">
        <f>(B756-E756)</f>
        <v/>
      </c>
      <c r="G756" s="112">
        <f>B756*(1-B$621)^($A756)</f>
        <v/>
      </c>
      <c r="H756" s="112">
        <f>IF(A756&lt;=$B$613,G756*$B$614/12,0)</f>
        <v/>
      </c>
      <c r="I756" s="315">
        <f>C756</f>
        <v/>
      </c>
      <c r="J756" s="314" t="n"/>
      <c r="K756" s="315">
        <f>C756</f>
        <v/>
      </c>
      <c r="L756" s="316">
        <f>F756/$B$612*100</f>
        <v/>
      </c>
      <c r="M756" s="317" t="n"/>
      <c r="N756" s="73" t="n">
        <v>125</v>
      </c>
      <c r="O756" s="289">
        <f>+S755</f>
        <v/>
      </c>
      <c r="P756" s="287">
        <f>(IF(N756&lt;$B$613,PMT($B$615/12,$B$613,-$B$612,$B$617,0),IF(N756=$B$613,PMT($B$615/12,$B$613,-$B$612,$B$617,0)+$B$617,0)))</f>
        <v/>
      </c>
      <c r="Q756" s="289">
        <f>IF(N756&lt;=$B$613,O756*$B$615/12,0)</f>
        <v/>
      </c>
      <c r="R756" s="289">
        <f>P756-Q756</f>
        <v/>
      </c>
      <c r="S756" s="314">
        <f>(O756-R756)</f>
        <v/>
      </c>
      <c r="T756" s="112">
        <f>O756*(1-B$621)^($N756)</f>
        <v/>
      </c>
      <c r="U756" s="112">
        <f>IF(N756&lt;=$B$613,T756*$B$615/12,0)</f>
        <v/>
      </c>
      <c r="V756" s="315">
        <f>P756</f>
        <v/>
      </c>
      <c r="W756" s="314" t="n"/>
      <c r="X756" s="315">
        <f>P756</f>
        <v/>
      </c>
      <c r="Y756" s="316">
        <f>S756/$B$612*100</f>
        <v/>
      </c>
      <c r="Z756" s="46" t="n"/>
      <c r="AA756" s="313">
        <f>+V756-I756</f>
        <v/>
      </c>
    </row>
    <row r="757">
      <c r="A757" s="73" t="n">
        <v>126</v>
      </c>
      <c r="B757" s="289">
        <f>+F756</f>
        <v/>
      </c>
      <c r="C757" s="287">
        <f>(IF(A757&lt;$B$613,PMT($B$614/12,$B$613,-$B$612,$B$617,$B$620),IF(A757=$B$613,PMT($B$614/12,$B$613,-$B$612,$B$617,$B$620)+$B$617,0)))</f>
        <v/>
      </c>
      <c r="D757" s="289">
        <f>IF(A757&lt;=$B$613,B757*$B$614/12,0)</f>
        <v/>
      </c>
      <c r="E757" s="289">
        <f>C757-D757</f>
        <v/>
      </c>
      <c r="F757" s="314">
        <f>(B757-E757)</f>
        <v/>
      </c>
      <c r="G757" s="112">
        <f>B757*(1-B$621)^($A757)</f>
        <v/>
      </c>
      <c r="H757" s="112">
        <f>IF(A757&lt;=$B$613,G757*$B$614/12,0)</f>
        <v/>
      </c>
      <c r="I757" s="315">
        <f>C757</f>
        <v/>
      </c>
      <c r="J757" s="314" t="n"/>
      <c r="K757" s="315">
        <f>C757</f>
        <v/>
      </c>
      <c r="L757" s="316">
        <f>F757/$B$612*100</f>
        <v/>
      </c>
      <c r="M757" s="317" t="n"/>
      <c r="N757" s="73" t="n">
        <v>126</v>
      </c>
      <c r="O757" s="289">
        <f>+S756</f>
        <v/>
      </c>
      <c r="P757" s="287">
        <f>(IF(N757&lt;$B$613,PMT($B$615/12,$B$613,-$B$612,$B$617,0),IF(N757=$B$613,PMT($B$615/12,$B$613,-$B$612,$B$617,0)+$B$617,0)))</f>
        <v/>
      </c>
      <c r="Q757" s="289">
        <f>IF(N757&lt;=$B$613,O757*$B$615/12,0)</f>
        <v/>
      </c>
      <c r="R757" s="289">
        <f>P757-Q757</f>
        <v/>
      </c>
      <c r="S757" s="314">
        <f>(O757-R757)</f>
        <v/>
      </c>
      <c r="T757" s="112">
        <f>O757*(1-B$621)^($N757)</f>
        <v/>
      </c>
      <c r="U757" s="112">
        <f>IF(N757&lt;=$B$613,T757*$B$615/12,0)</f>
        <v/>
      </c>
      <c r="V757" s="315">
        <f>P757</f>
        <v/>
      </c>
      <c r="W757" s="314" t="n"/>
      <c r="X757" s="315">
        <f>P757</f>
        <v/>
      </c>
      <c r="Y757" s="316">
        <f>S757/$B$612*100</f>
        <v/>
      </c>
      <c r="Z757" s="46" t="n"/>
      <c r="AA757" s="313">
        <f>+V757-I757</f>
        <v/>
      </c>
    </row>
    <row r="758">
      <c r="A758" s="73" t="n">
        <v>127</v>
      </c>
      <c r="B758" s="289">
        <f>+F757</f>
        <v/>
      </c>
      <c r="C758" s="287">
        <f>(IF(A758&lt;$B$613,PMT($B$614/12,$B$613,-$B$612,$B$617,$B$620),IF(A758=$B$613,PMT($B$614/12,$B$613,-$B$612,$B$617,$B$620)+$B$617,0)))</f>
        <v/>
      </c>
      <c r="D758" s="289">
        <f>IF(A758&lt;=$B$613,B758*$B$614/12,0)</f>
        <v/>
      </c>
      <c r="E758" s="289">
        <f>C758-D758</f>
        <v/>
      </c>
      <c r="F758" s="314">
        <f>(B758-E758)</f>
        <v/>
      </c>
      <c r="G758" s="112">
        <f>B758*(1-B$621)^($A758)</f>
        <v/>
      </c>
      <c r="H758" s="112">
        <f>IF(A758&lt;=$B$613,G758*$B$614/12,0)</f>
        <v/>
      </c>
      <c r="I758" s="315">
        <f>C758</f>
        <v/>
      </c>
      <c r="J758" s="314" t="n"/>
      <c r="K758" s="315">
        <f>C758</f>
        <v/>
      </c>
      <c r="L758" s="316">
        <f>F758/$B$612*100</f>
        <v/>
      </c>
      <c r="M758" s="317" t="n"/>
      <c r="N758" s="73" t="n">
        <v>127</v>
      </c>
      <c r="O758" s="289">
        <f>+S757</f>
        <v/>
      </c>
      <c r="P758" s="287">
        <f>(IF(N758&lt;$B$613,PMT($B$615/12,$B$613,-$B$612,$B$617,0),IF(N758=$B$613,PMT($B$615/12,$B$613,-$B$612,$B$617,0)+$B$617,0)))</f>
        <v/>
      </c>
      <c r="Q758" s="289">
        <f>IF(N758&lt;=$B$613,O758*$B$615/12,0)</f>
        <v/>
      </c>
      <c r="R758" s="289">
        <f>P758-Q758</f>
        <v/>
      </c>
      <c r="S758" s="314">
        <f>(O758-R758)</f>
        <v/>
      </c>
      <c r="T758" s="112">
        <f>O758*(1-B$621)^($N758)</f>
        <v/>
      </c>
      <c r="U758" s="112">
        <f>IF(N758&lt;=$B$613,T758*$B$615/12,0)</f>
        <v/>
      </c>
      <c r="V758" s="315">
        <f>P758</f>
        <v/>
      </c>
      <c r="W758" s="314" t="n"/>
      <c r="X758" s="315">
        <f>P758</f>
        <v/>
      </c>
      <c r="Y758" s="316">
        <f>S758/$B$612*100</f>
        <v/>
      </c>
      <c r="Z758" s="46" t="n"/>
      <c r="AA758" s="313">
        <f>+V758-I758</f>
        <v/>
      </c>
    </row>
    <row r="759">
      <c r="A759" s="73" t="n">
        <v>128</v>
      </c>
      <c r="B759" s="289">
        <f>+F758</f>
        <v/>
      </c>
      <c r="C759" s="287">
        <f>(IF(A759&lt;$B$613,PMT($B$614/12,$B$613,-$B$612,$B$617,$B$620),IF(A759=$B$613,PMT($B$614/12,$B$613,-$B$612,$B$617,$B$620)+$B$617,0)))</f>
        <v/>
      </c>
      <c r="D759" s="289">
        <f>IF(A759&lt;=$B$613,B759*$B$614/12,0)</f>
        <v/>
      </c>
      <c r="E759" s="289">
        <f>C759-D759</f>
        <v/>
      </c>
      <c r="F759" s="314">
        <f>(B759-E759)</f>
        <v/>
      </c>
      <c r="G759" s="112">
        <f>B759*(1-B$621)^($A759)</f>
        <v/>
      </c>
      <c r="H759" s="112">
        <f>IF(A759&lt;=$B$613,G759*$B$614/12,0)</f>
        <v/>
      </c>
      <c r="I759" s="315">
        <f>C759</f>
        <v/>
      </c>
      <c r="J759" s="314" t="n"/>
      <c r="K759" s="315">
        <f>C759</f>
        <v/>
      </c>
      <c r="L759" s="316">
        <f>F759/$B$612*100</f>
        <v/>
      </c>
      <c r="M759" s="317" t="n"/>
      <c r="N759" s="73" t="n">
        <v>128</v>
      </c>
      <c r="O759" s="289">
        <f>+S758</f>
        <v/>
      </c>
      <c r="P759" s="287">
        <f>(IF(N759&lt;$B$613,PMT($B$615/12,$B$613,-$B$612,$B$617,0),IF(N759=$B$613,PMT($B$615/12,$B$613,-$B$612,$B$617,0)+$B$617,0)))</f>
        <v/>
      </c>
      <c r="Q759" s="289">
        <f>IF(N759&lt;=$B$613,O759*$B$615/12,0)</f>
        <v/>
      </c>
      <c r="R759" s="289">
        <f>P759-Q759</f>
        <v/>
      </c>
      <c r="S759" s="314">
        <f>(O759-R759)</f>
        <v/>
      </c>
      <c r="T759" s="112">
        <f>O759*(1-B$621)^($N759)</f>
        <v/>
      </c>
      <c r="U759" s="112">
        <f>IF(N759&lt;=$B$613,T759*$B$615/12,0)</f>
        <v/>
      </c>
      <c r="V759" s="315">
        <f>P759</f>
        <v/>
      </c>
      <c r="W759" s="314" t="n"/>
      <c r="X759" s="315">
        <f>P759</f>
        <v/>
      </c>
      <c r="Y759" s="316">
        <f>S759/$B$612*100</f>
        <v/>
      </c>
      <c r="Z759" s="46" t="n"/>
      <c r="AA759" s="313">
        <f>+V759-I759</f>
        <v/>
      </c>
    </row>
    <row r="760">
      <c r="A760" s="73" t="n">
        <v>129</v>
      </c>
      <c r="B760" s="289">
        <f>+F759</f>
        <v/>
      </c>
      <c r="C760" s="287">
        <f>(IF(A760&lt;$B$613,PMT($B$614/12,$B$613,-$B$612,$B$617,$B$620),IF(A760=$B$613,PMT($B$614/12,$B$613,-$B$612,$B$617,$B$620)+$B$617,0)))</f>
        <v/>
      </c>
      <c r="D760" s="289">
        <f>IF(A760&lt;=$B$613,B760*$B$614/12,0)</f>
        <v/>
      </c>
      <c r="E760" s="289">
        <f>C760-D760</f>
        <v/>
      </c>
      <c r="F760" s="314">
        <f>(B760-E760)</f>
        <v/>
      </c>
      <c r="G760" s="112">
        <f>B760*(1-B$621)^($A760)</f>
        <v/>
      </c>
      <c r="H760" s="112">
        <f>IF(A760&lt;=$B$613,G760*$B$614/12,0)</f>
        <v/>
      </c>
      <c r="I760" s="315">
        <f>C760</f>
        <v/>
      </c>
      <c r="J760" s="314" t="n"/>
      <c r="K760" s="315">
        <f>C760</f>
        <v/>
      </c>
      <c r="L760" s="316">
        <f>F760/$B$612*100</f>
        <v/>
      </c>
      <c r="M760" s="317" t="n"/>
      <c r="N760" s="73" t="n">
        <v>129</v>
      </c>
      <c r="O760" s="289">
        <f>+S759</f>
        <v/>
      </c>
      <c r="P760" s="287">
        <f>(IF(N760&lt;$B$613,PMT($B$615/12,$B$613,-$B$612,$B$617,0),IF(N760=$B$613,PMT($B$615/12,$B$613,-$B$612,$B$617,0)+$B$617,0)))</f>
        <v/>
      </c>
      <c r="Q760" s="289">
        <f>IF(N760&lt;=$B$613,O760*$B$615/12,0)</f>
        <v/>
      </c>
      <c r="R760" s="289">
        <f>P760-Q760</f>
        <v/>
      </c>
      <c r="S760" s="314">
        <f>(O760-R760)</f>
        <v/>
      </c>
      <c r="T760" s="112">
        <f>O760*(1-B$621)^($N760)</f>
        <v/>
      </c>
      <c r="U760" s="112">
        <f>IF(N760&lt;=$B$613,T760*$B$615/12,0)</f>
        <v/>
      </c>
      <c r="V760" s="315">
        <f>P760</f>
        <v/>
      </c>
      <c r="W760" s="314" t="n"/>
      <c r="X760" s="315">
        <f>P760</f>
        <v/>
      </c>
      <c r="Y760" s="316">
        <f>S760/$B$612*100</f>
        <v/>
      </c>
      <c r="Z760" s="46" t="n"/>
      <c r="AA760" s="313">
        <f>+V760-I760</f>
        <v/>
      </c>
    </row>
    <row r="761">
      <c r="A761" s="73" t="n">
        <v>130</v>
      </c>
      <c r="B761" s="289">
        <f>+F760</f>
        <v/>
      </c>
      <c r="C761" s="287">
        <f>(IF(A761&lt;$B$613,PMT($B$614/12,$B$613,-$B$612,$B$617,$B$620),IF(A761=$B$613,PMT($B$614/12,$B$613,-$B$612,$B$617,$B$620)+$B$617,0)))</f>
        <v/>
      </c>
      <c r="D761" s="289">
        <f>IF(A761&lt;=$B$613,B761*$B$614/12,0)</f>
        <v/>
      </c>
      <c r="E761" s="289">
        <f>C761-D761</f>
        <v/>
      </c>
      <c r="F761" s="314">
        <f>(B761-E761)</f>
        <v/>
      </c>
      <c r="G761" s="112">
        <f>B761*(1-B$621)^($A761)</f>
        <v/>
      </c>
      <c r="H761" s="112">
        <f>IF(A761&lt;=$B$613,G761*$B$614/12,0)</f>
        <v/>
      </c>
      <c r="I761" s="315">
        <f>C761</f>
        <v/>
      </c>
      <c r="J761" s="314" t="n"/>
      <c r="K761" s="315">
        <f>C761</f>
        <v/>
      </c>
      <c r="L761" s="316">
        <f>F761/$B$612*100</f>
        <v/>
      </c>
      <c r="M761" s="317" t="n"/>
      <c r="N761" s="73" t="n">
        <v>130</v>
      </c>
      <c r="O761" s="289">
        <f>+S760</f>
        <v/>
      </c>
      <c r="P761" s="287">
        <f>(IF(N761&lt;$B$613,PMT($B$615/12,$B$613,-$B$612,$B$617,0),IF(N761=$B$613,PMT($B$615/12,$B$613,-$B$612,$B$617,0)+$B$617,0)))</f>
        <v/>
      </c>
      <c r="Q761" s="289">
        <f>IF(N761&lt;=$B$613,O761*$B$615/12,0)</f>
        <v/>
      </c>
      <c r="R761" s="289">
        <f>P761-Q761</f>
        <v/>
      </c>
      <c r="S761" s="314">
        <f>(O761-R761)</f>
        <v/>
      </c>
      <c r="T761" s="112">
        <f>O761*(1-B$621)^($N761)</f>
        <v/>
      </c>
      <c r="U761" s="112">
        <f>IF(N761&lt;=$B$613,T761*$B$615/12,0)</f>
        <v/>
      </c>
      <c r="V761" s="315">
        <f>P761</f>
        <v/>
      </c>
      <c r="W761" s="314" t="n"/>
      <c r="X761" s="315">
        <f>P761</f>
        <v/>
      </c>
      <c r="Y761" s="316">
        <f>S761/$B$612*100</f>
        <v/>
      </c>
      <c r="Z761" s="46" t="n"/>
      <c r="AA761" s="313">
        <f>+V761-I761</f>
        <v/>
      </c>
    </row>
    <row r="762">
      <c r="A762" s="73" t="n">
        <v>131</v>
      </c>
      <c r="B762" s="289">
        <f>+F761</f>
        <v/>
      </c>
      <c r="C762" s="287">
        <f>(IF(A762&lt;$B$613,PMT($B$614/12,$B$613,-$B$612,$B$617,$B$620),IF(A762=$B$613,PMT($B$614/12,$B$613,-$B$612,$B$617,$B$620)+$B$617,0)))</f>
        <v/>
      </c>
      <c r="D762" s="289">
        <f>IF(A762&lt;=$B$613,B762*$B$614/12,0)</f>
        <v/>
      </c>
      <c r="E762" s="289">
        <f>C762-D762</f>
        <v/>
      </c>
      <c r="F762" s="314">
        <f>(B762-E762)</f>
        <v/>
      </c>
      <c r="G762" s="112">
        <f>B762*(1-B$621)^($A762)</f>
        <v/>
      </c>
      <c r="H762" s="112">
        <f>IF(A762&lt;=$B$613,G762*$B$614/12,0)</f>
        <v/>
      </c>
      <c r="I762" s="315">
        <f>C762</f>
        <v/>
      </c>
      <c r="J762" s="314" t="n"/>
      <c r="K762" s="315">
        <f>C762</f>
        <v/>
      </c>
      <c r="L762" s="316">
        <f>F762/$B$612*100</f>
        <v/>
      </c>
      <c r="M762" s="317" t="n"/>
      <c r="N762" s="73" t="n">
        <v>131</v>
      </c>
      <c r="O762" s="289">
        <f>+S761</f>
        <v/>
      </c>
      <c r="P762" s="287">
        <f>(IF(N762&lt;$B$613,PMT($B$615/12,$B$613,-$B$612,$B$617,0),IF(N762=$B$613,PMT($B$615/12,$B$613,-$B$612,$B$617,0)+$B$617,0)))</f>
        <v/>
      </c>
      <c r="Q762" s="289">
        <f>IF(N762&lt;=$B$613,O762*$B$615/12,0)</f>
        <v/>
      </c>
      <c r="R762" s="289">
        <f>P762-Q762</f>
        <v/>
      </c>
      <c r="S762" s="314">
        <f>(O762-R762)</f>
        <v/>
      </c>
      <c r="T762" s="112">
        <f>O762*(1-B$621)^($N762)</f>
        <v/>
      </c>
      <c r="U762" s="112">
        <f>IF(N762&lt;=$B$613,T762*$B$615/12,0)</f>
        <v/>
      </c>
      <c r="V762" s="315">
        <f>P762</f>
        <v/>
      </c>
      <c r="W762" s="314" t="n"/>
      <c r="X762" s="315">
        <f>P762</f>
        <v/>
      </c>
      <c r="Y762" s="316">
        <f>S762/$B$612*100</f>
        <v/>
      </c>
      <c r="Z762" s="46" t="n"/>
      <c r="AA762" s="313">
        <f>+V762-I762</f>
        <v/>
      </c>
    </row>
    <row r="763">
      <c r="A763" s="73" t="n">
        <v>132</v>
      </c>
      <c r="B763" s="289">
        <f>+F762</f>
        <v/>
      </c>
      <c r="C763" s="287">
        <f>(IF(A763&lt;$B$613,PMT($B$614/12,$B$613,-$B$612,$B$617,$B$620),IF(A763=$B$613,PMT($B$614/12,$B$613,-$B$612,$B$617,$B$620)+$B$617,0)))</f>
        <v/>
      </c>
      <c r="D763" s="289">
        <f>IF(A763&lt;=$B$613,B763*$B$614/12,0)</f>
        <v/>
      </c>
      <c r="E763" s="289">
        <f>C763-D763</f>
        <v/>
      </c>
      <c r="F763" s="314">
        <f>(B763-E763)</f>
        <v/>
      </c>
      <c r="G763" s="112">
        <f>B763*(1-B$621)^($A763)</f>
        <v/>
      </c>
      <c r="H763" s="112">
        <f>IF(A763&lt;=$B$613,G763*$B$614/12,0)</f>
        <v/>
      </c>
      <c r="I763" s="315">
        <f>C763</f>
        <v/>
      </c>
      <c r="J763" s="314" t="n"/>
      <c r="K763" s="315">
        <f>C763</f>
        <v/>
      </c>
      <c r="L763" s="316">
        <f>F763/$B$612*100</f>
        <v/>
      </c>
      <c r="M763" s="317" t="n"/>
      <c r="N763" s="73" t="n">
        <v>132</v>
      </c>
      <c r="O763" s="289">
        <f>+S762</f>
        <v/>
      </c>
      <c r="P763" s="287">
        <f>(IF(N763&lt;$B$613,PMT($B$615/12,$B$613,-$B$612,$B$617,0),IF(N763=$B$613,PMT($B$615/12,$B$613,-$B$612,$B$617,0)+$B$617,0)))</f>
        <v/>
      </c>
      <c r="Q763" s="289">
        <f>IF(N763&lt;=$B$613,O763*$B$615/12,0)</f>
        <v/>
      </c>
      <c r="R763" s="289">
        <f>P763-Q763</f>
        <v/>
      </c>
      <c r="S763" s="314">
        <f>(O763-R763)</f>
        <v/>
      </c>
      <c r="T763" s="112">
        <f>O763*(1-B$621)^($N763)</f>
        <v/>
      </c>
      <c r="U763" s="112">
        <f>IF(N763&lt;=$B$613,T763*$B$615/12,0)</f>
        <v/>
      </c>
      <c r="V763" s="315">
        <f>P763</f>
        <v/>
      </c>
      <c r="W763" s="314" t="n"/>
      <c r="X763" s="315">
        <f>P763</f>
        <v/>
      </c>
      <c r="Y763" s="316">
        <f>S763/$B$612*100</f>
        <v/>
      </c>
      <c r="Z763" s="46" t="n"/>
      <c r="AA763" s="313">
        <f>+V763-I763</f>
        <v/>
      </c>
    </row>
    <row r="764">
      <c r="A764" s="73" t="n">
        <v>133</v>
      </c>
      <c r="B764" s="289">
        <f>+F763</f>
        <v/>
      </c>
      <c r="C764" s="287">
        <f>(IF(A764&lt;$B$613,PMT($B$614/12,$B$613,-$B$612,$B$617,$B$620),IF(A764=$B$613,PMT($B$614/12,$B$613,-$B$612,$B$617,$B$620)+$B$617,0)))</f>
        <v/>
      </c>
      <c r="D764" s="289">
        <f>IF(A764&lt;=$B$613,B764*$B$614/12,0)</f>
        <v/>
      </c>
      <c r="E764" s="289">
        <f>C764-D764</f>
        <v/>
      </c>
      <c r="F764" s="314">
        <f>(B764-E764)</f>
        <v/>
      </c>
      <c r="G764" s="112">
        <f>B764*(1-B$621)^($A764)</f>
        <v/>
      </c>
      <c r="H764" s="112">
        <f>IF(A764&lt;=$B$613,G764*$B$614/12,0)</f>
        <v/>
      </c>
      <c r="I764" s="315">
        <f>C764</f>
        <v/>
      </c>
      <c r="J764" s="314" t="n"/>
      <c r="K764" s="315">
        <f>C764</f>
        <v/>
      </c>
      <c r="L764" s="316">
        <f>F764/$B$612*100</f>
        <v/>
      </c>
      <c r="M764" s="317" t="n"/>
      <c r="N764" s="73" t="n">
        <v>133</v>
      </c>
      <c r="O764" s="289">
        <f>+S763</f>
        <v/>
      </c>
      <c r="P764" s="287">
        <f>(IF(N764&lt;$B$613,PMT($B$615/12,$B$613,-$B$612,$B$617,0),IF(N764=$B$613,PMT($B$615/12,$B$613,-$B$612,$B$617,0)+$B$617,0)))</f>
        <v/>
      </c>
      <c r="Q764" s="289">
        <f>IF(N764&lt;=$B$613,O764*$B$615/12,0)</f>
        <v/>
      </c>
      <c r="R764" s="289">
        <f>P764-Q764</f>
        <v/>
      </c>
      <c r="S764" s="314">
        <f>(O764-R764)</f>
        <v/>
      </c>
      <c r="T764" s="112">
        <f>O764*(1-B$621)^($N764)</f>
        <v/>
      </c>
      <c r="U764" s="112">
        <f>IF(N764&lt;=$B$613,T764*$B$615/12,0)</f>
        <v/>
      </c>
      <c r="V764" s="315">
        <f>P764</f>
        <v/>
      </c>
      <c r="W764" s="314" t="n"/>
      <c r="X764" s="315">
        <f>P764</f>
        <v/>
      </c>
      <c r="Y764" s="316">
        <f>S764/$B$612*100</f>
        <v/>
      </c>
      <c r="Z764" s="46" t="n"/>
      <c r="AA764" s="313">
        <f>+V764-I764</f>
        <v/>
      </c>
    </row>
    <row r="765">
      <c r="A765" s="73" t="n">
        <v>134</v>
      </c>
      <c r="B765" s="289">
        <f>+F764</f>
        <v/>
      </c>
      <c r="C765" s="287">
        <f>(IF(A765&lt;$B$613,PMT($B$614/12,$B$613,-$B$612,$B$617,$B$620),IF(A765=$B$613,PMT($B$614/12,$B$613,-$B$612,$B$617,$B$620)+$B$617,0)))</f>
        <v/>
      </c>
      <c r="D765" s="289">
        <f>IF(A765&lt;=$B$613,B765*$B$614/12,0)</f>
        <v/>
      </c>
      <c r="E765" s="289">
        <f>C765-D765</f>
        <v/>
      </c>
      <c r="F765" s="314">
        <f>(B765-E765)</f>
        <v/>
      </c>
      <c r="G765" s="112">
        <f>B765*(1-B$621)^($A765)</f>
        <v/>
      </c>
      <c r="H765" s="112">
        <f>IF(A765&lt;=$B$613,G765*$B$614/12,0)</f>
        <v/>
      </c>
      <c r="I765" s="315">
        <f>C765</f>
        <v/>
      </c>
      <c r="J765" s="314" t="n"/>
      <c r="K765" s="315">
        <f>C765</f>
        <v/>
      </c>
      <c r="L765" s="316">
        <f>F765/$B$612*100</f>
        <v/>
      </c>
      <c r="M765" s="317" t="n"/>
      <c r="N765" s="73" t="n">
        <v>134</v>
      </c>
      <c r="O765" s="289">
        <f>+S764</f>
        <v/>
      </c>
      <c r="P765" s="287">
        <f>(IF(N765&lt;$B$613,PMT($B$615/12,$B$613,-$B$612,$B$617,0),IF(N765=$B$613,PMT($B$615/12,$B$613,-$B$612,$B$617,0)+$B$617,0)))</f>
        <v/>
      </c>
      <c r="Q765" s="289">
        <f>IF(N765&lt;=$B$613,O765*$B$615/12,0)</f>
        <v/>
      </c>
      <c r="R765" s="289">
        <f>P765-Q765</f>
        <v/>
      </c>
      <c r="S765" s="314">
        <f>(O765-R765)</f>
        <v/>
      </c>
      <c r="T765" s="112">
        <f>O765*(1-B$621)^($N765)</f>
        <v/>
      </c>
      <c r="U765" s="112">
        <f>IF(N765&lt;=$B$613,T765*$B$615/12,0)</f>
        <v/>
      </c>
      <c r="V765" s="315">
        <f>P765</f>
        <v/>
      </c>
      <c r="W765" s="314" t="n"/>
      <c r="X765" s="315">
        <f>P765</f>
        <v/>
      </c>
      <c r="Y765" s="316">
        <f>S765/$B$612*100</f>
        <v/>
      </c>
      <c r="Z765" s="46" t="n"/>
      <c r="AA765" s="313">
        <f>+V765-I765</f>
        <v/>
      </c>
    </row>
    <row r="766">
      <c r="A766" s="73" t="n">
        <v>135</v>
      </c>
      <c r="B766" s="289">
        <f>+F765</f>
        <v/>
      </c>
      <c r="C766" s="287">
        <f>(IF(A766&lt;$B$613,PMT($B$614/12,$B$613,-$B$612,$B$617,$B$620),IF(A766=$B$613,PMT($B$614/12,$B$613,-$B$612,$B$617,$B$620)+$B$617,0)))</f>
        <v/>
      </c>
      <c r="D766" s="289">
        <f>IF(A766&lt;=$B$613,B766*$B$614/12,0)</f>
        <v/>
      </c>
      <c r="E766" s="289">
        <f>C766-D766</f>
        <v/>
      </c>
      <c r="F766" s="314">
        <f>(B766-E766)</f>
        <v/>
      </c>
      <c r="G766" s="112">
        <f>B766*(1-B$621)^($A766)</f>
        <v/>
      </c>
      <c r="H766" s="112">
        <f>IF(A766&lt;=$B$613,G766*$B$614/12,0)</f>
        <v/>
      </c>
      <c r="I766" s="315">
        <f>C766</f>
        <v/>
      </c>
      <c r="J766" s="314" t="n"/>
      <c r="K766" s="315">
        <f>C766</f>
        <v/>
      </c>
      <c r="L766" s="316">
        <f>F766/$B$612*100</f>
        <v/>
      </c>
      <c r="M766" s="317" t="n"/>
      <c r="N766" s="73" t="n">
        <v>135</v>
      </c>
      <c r="O766" s="289">
        <f>+S765</f>
        <v/>
      </c>
      <c r="P766" s="287">
        <f>(IF(N766&lt;$B$613,PMT($B$615/12,$B$613,-$B$612,$B$617,0),IF(N766=$B$613,PMT($B$615/12,$B$613,-$B$612,$B$617,0)+$B$617,0)))</f>
        <v/>
      </c>
      <c r="Q766" s="289">
        <f>IF(N766&lt;=$B$613,O766*$B$615/12,0)</f>
        <v/>
      </c>
      <c r="R766" s="289">
        <f>P766-Q766</f>
        <v/>
      </c>
      <c r="S766" s="314">
        <f>(O766-R766)</f>
        <v/>
      </c>
      <c r="T766" s="112">
        <f>O766*(1-B$621)^($N766)</f>
        <v/>
      </c>
      <c r="U766" s="112">
        <f>IF(N766&lt;=$B$613,T766*$B$615/12,0)</f>
        <v/>
      </c>
      <c r="V766" s="315">
        <f>P766</f>
        <v/>
      </c>
      <c r="W766" s="314" t="n"/>
      <c r="X766" s="315">
        <f>P766</f>
        <v/>
      </c>
      <c r="Y766" s="316">
        <f>S766/$B$612*100</f>
        <v/>
      </c>
      <c r="Z766" s="46" t="n"/>
      <c r="AA766" s="313">
        <f>+V766-I766</f>
        <v/>
      </c>
    </row>
    <row r="767">
      <c r="A767" s="73" t="n">
        <v>136</v>
      </c>
      <c r="B767" s="289">
        <f>+F766</f>
        <v/>
      </c>
      <c r="C767" s="287">
        <f>(IF(A767&lt;$B$613,PMT($B$614/12,$B$613,-$B$612,$B$617,$B$620),IF(A767=$B$613,PMT($B$614/12,$B$613,-$B$612,$B$617,$B$620)+$B$617,0)))</f>
        <v/>
      </c>
      <c r="D767" s="289">
        <f>IF(A767&lt;=$B$613,B767*$B$614/12,0)</f>
        <v/>
      </c>
      <c r="E767" s="289">
        <f>C767-D767</f>
        <v/>
      </c>
      <c r="F767" s="314">
        <f>(B767-E767)</f>
        <v/>
      </c>
      <c r="G767" s="112">
        <f>B767*(1-B$621)^($A767)</f>
        <v/>
      </c>
      <c r="H767" s="112">
        <f>IF(A767&lt;=$B$613,G767*$B$614/12,0)</f>
        <v/>
      </c>
      <c r="I767" s="315">
        <f>C767</f>
        <v/>
      </c>
      <c r="J767" s="314" t="n"/>
      <c r="K767" s="315">
        <f>C767</f>
        <v/>
      </c>
      <c r="L767" s="316">
        <f>F767/$B$612*100</f>
        <v/>
      </c>
      <c r="M767" s="317" t="n"/>
      <c r="N767" s="73" t="n">
        <v>136</v>
      </c>
      <c r="O767" s="289">
        <f>+S766</f>
        <v/>
      </c>
      <c r="P767" s="287">
        <f>(IF(N767&lt;$B$613,PMT($B$615/12,$B$613,-$B$612,$B$617,0),IF(N767=$B$613,PMT($B$615/12,$B$613,-$B$612,$B$617,0)+$B$617,0)))</f>
        <v/>
      </c>
      <c r="Q767" s="289">
        <f>IF(N767&lt;=$B$613,O767*$B$615/12,0)</f>
        <v/>
      </c>
      <c r="R767" s="289">
        <f>P767-Q767</f>
        <v/>
      </c>
      <c r="S767" s="314">
        <f>(O767-R767)</f>
        <v/>
      </c>
      <c r="T767" s="112">
        <f>O767*(1-B$621)^($N767)</f>
        <v/>
      </c>
      <c r="U767" s="112">
        <f>IF(N767&lt;=$B$613,T767*$B$615/12,0)</f>
        <v/>
      </c>
      <c r="V767" s="315">
        <f>P767</f>
        <v/>
      </c>
      <c r="W767" s="314" t="n"/>
      <c r="X767" s="315">
        <f>P767</f>
        <v/>
      </c>
      <c r="Y767" s="316">
        <f>S767/$B$612*100</f>
        <v/>
      </c>
      <c r="Z767" s="46" t="n"/>
      <c r="AA767" s="313">
        <f>+V767-I767</f>
        <v/>
      </c>
    </row>
    <row r="768">
      <c r="A768" s="73" t="n">
        <v>137</v>
      </c>
      <c r="B768" s="289">
        <f>+F767</f>
        <v/>
      </c>
      <c r="C768" s="287">
        <f>(IF(A768&lt;$B$613,PMT($B$614/12,$B$613,-$B$612,$B$617,$B$620),IF(A768=$B$613,PMT($B$614/12,$B$613,-$B$612,$B$617,$B$620)+$B$617,0)))</f>
        <v/>
      </c>
      <c r="D768" s="289">
        <f>IF(A768&lt;=$B$613,B768*$B$614/12,0)</f>
        <v/>
      </c>
      <c r="E768" s="289">
        <f>C768-D768</f>
        <v/>
      </c>
      <c r="F768" s="314">
        <f>(B768-E768)</f>
        <v/>
      </c>
      <c r="G768" s="112">
        <f>B768*(1-B$621)^($A768)</f>
        <v/>
      </c>
      <c r="H768" s="112">
        <f>IF(A768&lt;=$B$613,G768*$B$614/12,0)</f>
        <v/>
      </c>
      <c r="I768" s="315">
        <f>C768</f>
        <v/>
      </c>
      <c r="J768" s="314" t="n"/>
      <c r="K768" s="315">
        <f>C768</f>
        <v/>
      </c>
      <c r="L768" s="316">
        <f>F768/$B$612*100</f>
        <v/>
      </c>
      <c r="M768" s="317" t="n"/>
      <c r="N768" s="73" t="n">
        <v>137</v>
      </c>
      <c r="O768" s="289">
        <f>+S767</f>
        <v/>
      </c>
      <c r="P768" s="287">
        <f>(IF(N768&lt;$B$613,PMT($B$615/12,$B$613,-$B$612,$B$617,0),IF(N768=$B$613,PMT($B$615/12,$B$613,-$B$612,$B$617,0)+$B$617,0)))</f>
        <v/>
      </c>
      <c r="Q768" s="289">
        <f>IF(N768&lt;=$B$613,O768*$B$615/12,0)</f>
        <v/>
      </c>
      <c r="R768" s="289">
        <f>P768-Q768</f>
        <v/>
      </c>
      <c r="S768" s="314">
        <f>(O768-R768)</f>
        <v/>
      </c>
      <c r="T768" s="112">
        <f>O768*(1-B$621)^($N768)</f>
        <v/>
      </c>
      <c r="U768" s="112">
        <f>IF(N768&lt;=$B$613,T768*$B$615/12,0)</f>
        <v/>
      </c>
      <c r="V768" s="315">
        <f>P768</f>
        <v/>
      </c>
      <c r="W768" s="314" t="n"/>
      <c r="X768" s="315">
        <f>P768</f>
        <v/>
      </c>
      <c r="Y768" s="316">
        <f>S768/$B$612*100</f>
        <v/>
      </c>
      <c r="Z768" s="46" t="n"/>
      <c r="AA768" s="313">
        <f>+V768-I768</f>
        <v/>
      </c>
    </row>
    <row r="769">
      <c r="A769" s="73" t="n">
        <v>138</v>
      </c>
      <c r="B769" s="289">
        <f>+F768</f>
        <v/>
      </c>
      <c r="C769" s="287">
        <f>(IF(A769&lt;$B$613,PMT($B$614/12,$B$613,-$B$612,$B$617,$B$620),IF(A769=$B$613,PMT($B$614/12,$B$613,-$B$612,$B$617,$B$620)+$B$617,0)))</f>
        <v/>
      </c>
      <c r="D769" s="289">
        <f>IF(A769&lt;=$B$613,B769*$B$614/12,0)</f>
        <v/>
      </c>
      <c r="E769" s="289">
        <f>C769-D769</f>
        <v/>
      </c>
      <c r="F769" s="314">
        <f>(B769-E769)</f>
        <v/>
      </c>
      <c r="G769" s="112">
        <f>B769*(1-B$621)^($A769)</f>
        <v/>
      </c>
      <c r="H769" s="112">
        <f>IF(A769&lt;=$B$613,G769*$B$614/12,0)</f>
        <v/>
      </c>
      <c r="I769" s="315">
        <f>C769</f>
        <v/>
      </c>
      <c r="J769" s="314" t="n"/>
      <c r="K769" s="315">
        <f>C769</f>
        <v/>
      </c>
      <c r="L769" s="316">
        <f>F769/$B$612*100</f>
        <v/>
      </c>
      <c r="M769" s="317" t="n"/>
      <c r="N769" s="73" t="n">
        <v>138</v>
      </c>
      <c r="O769" s="289">
        <f>+S768</f>
        <v/>
      </c>
      <c r="P769" s="287">
        <f>(IF(N769&lt;$B$613,PMT($B$615/12,$B$613,-$B$612,$B$617,0),IF(N769=$B$613,PMT($B$615/12,$B$613,-$B$612,$B$617,0)+$B$617,0)))</f>
        <v/>
      </c>
      <c r="Q769" s="289">
        <f>IF(N769&lt;=$B$613,O769*$B$615/12,0)</f>
        <v/>
      </c>
      <c r="R769" s="289">
        <f>P769-Q769</f>
        <v/>
      </c>
      <c r="S769" s="314">
        <f>(O769-R769)</f>
        <v/>
      </c>
      <c r="T769" s="112">
        <f>O769*(1-B$621)^($N769)</f>
        <v/>
      </c>
      <c r="U769" s="112">
        <f>IF(N769&lt;=$B$613,T769*$B$615/12,0)</f>
        <v/>
      </c>
      <c r="V769" s="315">
        <f>P769</f>
        <v/>
      </c>
      <c r="W769" s="314" t="n"/>
      <c r="X769" s="315">
        <f>P769</f>
        <v/>
      </c>
      <c r="Y769" s="316">
        <f>S769/$B$612*100</f>
        <v/>
      </c>
      <c r="Z769" s="46" t="n"/>
      <c r="AA769" s="313">
        <f>+V769-I769</f>
        <v/>
      </c>
    </row>
    <row r="770">
      <c r="A770" s="73" t="n">
        <v>139</v>
      </c>
      <c r="B770" s="289">
        <f>+F769</f>
        <v/>
      </c>
      <c r="C770" s="287">
        <f>(IF(A770&lt;$B$613,PMT($B$614/12,$B$613,-$B$612,$B$617,$B$620),IF(A770=$B$613,PMT($B$614/12,$B$613,-$B$612,$B$617,$B$620)+$B$617,0)))</f>
        <v/>
      </c>
      <c r="D770" s="289">
        <f>IF(A770&lt;=$B$613,B770*$B$614/12,0)</f>
        <v/>
      </c>
      <c r="E770" s="289">
        <f>C770-D770</f>
        <v/>
      </c>
      <c r="F770" s="314">
        <f>(B770-E770)</f>
        <v/>
      </c>
      <c r="G770" s="112">
        <f>B770*(1-B$621)^($A770)</f>
        <v/>
      </c>
      <c r="H770" s="112">
        <f>IF(A770&lt;=$B$613,G770*$B$614/12,0)</f>
        <v/>
      </c>
      <c r="I770" s="315">
        <f>C770</f>
        <v/>
      </c>
      <c r="J770" s="314" t="n"/>
      <c r="K770" s="315">
        <f>C770</f>
        <v/>
      </c>
      <c r="L770" s="316">
        <f>F770/$B$612*100</f>
        <v/>
      </c>
      <c r="M770" s="317" t="n"/>
      <c r="N770" s="73" t="n">
        <v>139</v>
      </c>
      <c r="O770" s="289">
        <f>+S769</f>
        <v/>
      </c>
      <c r="P770" s="287">
        <f>(IF(N770&lt;$B$613,PMT($B$615/12,$B$613,-$B$612,$B$617,0),IF(N770=$B$613,PMT($B$615/12,$B$613,-$B$612,$B$617,0)+$B$617,0)))</f>
        <v/>
      </c>
      <c r="Q770" s="289">
        <f>IF(N770&lt;=$B$613,O770*$B$615/12,0)</f>
        <v/>
      </c>
      <c r="R770" s="289">
        <f>P770-Q770</f>
        <v/>
      </c>
      <c r="S770" s="314">
        <f>(O770-R770)</f>
        <v/>
      </c>
      <c r="T770" s="112">
        <f>O770*(1-B$621)^($N770)</f>
        <v/>
      </c>
      <c r="U770" s="112">
        <f>IF(N770&lt;=$B$613,T770*$B$615/12,0)</f>
        <v/>
      </c>
      <c r="V770" s="315">
        <f>P770</f>
        <v/>
      </c>
      <c r="W770" s="314" t="n"/>
      <c r="X770" s="315">
        <f>P770</f>
        <v/>
      </c>
      <c r="Y770" s="316">
        <f>S770/$B$612*100</f>
        <v/>
      </c>
      <c r="Z770" s="46" t="n"/>
      <c r="AA770" s="313">
        <f>+V770-I770</f>
        <v/>
      </c>
    </row>
    <row r="771">
      <c r="A771" s="73" t="n">
        <v>140</v>
      </c>
      <c r="B771" s="289">
        <f>+F770</f>
        <v/>
      </c>
      <c r="C771" s="287">
        <f>(IF(A771&lt;$B$613,PMT($B$614/12,$B$613,-$B$612,$B$617,$B$620),IF(A771=$B$613,PMT($B$614/12,$B$613,-$B$612,$B$617,$B$620)+$B$617,0)))</f>
        <v/>
      </c>
      <c r="D771" s="289">
        <f>IF(A771&lt;=$B$613,B771*$B$614/12,0)</f>
        <v/>
      </c>
      <c r="E771" s="289">
        <f>C771-D771</f>
        <v/>
      </c>
      <c r="F771" s="314">
        <f>(B771-E771)</f>
        <v/>
      </c>
      <c r="G771" s="112">
        <f>B771*(1-B$621)^($A771)</f>
        <v/>
      </c>
      <c r="H771" s="112">
        <f>IF(A771&lt;=$B$613,G771*$B$614/12,0)</f>
        <v/>
      </c>
      <c r="I771" s="315">
        <f>C771</f>
        <v/>
      </c>
      <c r="J771" s="314" t="n"/>
      <c r="K771" s="315">
        <f>C771</f>
        <v/>
      </c>
      <c r="L771" s="316">
        <f>F771/$B$612*100</f>
        <v/>
      </c>
      <c r="M771" s="317" t="n"/>
      <c r="N771" s="73" t="n">
        <v>140</v>
      </c>
      <c r="O771" s="289">
        <f>+S770</f>
        <v/>
      </c>
      <c r="P771" s="287">
        <f>(IF(N771&lt;$B$613,PMT($B$615/12,$B$613,-$B$612,$B$617,0),IF(N771=$B$613,PMT($B$615/12,$B$613,-$B$612,$B$617,0)+$B$617,0)))</f>
        <v/>
      </c>
      <c r="Q771" s="289">
        <f>IF(N771&lt;=$B$613,O771*$B$615/12,0)</f>
        <v/>
      </c>
      <c r="R771" s="289">
        <f>P771-Q771</f>
        <v/>
      </c>
      <c r="S771" s="314">
        <f>(O771-R771)</f>
        <v/>
      </c>
      <c r="T771" s="112">
        <f>O771*(1-B$621)^($N771)</f>
        <v/>
      </c>
      <c r="U771" s="112">
        <f>IF(N771&lt;=$B$613,T771*$B$615/12,0)</f>
        <v/>
      </c>
      <c r="V771" s="315">
        <f>P771</f>
        <v/>
      </c>
      <c r="W771" s="314" t="n"/>
      <c r="X771" s="315">
        <f>P771</f>
        <v/>
      </c>
      <c r="Y771" s="316">
        <f>S771/$B$612*100</f>
        <v/>
      </c>
      <c r="Z771" s="46" t="n"/>
      <c r="AA771" s="313">
        <f>+V771-I771</f>
        <v/>
      </c>
    </row>
    <row r="772">
      <c r="A772" s="73" t="n">
        <v>141</v>
      </c>
      <c r="B772" s="289">
        <f>+F771</f>
        <v/>
      </c>
      <c r="C772" s="287">
        <f>(IF(A772&lt;$B$613,PMT($B$614/12,$B$613,-$B$612,$B$617,$B$620),IF(A772=$B$613,PMT($B$614/12,$B$613,-$B$612,$B$617,$B$620)+$B$617,0)))</f>
        <v/>
      </c>
      <c r="D772" s="289">
        <f>IF(A772&lt;=$B$613,B772*$B$614/12,0)</f>
        <v/>
      </c>
      <c r="E772" s="289">
        <f>C772-D772</f>
        <v/>
      </c>
      <c r="F772" s="314">
        <f>(B772-E772)</f>
        <v/>
      </c>
      <c r="G772" s="112">
        <f>B772*(1-B$621)^($A772)</f>
        <v/>
      </c>
      <c r="H772" s="112">
        <f>IF(A772&lt;=$B$613,G772*$B$614/12,0)</f>
        <v/>
      </c>
      <c r="I772" s="315">
        <f>C772</f>
        <v/>
      </c>
      <c r="J772" s="314" t="n"/>
      <c r="K772" s="315">
        <f>C772</f>
        <v/>
      </c>
      <c r="L772" s="316">
        <f>F772/$B$612*100</f>
        <v/>
      </c>
      <c r="M772" s="317" t="n"/>
      <c r="N772" s="73" t="n">
        <v>141</v>
      </c>
      <c r="O772" s="289">
        <f>+S771</f>
        <v/>
      </c>
      <c r="P772" s="287">
        <f>(IF(N772&lt;$B$613,PMT($B$615/12,$B$613,-$B$612,$B$617,0),IF(N772=$B$613,PMT($B$615/12,$B$613,-$B$612,$B$617,0)+$B$617,0)))</f>
        <v/>
      </c>
      <c r="Q772" s="289">
        <f>IF(N772&lt;=$B$613,O772*$B$615/12,0)</f>
        <v/>
      </c>
      <c r="R772" s="289">
        <f>P772-Q772</f>
        <v/>
      </c>
      <c r="S772" s="314">
        <f>(O772-R772)</f>
        <v/>
      </c>
      <c r="T772" s="112">
        <f>O772*(1-B$621)^($N772)</f>
        <v/>
      </c>
      <c r="U772" s="112">
        <f>IF(N772&lt;=$B$613,T772*$B$615/12,0)</f>
        <v/>
      </c>
      <c r="V772" s="315">
        <f>P772</f>
        <v/>
      </c>
      <c r="W772" s="314" t="n"/>
      <c r="X772" s="315">
        <f>P772</f>
        <v/>
      </c>
      <c r="Y772" s="316">
        <f>S772/$B$612*100</f>
        <v/>
      </c>
      <c r="Z772" s="46" t="n"/>
      <c r="AA772" s="313">
        <f>+V772-I772</f>
        <v/>
      </c>
    </row>
    <row r="773">
      <c r="A773" s="73" t="n">
        <v>142</v>
      </c>
      <c r="B773" s="289">
        <f>+F772</f>
        <v/>
      </c>
      <c r="C773" s="287">
        <f>(IF(A773&lt;$B$613,PMT($B$614/12,$B$613,-$B$612,$B$617,$B$620),IF(A773=$B$613,PMT($B$614/12,$B$613,-$B$612,$B$617,$B$620)+$B$617,0)))</f>
        <v/>
      </c>
      <c r="D773" s="289">
        <f>IF(A773&lt;=$B$613,B773*$B$614/12,0)</f>
        <v/>
      </c>
      <c r="E773" s="289">
        <f>C773-D773</f>
        <v/>
      </c>
      <c r="F773" s="314">
        <f>(B773-E773)</f>
        <v/>
      </c>
      <c r="G773" s="112">
        <f>B773*(1-B$621)^($A773)</f>
        <v/>
      </c>
      <c r="H773" s="112">
        <f>IF(A773&lt;=$B$613,G773*$B$614/12,0)</f>
        <v/>
      </c>
      <c r="I773" s="315">
        <f>C773</f>
        <v/>
      </c>
      <c r="J773" s="314" t="n"/>
      <c r="K773" s="315">
        <f>C773</f>
        <v/>
      </c>
      <c r="L773" s="316">
        <f>F773/$B$612*100</f>
        <v/>
      </c>
      <c r="M773" s="317" t="n"/>
      <c r="N773" s="73" t="n">
        <v>142</v>
      </c>
      <c r="O773" s="289">
        <f>+S772</f>
        <v/>
      </c>
      <c r="P773" s="287">
        <f>(IF(N773&lt;$B$613,PMT($B$615/12,$B$613,-$B$612,$B$617,0),IF(N773=$B$613,PMT($B$615/12,$B$613,-$B$612,$B$617,0)+$B$617,0)))</f>
        <v/>
      </c>
      <c r="Q773" s="289">
        <f>IF(N773&lt;=$B$613,O773*$B$615/12,0)</f>
        <v/>
      </c>
      <c r="R773" s="289">
        <f>P773-Q773</f>
        <v/>
      </c>
      <c r="S773" s="314">
        <f>(O773-R773)</f>
        <v/>
      </c>
      <c r="T773" s="112">
        <f>O773*(1-B$621)^($N773)</f>
        <v/>
      </c>
      <c r="U773" s="112">
        <f>IF(N773&lt;=$B$613,T773*$B$615/12,0)</f>
        <v/>
      </c>
      <c r="V773" s="315">
        <f>P773</f>
        <v/>
      </c>
      <c r="W773" s="314" t="n"/>
      <c r="X773" s="315">
        <f>P773</f>
        <v/>
      </c>
      <c r="Y773" s="316">
        <f>S773/$B$612*100</f>
        <v/>
      </c>
      <c r="Z773" s="46" t="n"/>
      <c r="AA773" s="313">
        <f>+V773-I773</f>
        <v/>
      </c>
    </row>
    <row r="774">
      <c r="A774" s="73" t="n">
        <v>143</v>
      </c>
      <c r="B774" s="289">
        <f>+F773</f>
        <v/>
      </c>
      <c r="C774" s="287">
        <f>(IF(A774&lt;$B$613,PMT($B$614/12,$B$613,-$B$612,$B$617,$B$620),IF(A774=$B$613,PMT($B$614/12,$B$613,-$B$612,$B$617,$B$620)+$B$617,0)))</f>
        <v/>
      </c>
      <c r="D774" s="289">
        <f>IF(A774&lt;=$B$613,B774*$B$614/12,0)</f>
        <v/>
      </c>
      <c r="E774" s="289">
        <f>C774-D774</f>
        <v/>
      </c>
      <c r="F774" s="314">
        <f>(B774-E774)</f>
        <v/>
      </c>
      <c r="G774" s="112">
        <f>B774*(1-B$621)^($A774)</f>
        <v/>
      </c>
      <c r="H774" s="112">
        <f>IF(A774&lt;=$B$613,G774*$B$614/12,0)</f>
        <v/>
      </c>
      <c r="I774" s="315">
        <f>C774</f>
        <v/>
      </c>
      <c r="J774" s="314" t="n"/>
      <c r="K774" s="315">
        <f>C774</f>
        <v/>
      </c>
      <c r="L774" s="316">
        <f>F774/$B$612*100</f>
        <v/>
      </c>
      <c r="M774" s="317" t="n"/>
      <c r="N774" s="73" t="n">
        <v>143</v>
      </c>
      <c r="O774" s="289">
        <f>+S773</f>
        <v/>
      </c>
      <c r="P774" s="287">
        <f>(IF(N774&lt;$B$613,PMT($B$615/12,$B$613,-$B$612,$B$617,0),IF(N774=$B$613,PMT($B$615/12,$B$613,-$B$612,$B$617,0)+$B$617,0)))</f>
        <v/>
      </c>
      <c r="Q774" s="289">
        <f>IF(N774&lt;=$B$613,O774*$B$615/12,0)</f>
        <v/>
      </c>
      <c r="R774" s="289">
        <f>P774-Q774</f>
        <v/>
      </c>
      <c r="S774" s="314">
        <f>(O774-R774)</f>
        <v/>
      </c>
      <c r="T774" s="112">
        <f>O774*(1-B$621)^($N774)</f>
        <v/>
      </c>
      <c r="U774" s="112">
        <f>IF(N774&lt;=$B$613,T774*$B$615/12,0)</f>
        <v/>
      </c>
      <c r="V774" s="315">
        <f>P774</f>
        <v/>
      </c>
      <c r="W774" s="314" t="n"/>
      <c r="X774" s="315">
        <f>P774</f>
        <v/>
      </c>
      <c r="Y774" s="316">
        <f>S774/$B$612*100</f>
        <v/>
      </c>
      <c r="Z774" s="46" t="n"/>
      <c r="AA774" s="313">
        <f>+V774-I774</f>
        <v/>
      </c>
    </row>
    <row r="775">
      <c r="A775" s="73" t="n">
        <v>144</v>
      </c>
      <c r="B775" s="289">
        <f>+F774</f>
        <v/>
      </c>
      <c r="C775" s="287">
        <f>(IF(A775&lt;$B$613,PMT($B$614/12,$B$613,-$B$612,$B$617,$B$620),IF(A775=$B$613,PMT($B$614/12,$B$613,-$B$612,$B$617,$B$620)+$B$617,0)))</f>
        <v/>
      </c>
      <c r="D775" s="289">
        <f>IF(A775&lt;=$B$613,B775*$B$614/12,0)</f>
        <v/>
      </c>
      <c r="E775" s="289">
        <f>C775-D775</f>
        <v/>
      </c>
      <c r="F775" s="314">
        <f>(B775-E775)</f>
        <v/>
      </c>
      <c r="G775" s="112">
        <f>B775*(1-B$621)^($A775)</f>
        <v/>
      </c>
      <c r="H775" s="112">
        <f>IF(A775&lt;=$B$613,G775*$B$614/12,0)</f>
        <v/>
      </c>
      <c r="I775" s="315">
        <f>C775</f>
        <v/>
      </c>
      <c r="J775" s="314" t="n"/>
      <c r="K775" s="315">
        <f>C775</f>
        <v/>
      </c>
      <c r="L775" s="316">
        <f>F775/$B$612*100</f>
        <v/>
      </c>
      <c r="M775" s="317" t="n"/>
      <c r="N775" s="73" t="n">
        <v>144</v>
      </c>
      <c r="O775" s="289">
        <f>+S774</f>
        <v/>
      </c>
      <c r="P775" s="287">
        <f>(IF(N775&lt;$B$613,PMT($B$615/12,$B$613,-$B$612,$B$617,0),IF(N775=$B$613,PMT($B$615/12,$B$613,-$B$612,$B$617,0)+$B$617,0)))</f>
        <v/>
      </c>
      <c r="Q775" s="289">
        <f>IF(N775&lt;=$B$613,O775*$B$615/12,0)</f>
        <v/>
      </c>
      <c r="R775" s="289">
        <f>P775-Q775</f>
        <v/>
      </c>
      <c r="S775" s="314">
        <f>(O775-R775)</f>
        <v/>
      </c>
      <c r="T775" s="112">
        <f>O775*(1-B$621)^($N775)</f>
        <v/>
      </c>
      <c r="U775" s="112">
        <f>IF(N775&lt;=$B$613,T775*$B$615/12,0)</f>
        <v/>
      </c>
      <c r="V775" s="315">
        <f>P775</f>
        <v/>
      </c>
      <c r="W775" s="314" t="n"/>
      <c r="X775" s="315">
        <f>P775</f>
        <v/>
      </c>
      <c r="Y775" s="316">
        <f>S775/$B$612*100</f>
        <v/>
      </c>
      <c r="Z775" s="46" t="n"/>
      <c r="AA775" s="313">
        <f>+V775-I775</f>
        <v/>
      </c>
    </row>
    <row r="776">
      <c r="A776" s="73" t="n">
        <v>145</v>
      </c>
      <c r="B776" s="289">
        <f>+F775</f>
        <v/>
      </c>
      <c r="C776" s="287">
        <f>(IF(A776&lt;$B$613,PMT($B$614/12,$B$613,-$B$612,$B$617,$B$620),IF(A776=$B$613,PMT($B$614/12,$B$613,-$B$612,$B$617,$B$620)+$B$617,0)))</f>
        <v/>
      </c>
      <c r="D776" s="289">
        <f>IF(A776&lt;=$B$613,B776*$B$614/12,0)</f>
        <v/>
      </c>
      <c r="E776" s="289">
        <f>C776-D776</f>
        <v/>
      </c>
      <c r="F776" s="314">
        <f>(B776-E776)</f>
        <v/>
      </c>
      <c r="G776" s="112">
        <f>B776*(1-B$621)^($A776)</f>
        <v/>
      </c>
      <c r="H776" s="112">
        <f>IF(A776&lt;=$B$613,G776*$B$614/12,0)</f>
        <v/>
      </c>
      <c r="I776" s="315">
        <f>C776</f>
        <v/>
      </c>
      <c r="J776" s="314" t="n"/>
      <c r="K776" s="315">
        <f>C776</f>
        <v/>
      </c>
      <c r="L776" s="316">
        <f>F776/$B$612*100</f>
        <v/>
      </c>
      <c r="M776" s="317" t="n"/>
      <c r="N776" s="73" t="n">
        <v>145</v>
      </c>
      <c r="O776" s="289">
        <f>+S775</f>
        <v/>
      </c>
      <c r="P776" s="287">
        <f>(IF(N776&lt;$B$613,PMT($B$615/12,$B$613,-$B$612,$B$617,0),IF(N776=$B$613,PMT($B$615/12,$B$613,-$B$612,$B$617,0)+$B$617,0)))</f>
        <v/>
      </c>
      <c r="Q776" s="289">
        <f>IF(N776&lt;=$B$613,O776*$B$615/12,0)</f>
        <v/>
      </c>
      <c r="R776" s="289">
        <f>P776-Q776</f>
        <v/>
      </c>
      <c r="S776" s="314">
        <f>(O776-R776)</f>
        <v/>
      </c>
      <c r="T776" s="112">
        <f>O776*(1-B$621)^($N776)</f>
        <v/>
      </c>
      <c r="U776" s="112">
        <f>IF(N776&lt;=$B$613,T776*$B$615/12,0)</f>
        <v/>
      </c>
      <c r="V776" s="315">
        <f>P776</f>
        <v/>
      </c>
      <c r="W776" s="314" t="n"/>
      <c r="X776" s="315">
        <f>P776</f>
        <v/>
      </c>
      <c r="Y776" s="316">
        <f>S776/$B$612*100</f>
        <v/>
      </c>
      <c r="Z776" s="46" t="n"/>
      <c r="AA776" s="313">
        <f>+V776-I776</f>
        <v/>
      </c>
    </row>
    <row r="777">
      <c r="A777" s="73" t="n">
        <v>146</v>
      </c>
      <c r="B777" s="289">
        <f>+F776</f>
        <v/>
      </c>
      <c r="C777" s="287">
        <f>(IF(A777&lt;$B$613,PMT($B$614/12,$B$613,-$B$612,$B$617,$B$620),IF(A777=$B$613,PMT($B$614/12,$B$613,-$B$612,$B$617,$B$620)+$B$617,0)))</f>
        <v/>
      </c>
      <c r="D777" s="289">
        <f>IF(A777&lt;=$B$613,B777*$B$614/12,0)</f>
        <v/>
      </c>
      <c r="E777" s="289">
        <f>C777-D777</f>
        <v/>
      </c>
      <c r="F777" s="314">
        <f>(B777-E777)</f>
        <v/>
      </c>
      <c r="G777" s="112">
        <f>B777*(1-B$621)^($A777)</f>
        <v/>
      </c>
      <c r="H777" s="112">
        <f>IF(A777&lt;=$B$613,G777*$B$614/12,0)</f>
        <v/>
      </c>
      <c r="I777" s="315">
        <f>C777</f>
        <v/>
      </c>
      <c r="J777" s="314" t="n"/>
      <c r="K777" s="315">
        <f>C777</f>
        <v/>
      </c>
      <c r="L777" s="316">
        <f>F777/$B$612*100</f>
        <v/>
      </c>
      <c r="M777" s="317" t="n"/>
      <c r="N777" s="73" t="n">
        <v>146</v>
      </c>
      <c r="O777" s="289">
        <f>+S776</f>
        <v/>
      </c>
      <c r="P777" s="287">
        <f>(IF(N777&lt;$B$613,PMT($B$615/12,$B$613,-$B$612,$B$617,0),IF(N777=$B$613,PMT($B$615/12,$B$613,-$B$612,$B$617,0)+$B$617,0)))</f>
        <v/>
      </c>
      <c r="Q777" s="289">
        <f>IF(N777&lt;=$B$613,O777*$B$615/12,0)</f>
        <v/>
      </c>
      <c r="R777" s="289">
        <f>P777-Q777</f>
        <v/>
      </c>
      <c r="S777" s="314">
        <f>(O777-R777)</f>
        <v/>
      </c>
      <c r="T777" s="112">
        <f>O777*(1-B$621)^($N777)</f>
        <v/>
      </c>
      <c r="U777" s="112">
        <f>IF(N777&lt;=$B$613,T777*$B$615/12,0)</f>
        <v/>
      </c>
      <c r="V777" s="315">
        <f>P777</f>
        <v/>
      </c>
      <c r="W777" s="314" t="n"/>
      <c r="X777" s="315">
        <f>P777</f>
        <v/>
      </c>
      <c r="Y777" s="316">
        <f>S777/$B$612*100</f>
        <v/>
      </c>
      <c r="Z777" s="46" t="n"/>
      <c r="AA777" s="313">
        <f>+V777-I777</f>
        <v/>
      </c>
    </row>
    <row r="778">
      <c r="A778" s="73" t="n">
        <v>147</v>
      </c>
      <c r="B778" s="289">
        <f>+F777</f>
        <v/>
      </c>
      <c r="C778" s="287">
        <f>(IF(A778&lt;$B$613,PMT($B$614/12,$B$613,-$B$612,$B$617,$B$620),IF(A778=$B$613,PMT($B$614/12,$B$613,-$B$612,$B$617,$B$620)+$B$617,0)))</f>
        <v/>
      </c>
      <c r="D778" s="289">
        <f>IF(A778&lt;=$B$613,B778*$B$614/12,0)</f>
        <v/>
      </c>
      <c r="E778" s="289">
        <f>C778-D778</f>
        <v/>
      </c>
      <c r="F778" s="314">
        <f>(B778-E778)</f>
        <v/>
      </c>
      <c r="G778" s="112">
        <f>B778*(1-B$621)^($A778)</f>
        <v/>
      </c>
      <c r="H778" s="112">
        <f>IF(A778&lt;=$B$613,G778*$B$614/12,0)</f>
        <v/>
      </c>
      <c r="I778" s="315">
        <f>C778</f>
        <v/>
      </c>
      <c r="J778" s="314" t="n"/>
      <c r="K778" s="315">
        <f>C778</f>
        <v/>
      </c>
      <c r="L778" s="316">
        <f>F778/$B$612*100</f>
        <v/>
      </c>
      <c r="M778" s="317" t="n"/>
      <c r="N778" s="73" t="n">
        <v>147</v>
      </c>
      <c r="O778" s="289">
        <f>+S777</f>
        <v/>
      </c>
      <c r="P778" s="287">
        <f>(IF(N778&lt;$B$613,PMT($B$615/12,$B$613,-$B$612,$B$617,0),IF(N778=$B$613,PMT($B$615/12,$B$613,-$B$612,$B$617,0)+$B$617,0)))</f>
        <v/>
      </c>
      <c r="Q778" s="289">
        <f>IF(N778&lt;=$B$613,O778*$B$615/12,0)</f>
        <v/>
      </c>
      <c r="R778" s="289">
        <f>P778-Q778</f>
        <v/>
      </c>
      <c r="S778" s="314">
        <f>(O778-R778)</f>
        <v/>
      </c>
      <c r="T778" s="112">
        <f>O778*(1-B$621)^($N778)</f>
        <v/>
      </c>
      <c r="U778" s="112">
        <f>IF(N778&lt;=$B$613,T778*$B$615/12,0)</f>
        <v/>
      </c>
      <c r="V778" s="315">
        <f>P778</f>
        <v/>
      </c>
      <c r="W778" s="314" t="n"/>
      <c r="X778" s="315">
        <f>P778</f>
        <v/>
      </c>
      <c r="Y778" s="316">
        <f>S778/$B$612*100</f>
        <v/>
      </c>
      <c r="Z778" s="46" t="n"/>
      <c r="AA778" s="313">
        <f>+V778-I778</f>
        <v/>
      </c>
    </row>
    <row r="779">
      <c r="A779" s="73" t="n">
        <v>148</v>
      </c>
      <c r="B779" s="289">
        <f>+F778</f>
        <v/>
      </c>
      <c r="C779" s="287">
        <f>(IF(A779&lt;$B$613,PMT($B$614/12,$B$613,-$B$612,$B$617,$B$620),IF(A779=$B$613,PMT($B$614/12,$B$613,-$B$612,$B$617,$B$620)+$B$617,0)))</f>
        <v/>
      </c>
      <c r="D779" s="289">
        <f>IF(A779&lt;=$B$613,B779*$B$614/12,0)</f>
        <v/>
      </c>
      <c r="E779" s="289">
        <f>C779-D779</f>
        <v/>
      </c>
      <c r="F779" s="314">
        <f>(B779-E779)</f>
        <v/>
      </c>
      <c r="G779" s="112">
        <f>B779*(1-B$621)^($A779)</f>
        <v/>
      </c>
      <c r="H779" s="112">
        <f>IF(A779&lt;=$B$613,G779*$B$614/12,0)</f>
        <v/>
      </c>
      <c r="I779" s="315">
        <f>C779</f>
        <v/>
      </c>
      <c r="J779" s="314" t="n"/>
      <c r="K779" s="315">
        <f>C779</f>
        <v/>
      </c>
      <c r="L779" s="316">
        <f>F779/$B$612*100</f>
        <v/>
      </c>
      <c r="M779" s="317" t="n"/>
      <c r="N779" s="73" t="n">
        <v>148</v>
      </c>
      <c r="O779" s="289">
        <f>+S778</f>
        <v/>
      </c>
      <c r="P779" s="287">
        <f>(IF(N779&lt;$B$613,PMT($B$615/12,$B$613,-$B$612,$B$617,0),IF(N779=$B$613,PMT($B$615/12,$B$613,-$B$612,$B$617,0)+$B$617,0)))</f>
        <v/>
      </c>
      <c r="Q779" s="289">
        <f>IF(N779&lt;=$B$613,O779*$B$615/12,0)</f>
        <v/>
      </c>
      <c r="R779" s="289">
        <f>P779-Q779</f>
        <v/>
      </c>
      <c r="S779" s="314">
        <f>(O779-R779)</f>
        <v/>
      </c>
      <c r="T779" s="112">
        <f>O779*(1-B$621)^($N779)</f>
        <v/>
      </c>
      <c r="U779" s="112">
        <f>IF(N779&lt;=$B$613,T779*$B$615/12,0)</f>
        <v/>
      </c>
      <c r="V779" s="315">
        <f>P779</f>
        <v/>
      </c>
      <c r="W779" s="314" t="n"/>
      <c r="X779" s="315">
        <f>P779</f>
        <v/>
      </c>
      <c r="Y779" s="316">
        <f>S779/$B$612*100</f>
        <v/>
      </c>
      <c r="Z779" s="46" t="n"/>
      <c r="AA779" s="313">
        <f>+V779-I779</f>
        <v/>
      </c>
    </row>
    <row r="780">
      <c r="A780" s="73" t="n">
        <v>149</v>
      </c>
      <c r="B780" s="289">
        <f>+F779</f>
        <v/>
      </c>
      <c r="C780" s="287">
        <f>(IF(A780&lt;$B$613,PMT($B$614/12,$B$613,-$B$612,$B$617,$B$620),IF(A780=$B$613,PMT($B$614/12,$B$613,-$B$612,$B$617,$B$620)+$B$617,0)))</f>
        <v/>
      </c>
      <c r="D780" s="289">
        <f>IF(A780&lt;=$B$613,B780*$B$614/12,0)</f>
        <v/>
      </c>
      <c r="E780" s="289">
        <f>C780-D780</f>
        <v/>
      </c>
      <c r="F780" s="314">
        <f>(B780-E780)</f>
        <v/>
      </c>
      <c r="G780" s="112">
        <f>B780*(1-B$621)^($A780)</f>
        <v/>
      </c>
      <c r="H780" s="112">
        <f>IF(A780&lt;=$B$613,G780*$B$614/12,0)</f>
        <v/>
      </c>
      <c r="I780" s="315">
        <f>C780</f>
        <v/>
      </c>
      <c r="J780" s="314" t="n"/>
      <c r="K780" s="315">
        <f>C780</f>
        <v/>
      </c>
      <c r="L780" s="316">
        <f>F780/$B$612*100</f>
        <v/>
      </c>
      <c r="M780" s="317" t="n"/>
      <c r="N780" s="73" t="n">
        <v>149</v>
      </c>
      <c r="O780" s="289">
        <f>+S779</f>
        <v/>
      </c>
      <c r="P780" s="287">
        <f>(IF(N780&lt;$B$613,PMT($B$615/12,$B$613,-$B$612,$B$617,0),IF(N780=$B$613,PMT($B$615/12,$B$613,-$B$612,$B$617,0)+$B$617,0)))</f>
        <v/>
      </c>
      <c r="Q780" s="289">
        <f>IF(N780&lt;=$B$613,O780*$B$615/12,0)</f>
        <v/>
      </c>
      <c r="R780" s="289">
        <f>P780-Q780</f>
        <v/>
      </c>
      <c r="S780" s="314">
        <f>(O780-R780)</f>
        <v/>
      </c>
      <c r="T780" s="112">
        <f>O780*(1-B$621)^($N780)</f>
        <v/>
      </c>
      <c r="U780" s="112">
        <f>IF(N780&lt;=$B$613,T780*$B$615/12,0)</f>
        <v/>
      </c>
      <c r="V780" s="315">
        <f>P780</f>
        <v/>
      </c>
      <c r="W780" s="314" t="n"/>
      <c r="X780" s="315">
        <f>P780</f>
        <v/>
      </c>
      <c r="Y780" s="316">
        <f>S780/$B$612*100</f>
        <v/>
      </c>
      <c r="Z780" s="46" t="n"/>
      <c r="AA780" s="313">
        <f>+V780-I780</f>
        <v/>
      </c>
    </row>
    <row r="781">
      <c r="A781" s="73" t="n">
        <v>150</v>
      </c>
      <c r="B781" s="289">
        <f>+F780</f>
        <v/>
      </c>
      <c r="C781" s="287">
        <f>(IF(A781&lt;$B$613,PMT($B$614/12,$B$613,-$B$612,$B$617,$B$620),IF(A781=$B$613,PMT($B$614/12,$B$613,-$B$612,$B$617,$B$620)+$B$617,0)))</f>
        <v/>
      </c>
      <c r="D781" s="289">
        <f>IF(A781&lt;=$B$613,B781*$B$614/12,0)</f>
        <v/>
      </c>
      <c r="E781" s="289">
        <f>C781-D781</f>
        <v/>
      </c>
      <c r="F781" s="314">
        <f>(B781-E781)</f>
        <v/>
      </c>
      <c r="G781" s="112">
        <f>B781*(1-B$621)^($A781)</f>
        <v/>
      </c>
      <c r="H781" s="112">
        <f>IF(A781&lt;=$B$613,G781*$B$614/12,0)</f>
        <v/>
      </c>
      <c r="I781" s="315">
        <f>C781</f>
        <v/>
      </c>
      <c r="J781" s="314" t="n"/>
      <c r="K781" s="315">
        <f>C781</f>
        <v/>
      </c>
      <c r="L781" s="316">
        <f>F781/$B$612*100</f>
        <v/>
      </c>
      <c r="M781" s="317" t="n"/>
      <c r="N781" s="73" t="n">
        <v>150</v>
      </c>
      <c r="O781" s="289">
        <f>+S780</f>
        <v/>
      </c>
      <c r="P781" s="287">
        <f>(IF(N781&lt;$B$613,PMT($B$615/12,$B$613,-$B$612,$B$617,0),IF(N781=$B$613,PMT($B$615/12,$B$613,-$B$612,$B$617,0)+$B$617,0)))</f>
        <v/>
      </c>
      <c r="Q781" s="289">
        <f>IF(N781&lt;=$B$613,O781*$B$615/12,0)</f>
        <v/>
      </c>
      <c r="R781" s="289">
        <f>P781-Q781</f>
        <v/>
      </c>
      <c r="S781" s="314">
        <f>(O781-R781)</f>
        <v/>
      </c>
      <c r="T781" s="112">
        <f>O781*(1-B$621)^($N781)</f>
        <v/>
      </c>
      <c r="U781" s="112">
        <f>IF(N781&lt;=$B$613,T781*$B$615/12,0)</f>
        <v/>
      </c>
      <c r="V781" s="315">
        <f>P781</f>
        <v/>
      </c>
      <c r="W781" s="314" t="n"/>
      <c r="X781" s="315">
        <f>P781</f>
        <v/>
      </c>
      <c r="Y781" s="316">
        <f>S781/$B$612*100</f>
        <v/>
      </c>
      <c r="Z781" s="46" t="n"/>
      <c r="AA781" s="313">
        <f>+V781-I781</f>
        <v/>
      </c>
    </row>
    <row r="782">
      <c r="A782" s="73" t="n">
        <v>151</v>
      </c>
      <c r="B782" s="289">
        <f>+F781</f>
        <v/>
      </c>
      <c r="C782" s="287">
        <f>(IF(A782&lt;$B$613,PMT($B$614/12,$B$613,-$B$612,$B$617,$B$620),IF(A782=$B$613,PMT($B$614/12,$B$613,-$B$612,$B$617,$B$620)+$B$617,0)))</f>
        <v/>
      </c>
      <c r="D782" s="289">
        <f>IF(A782&lt;=$B$613,B782*$B$614/12,0)</f>
        <v/>
      </c>
      <c r="E782" s="289">
        <f>C782-D782</f>
        <v/>
      </c>
      <c r="F782" s="314">
        <f>(B782-E782)</f>
        <v/>
      </c>
      <c r="G782" s="112">
        <f>B782*(1-B$621)^($A782)</f>
        <v/>
      </c>
      <c r="H782" s="112">
        <f>IF(A782&lt;=$B$613,G782*$B$614/12,0)</f>
        <v/>
      </c>
      <c r="I782" s="315">
        <f>C782</f>
        <v/>
      </c>
      <c r="J782" s="314" t="n"/>
      <c r="K782" s="315">
        <f>C782</f>
        <v/>
      </c>
      <c r="L782" s="316">
        <f>F782/$B$612*100</f>
        <v/>
      </c>
      <c r="M782" s="317" t="n"/>
      <c r="N782" s="73" t="n">
        <v>151</v>
      </c>
      <c r="O782" s="289">
        <f>+S781</f>
        <v/>
      </c>
      <c r="P782" s="287">
        <f>(IF(N782&lt;$B$613,PMT($B$615/12,$B$613,-$B$612,$B$617,0),IF(N782=$B$613,PMT($B$615/12,$B$613,-$B$612,$B$617,0)+$B$617,0)))</f>
        <v/>
      </c>
      <c r="Q782" s="289">
        <f>IF(N782&lt;=$B$613,O782*$B$615/12,0)</f>
        <v/>
      </c>
      <c r="R782" s="289">
        <f>P782-Q782</f>
        <v/>
      </c>
      <c r="S782" s="314">
        <f>(O782-R782)</f>
        <v/>
      </c>
      <c r="T782" s="112">
        <f>O782*(1-B$621)^($N782)</f>
        <v/>
      </c>
      <c r="U782" s="112">
        <f>IF(N782&lt;=$B$613,T782*$B$615/12,0)</f>
        <v/>
      </c>
      <c r="V782" s="315">
        <f>P782</f>
        <v/>
      </c>
      <c r="W782" s="314" t="n"/>
      <c r="X782" s="315">
        <f>P782</f>
        <v/>
      </c>
      <c r="Y782" s="316">
        <f>S782/$B$612*100</f>
        <v/>
      </c>
      <c r="Z782" s="46" t="n"/>
      <c r="AA782" s="313">
        <f>+V782-I782</f>
        <v/>
      </c>
    </row>
    <row r="783">
      <c r="A783" s="73" t="n">
        <v>152</v>
      </c>
      <c r="B783" s="289">
        <f>+F782</f>
        <v/>
      </c>
      <c r="C783" s="287">
        <f>(IF(A783&lt;$B$613,PMT($B$614/12,$B$613,-$B$612,$B$617,$B$620),IF(A783=$B$613,PMT($B$614/12,$B$613,-$B$612,$B$617,$B$620)+$B$617,0)))</f>
        <v/>
      </c>
      <c r="D783" s="289">
        <f>IF(A783&lt;=$B$613,B783*$B$614/12,0)</f>
        <v/>
      </c>
      <c r="E783" s="289">
        <f>C783-D783</f>
        <v/>
      </c>
      <c r="F783" s="314">
        <f>(B783-E783)</f>
        <v/>
      </c>
      <c r="G783" s="112">
        <f>B783*(1-B$621)^($A783)</f>
        <v/>
      </c>
      <c r="H783" s="112">
        <f>IF(A783&lt;=$B$613,G783*$B$614/12,0)</f>
        <v/>
      </c>
      <c r="I783" s="315">
        <f>C783</f>
        <v/>
      </c>
      <c r="J783" s="314" t="n"/>
      <c r="K783" s="315">
        <f>C783</f>
        <v/>
      </c>
      <c r="L783" s="316">
        <f>F783/$B$612*100</f>
        <v/>
      </c>
      <c r="M783" s="317" t="n"/>
      <c r="N783" s="73" t="n">
        <v>152</v>
      </c>
      <c r="O783" s="289">
        <f>+S782</f>
        <v/>
      </c>
      <c r="P783" s="287">
        <f>(IF(N783&lt;$B$613,PMT($B$615/12,$B$613,-$B$612,$B$617,0),IF(N783=$B$613,PMT($B$615/12,$B$613,-$B$612,$B$617,0)+$B$617,0)))</f>
        <v/>
      </c>
      <c r="Q783" s="289">
        <f>IF(N783&lt;=$B$613,O783*$B$615/12,0)</f>
        <v/>
      </c>
      <c r="R783" s="289">
        <f>P783-Q783</f>
        <v/>
      </c>
      <c r="S783" s="314">
        <f>(O783-R783)</f>
        <v/>
      </c>
      <c r="T783" s="112">
        <f>O783*(1-B$621)^($N783)</f>
        <v/>
      </c>
      <c r="U783" s="112">
        <f>IF(N783&lt;=$B$613,T783*$B$615/12,0)</f>
        <v/>
      </c>
      <c r="V783" s="315">
        <f>P783</f>
        <v/>
      </c>
      <c r="W783" s="314" t="n"/>
      <c r="X783" s="315">
        <f>P783</f>
        <v/>
      </c>
      <c r="Y783" s="316">
        <f>S783/$B$612*100</f>
        <v/>
      </c>
      <c r="Z783" s="46" t="n"/>
      <c r="AA783" s="313">
        <f>+V783-I783</f>
        <v/>
      </c>
    </row>
    <row r="784">
      <c r="A784" s="73" t="n">
        <v>153</v>
      </c>
      <c r="B784" s="289">
        <f>+F783</f>
        <v/>
      </c>
      <c r="C784" s="287">
        <f>(IF(A784&lt;$B$613,PMT($B$614/12,$B$613,-$B$612,$B$617,$B$620),IF(A784=$B$613,PMT($B$614/12,$B$613,-$B$612,$B$617,$B$620)+$B$617,0)))</f>
        <v/>
      </c>
      <c r="D784" s="289">
        <f>IF(A784&lt;=$B$613,B784*$B$614/12,0)</f>
        <v/>
      </c>
      <c r="E784" s="289">
        <f>C784-D784</f>
        <v/>
      </c>
      <c r="F784" s="314">
        <f>(B784-E784)</f>
        <v/>
      </c>
      <c r="G784" s="112">
        <f>B784*(1-B$621)^($A784)</f>
        <v/>
      </c>
      <c r="H784" s="112">
        <f>IF(A784&lt;=$B$613,G784*$B$614/12,0)</f>
        <v/>
      </c>
      <c r="I784" s="315">
        <f>C784</f>
        <v/>
      </c>
      <c r="J784" s="314" t="n"/>
      <c r="K784" s="315">
        <f>C784</f>
        <v/>
      </c>
      <c r="L784" s="316">
        <f>F784/$B$612*100</f>
        <v/>
      </c>
      <c r="M784" s="317" t="n"/>
      <c r="N784" s="73" t="n">
        <v>153</v>
      </c>
      <c r="O784" s="289">
        <f>+S783</f>
        <v/>
      </c>
      <c r="P784" s="287">
        <f>(IF(N784&lt;$B$613,PMT($B$615/12,$B$613,-$B$612,$B$617,0),IF(N784=$B$613,PMT($B$615/12,$B$613,-$B$612,$B$617,0)+$B$617,0)))</f>
        <v/>
      </c>
      <c r="Q784" s="289">
        <f>IF(N784&lt;=$B$613,O784*$B$615/12,0)</f>
        <v/>
      </c>
      <c r="R784" s="289">
        <f>P784-Q784</f>
        <v/>
      </c>
      <c r="S784" s="314">
        <f>(O784-R784)</f>
        <v/>
      </c>
      <c r="T784" s="112">
        <f>O784*(1-B$621)^($N784)</f>
        <v/>
      </c>
      <c r="U784" s="112">
        <f>IF(N784&lt;=$B$613,T784*$B$615/12,0)</f>
        <v/>
      </c>
      <c r="V784" s="315">
        <f>P784</f>
        <v/>
      </c>
      <c r="W784" s="314" t="n"/>
      <c r="X784" s="315">
        <f>P784</f>
        <v/>
      </c>
      <c r="Y784" s="316">
        <f>S784/$B$612*100</f>
        <v/>
      </c>
      <c r="Z784" s="46" t="n"/>
      <c r="AA784" s="313">
        <f>+V784-I784</f>
        <v/>
      </c>
    </row>
    <row r="785">
      <c r="A785" s="73" t="n">
        <v>154</v>
      </c>
      <c r="B785" s="289">
        <f>+F784</f>
        <v/>
      </c>
      <c r="C785" s="287">
        <f>(IF(A785&lt;$B$613,PMT($B$614/12,$B$613,-$B$612,$B$617,$B$620),IF(A785=$B$613,PMT($B$614/12,$B$613,-$B$612,$B$617,$B$620)+$B$617,0)))</f>
        <v/>
      </c>
      <c r="D785" s="289">
        <f>IF(A785&lt;=$B$613,B785*$B$614/12,0)</f>
        <v/>
      </c>
      <c r="E785" s="289">
        <f>C785-D785</f>
        <v/>
      </c>
      <c r="F785" s="314">
        <f>(B785-E785)</f>
        <v/>
      </c>
      <c r="G785" s="112">
        <f>B785*(1-B$621)^($A785)</f>
        <v/>
      </c>
      <c r="H785" s="112">
        <f>IF(A785&lt;=$B$613,G785*$B$614/12,0)</f>
        <v/>
      </c>
      <c r="I785" s="315">
        <f>C785</f>
        <v/>
      </c>
      <c r="J785" s="314" t="n"/>
      <c r="K785" s="315">
        <f>C785</f>
        <v/>
      </c>
      <c r="L785" s="316">
        <f>F785/$B$612*100</f>
        <v/>
      </c>
      <c r="M785" s="317" t="n"/>
      <c r="N785" s="73" t="n">
        <v>154</v>
      </c>
      <c r="O785" s="289">
        <f>+S784</f>
        <v/>
      </c>
      <c r="P785" s="287">
        <f>(IF(N785&lt;$B$613,PMT($B$615/12,$B$613,-$B$612,$B$617,0),IF(N785=$B$613,PMT($B$615/12,$B$613,-$B$612,$B$617,0)+$B$617,0)))</f>
        <v/>
      </c>
      <c r="Q785" s="289">
        <f>IF(N785&lt;=$B$613,O785*$B$615/12,0)</f>
        <v/>
      </c>
      <c r="R785" s="289">
        <f>P785-Q785</f>
        <v/>
      </c>
      <c r="S785" s="314">
        <f>(O785-R785)</f>
        <v/>
      </c>
      <c r="T785" s="112">
        <f>O785*(1-B$621)^($N785)</f>
        <v/>
      </c>
      <c r="U785" s="112">
        <f>IF(N785&lt;=$B$613,T785*$B$615/12,0)</f>
        <v/>
      </c>
      <c r="V785" s="315">
        <f>P785</f>
        <v/>
      </c>
      <c r="W785" s="314" t="n"/>
      <c r="X785" s="315">
        <f>P785</f>
        <v/>
      </c>
      <c r="Y785" s="316">
        <f>S785/$B$612*100</f>
        <v/>
      </c>
      <c r="Z785" s="46" t="n"/>
      <c r="AA785" s="313">
        <f>+V785-I785</f>
        <v/>
      </c>
    </row>
    <row r="786">
      <c r="A786" s="73" t="n">
        <v>155</v>
      </c>
      <c r="B786" s="289">
        <f>+F785</f>
        <v/>
      </c>
      <c r="C786" s="287">
        <f>(IF(A786&lt;$B$613,PMT($B$614/12,$B$613,-$B$612,$B$617,$B$620),IF(A786=$B$613,PMT($B$614/12,$B$613,-$B$612,$B$617,$B$620)+$B$617,0)))</f>
        <v/>
      </c>
      <c r="D786" s="289">
        <f>IF(A786&lt;=$B$613,B786*$B$614/12,0)</f>
        <v/>
      </c>
      <c r="E786" s="289">
        <f>C786-D786</f>
        <v/>
      </c>
      <c r="F786" s="314">
        <f>(B786-E786)</f>
        <v/>
      </c>
      <c r="G786" s="112">
        <f>B786*(1-B$621)^($A786)</f>
        <v/>
      </c>
      <c r="H786" s="112">
        <f>IF(A786&lt;=$B$613,G786*$B$614/12,0)</f>
        <v/>
      </c>
      <c r="I786" s="315">
        <f>C786</f>
        <v/>
      </c>
      <c r="J786" s="314" t="n"/>
      <c r="K786" s="315">
        <f>C786</f>
        <v/>
      </c>
      <c r="L786" s="316">
        <f>F786/$B$612*100</f>
        <v/>
      </c>
      <c r="M786" s="317" t="n"/>
      <c r="N786" s="73" t="n">
        <v>155</v>
      </c>
      <c r="O786" s="289">
        <f>+S785</f>
        <v/>
      </c>
      <c r="P786" s="287">
        <f>(IF(N786&lt;$B$613,PMT($B$615/12,$B$613,-$B$612,$B$617,0),IF(N786=$B$613,PMT($B$615/12,$B$613,-$B$612,$B$617,0)+$B$617,0)))</f>
        <v/>
      </c>
      <c r="Q786" s="289">
        <f>IF(N786&lt;=$B$613,O786*$B$615/12,0)</f>
        <v/>
      </c>
      <c r="R786" s="289">
        <f>P786-Q786</f>
        <v/>
      </c>
      <c r="S786" s="314">
        <f>(O786-R786)</f>
        <v/>
      </c>
      <c r="T786" s="112">
        <f>O786*(1-B$621)^($N786)</f>
        <v/>
      </c>
      <c r="U786" s="112">
        <f>IF(N786&lt;=$B$613,T786*$B$615/12,0)</f>
        <v/>
      </c>
      <c r="V786" s="315">
        <f>P786</f>
        <v/>
      </c>
      <c r="W786" s="314" t="n"/>
      <c r="X786" s="315">
        <f>P786</f>
        <v/>
      </c>
      <c r="Y786" s="316">
        <f>S786/$B$612*100</f>
        <v/>
      </c>
      <c r="Z786" s="46" t="n"/>
      <c r="AA786" s="313">
        <f>+V786-I786</f>
        <v/>
      </c>
    </row>
    <row r="787">
      <c r="A787" s="73" t="n">
        <v>156</v>
      </c>
      <c r="B787" s="289">
        <f>+F786</f>
        <v/>
      </c>
      <c r="C787" s="287">
        <f>(IF(A787&lt;$B$613,PMT($B$614/12,$B$613,-$B$612,$B$617,$B$620),IF(A787=$B$613,PMT($B$614/12,$B$613,-$B$612,$B$617,$B$620)+$B$617,0)))</f>
        <v/>
      </c>
      <c r="D787" s="289">
        <f>IF(A787&lt;=$B$613,B787*$B$614/12,0)</f>
        <v/>
      </c>
      <c r="E787" s="289">
        <f>C787-D787</f>
        <v/>
      </c>
      <c r="F787" s="314">
        <f>(B787-E787)</f>
        <v/>
      </c>
      <c r="G787" s="112">
        <f>B787*(1-B$621)^($A787)</f>
        <v/>
      </c>
      <c r="H787" s="112">
        <f>IF(A787&lt;=$B$613,G787*$B$614/12,0)</f>
        <v/>
      </c>
      <c r="I787" s="315">
        <f>C787</f>
        <v/>
      </c>
      <c r="J787" s="314" t="n"/>
      <c r="K787" s="315">
        <f>C787</f>
        <v/>
      </c>
      <c r="L787" s="316">
        <f>F787/$B$612*100</f>
        <v/>
      </c>
      <c r="M787" s="317" t="n"/>
      <c r="N787" s="73" t="n">
        <v>156</v>
      </c>
      <c r="O787" s="289">
        <f>+S786</f>
        <v/>
      </c>
      <c r="P787" s="287">
        <f>(IF(N787&lt;$B$613,PMT($B$615/12,$B$613,-$B$612,$B$617,0),IF(N787=$B$613,PMT($B$615/12,$B$613,-$B$612,$B$617,0)+$B$617,0)))</f>
        <v/>
      </c>
      <c r="Q787" s="289">
        <f>IF(N787&lt;=$B$613,O787*$B$615/12,0)</f>
        <v/>
      </c>
      <c r="R787" s="289">
        <f>P787-Q787</f>
        <v/>
      </c>
      <c r="S787" s="314">
        <f>(O787-R787)</f>
        <v/>
      </c>
      <c r="T787" s="112">
        <f>O787*(1-B$621)^($N787)</f>
        <v/>
      </c>
      <c r="U787" s="112">
        <f>IF(N787&lt;=$B$613,T787*$B$615/12,0)</f>
        <v/>
      </c>
      <c r="V787" s="315">
        <f>P787</f>
        <v/>
      </c>
      <c r="W787" s="314" t="n"/>
      <c r="X787" s="315">
        <f>P787</f>
        <v/>
      </c>
      <c r="Y787" s="316">
        <f>S787/$B$612*100</f>
        <v/>
      </c>
      <c r="Z787" s="46" t="n"/>
      <c r="AA787" s="313">
        <f>+V787-I787</f>
        <v/>
      </c>
    </row>
    <row r="788">
      <c r="A788" s="73" t="n">
        <v>157</v>
      </c>
      <c r="B788" s="289">
        <f>+F787</f>
        <v/>
      </c>
      <c r="C788" s="287">
        <f>(IF(A788&lt;$B$613,PMT($B$614/12,$B$613,-$B$612,$B$617,$B$620),IF(A788=$B$613,PMT($B$614/12,$B$613,-$B$612,$B$617,$B$620)+$B$617,0)))</f>
        <v/>
      </c>
      <c r="D788" s="289">
        <f>IF(A788&lt;=$B$613,B788*$B$614/12,0)</f>
        <v/>
      </c>
      <c r="E788" s="289">
        <f>C788-D788</f>
        <v/>
      </c>
      <c r="F788" s="314">
        <f>(B788-E788)</f>
        <v/>
      </c>
      <c r="G788" s="112">
        <f>B788*(1-B$621)^($A788)</f>
        <v/>
      </c>
      <c r="H788" s="112">
        <f>IF(A788&lt;=$B$613,G788*$B$614/12,0)</f>
        <v/>
      </c>
      <c r="I788" s="315">
        <f>C788</f>
        <v/>
      </c>
      <c r="J788" s="314" t="n"/>
      <c r="K788" s="315">
        <f>C788</f>
        <v/>
      </c>
      <c r="L788" s="316">
        <f>F788/$B$612*100</f>
        <v/>
      </c>
      <c r="M788" s="317" t="n"/>
      <c r="N788" s="73" t="n">
        <v>157</v>
      </c>
      <c r="O788" s="289">
        <f>+S787</f>
        <v/>
      </c>
      <c r="P788" s="287">
        <f>(IF(N788&lt;$B$613,PMT($B$615/12,$B$613,-$B$612,$B$617,0),IF(N788=$B$613,PMT($B$615/12,$B$613,-$B$612,$B$617,0)+$B$617,0)))</f>
        <v/>
      </c>
      <c r="Q788" s="289">
        <f>IF(N788&lt;=$B$613,O788*$B$615/12,0)</f>
        <v/>
      </c>
      <c r="R788" s="289">
        <f>P788-Q788</f>
        <v/>
      </c>
      <c r="S788" s="314">
        <f>(O788-R788)</f>
        <v/>
      </c>
      <c r="T788" s="112">
        <f>O788*(1-B$621)^($N788)</f>
        <v/>
      </c>
      <c r="U788" s="112">
        <f>IF(N788&lt;=$B$613,T788*$B$615/12,0)</f>
        <v/>
      </c>
      <c r="V788" s="315">
        <f>P788</f>
        <v/>
      </c>
      <c r="W788" s="314" t="n"/>
      <c r="X788" s="315">
        <f>P788</f>
        <v/>
      </c>
      <c r="Y788" s="316">
        <f>S788/$B$612*100</f>
        <v/>
      </c>
      <c r="Z788" s="46" t="n"/>
      <c r="AA788" s="313">
        <f>+V788-I788</f>
        <v/>
      </c>
    </row>
    <row r="789">
      <c r="A789" s="73" t="n">
        <v>158</v>
      </c>
      <c r="B789" s="289">
        <f>+F788</f>
        <v/>
      </c>
      <c r="C789" s="287">
        <f>(IF(A789&lt;$B$613,PMT($B$614/12,$B$613,-$B$612,$B$617,$B$620),IF(A789=$B$613,PMT($B$614/12,$B$613,-$B$612,$B$617,$B$620)+$B$617,0)))</f>
        <v/>
      </c>
      <c r="D789" s="289">
        <f>IF(A789&lt;=$B$613,B789*$B$614/12,0)</f>
        <v/>
      </c>
      <c r="E789" s="289">
        <f>C789-D789</f>
        <v/>
      </c>
      <c r="F789" s="314">
        <f>(B789-E789)</f>
        <v/>
      </c>
      <c r="G789" s="112">
        <f>B789*(1-B$621)^($A789)</f>
        <v/>
      </c>
      <c r="H789" s="112">
        <f>IF(A789&lt;=$B$613,G789*$B$614/12,0)</f>
        <v/>
      </c>
      <c r="I789" s="315">
        <f>C789</f>
        <v/>
      </c>
      <c r="J789" s="314" t="n"/>
      <c r="K789" s="315">
        <f>C789</f>
        <v/>
      </c>
      <c r="L789" s="316">
        <f>F789/$B$612*100</f>
        <v/>
      </c>
      <c r="M789" s="317" t="n"/>
      <c r="N789" s="73" t="n">
        <v>158</v>
      </c>
      <c r="O789" s="289">
        <f>+S788</f>
        <v/>
      </c>
      <c r="P789" s="287">
        <f>(IF(N789&lt;$B$613,PMT($B$615/12,$B$613,-$B$612,$B$617,0),IF(N789=$B$613,PMT($B$615/12,$B$613,-$B$612,$B$617,0)+$B$617,0)))</f>
        <v/>
      </c>
      <c r="Q789" s="289">
        <f>IF(N789&lt;=$B$613,O789*$B$615/12,0)</f>
        <v/>
      </c>
      <c r="R789" s="289">
        <f>P789-Q789</f>
        <v/>
      </c>
      <c r="S789" s="314">
        <f>(O789-R789)</f>
        <v/>
      </c>
      <c r="T789" s="112">
        <f>O789*(1-B$621)^($N789)</f>
        <v/>
      </c>
      <c r="U789" s="112">
        <f>IF(N789&lt;=$B$613,T789*$B$615/12,0)</f>
        <v/>
      </c>
      <c r="V789" s="315">
        <f>P789</f>
        <v/>
      </c>
      <c r="W789" s="314" t="n"/>
      <c r="X789" s="315">
        <f>P789</f>
        <v/>
      </c>
      <c r="Y789" s="316">
        <f>S789/$B$612*100</f>
        <v/>
      </c>
      <c r="Z789" s="46" t="n"/>
      <c r="AA789" s="313">
        <f>+V789-I789</f>
        <v/>
      </c>
    </row>
    <row r="790">
      <c r="A790" s="73" t="n">
        <v>159</v>
      </c>
      <c r="B790" s="289">
        <f>+F789</f>
        <v/>
      </c>
      <c r="C790" s="287">
        <f>(IF(A790&lt;$B$613,PMT($B$614/12,$B$613,-$B$612,$B$617,$B$620),IF(A790=$B$613,PMT($B$614/12,$B$613,-$B$612,$B$617,$B$620)+$B$617,0)))</f>
        <v/>
      </c>
      <c r="D790" s="289">
        <f>IF(A790&lt;=$B$613,B790*$B$614/12,0)</f>
        <v/>
      </c>
      <c r="E790" s="289">
        <f>C790-D790</f>
        <v/>
      </c>
      <c r="F790" s="314">
        <f>(B790-E790)</f>
        <v/>
      </c>
      <c r="G790" s="112">
        <f>B790*(1-B$621)^($A790)</f>
        <v/>
      </c>
      <c r="H790" s="112">
        <f>IF(A790&lt;=$B$613,G790*$B$614/12,0)</f>
        <v/>
      </c>
      <c r="I790" s="315">
        <f>C790</f>
        <v/>
      </c>
      <c r="J790" s="314" t="n"/>
      <c r="K790" s="315">
        <f>C790</f>
        <v/>
      </c>
      <c r="L790" s="316">
        <f>F790/$B$612*100</f>
        <v/>
      </c>
      <c r="M790" s="317" t="n"/>
      <c r="N790" s="73" t="n">
        <v>159</v>
      </c>
      <c r="O790" s="289">
        <f>+S789</f>
        <v/>
      </c>
      <c r="P790" s="287">
        <f>(IF(N790&lt;$B$613,PMT($B$615/12,$B$613,-$B$612,$B$617,0),IF(N790=$B$613,PMT($B$615/12,$B$613,-$B$612,$B$617,0)+$B$617,0)))</f>
        <v/>
      </c>
      <c r="Q790" s="289">
        <f>IF(N790&lt;=$B$613,O790*$B$615/12,0)</f>
        <v/>
      </c>
      <c r="R790" s="289">
        <f>P790-Q790</f>
        <v/>
      </c>
      <c r="S790" s="314">
        <f>(O790-R790)</f>
        <v/>
      </c>
      <c r="T790" s="112">
        <f>O790*(1-B$621)^($N790)</f>
        <v/>
      </c>
      <c r="U790" s="112">
        <f>IF(N790&lt;=$B$613,T790*$B$615/12,0)</f>
        <v/>
      </c>
      <c r="V790" s="315">
        <f>P790</f>
        <v/>
      </c>
      <c r="W790" s="314" t="n"/>
      <c r="X790" s="315">
        <f>P790</f>
        <v/>
      </c>
      <c r="Y790" s="316">
        <f>S790/$B$612*100</f>
        <v/>
      </c>
      <c r="Z790" s="46" t="n"/>
      <c r="AA790" s="313">
        <f>+V790-I790</f>
        <v/>
      </c>
    </row>
    <row r="791">
      <c r="A791" s="73" t="n">
        <v>160</v>
      </c>
      <c r="B791" s="289">
        <f>+F790</f>
        <v/>
      </c>
      <c r="C791" s="287">
        <f>(IF(A791&lt;$B$613,PMT($B$614/12,$B$613,-$B$612,$B$617,$B$620),IF(A791=$B$613,PMT($B$614/12,$B$613,-$B$612,$B$617,$B$620)+$B$617,0)))</f>
        <v/>
      </c>
      <c r="D791" s="289">
        <f>IF(A791&lt;=$B$613,B791*$B$614/12,0)</f>
        <v/>
      </c>
      <c r="E791" s="289">
        <f>C791-D791</f>
        <v/>
      </c>
      <c r="F791" s="314">
        <f>(B791-E791)</f>
        <v/>
      </c>
      <c r="G791" s="112">
        <f>B791*(1-B$621)^($A791)</f>
        <v/>
      </c>
      <c r="H791" s="112">
        <f>IF(A791&lt;=$B$613,G791*$B$614/12,0)</f>
        <v/>
      </c>
      <c r="I791" s="315">
        <f>C791</f>
        <v/>
      </c>
      <c r="J791" s="314" t="n"/>
      <c r="K791" s="315">
        <f>C791</f>
        <v/>
      </c>
      <c r="L791" s="316">
        <f>F791/$B$612*100</f>
        <v/>
      </c>
      <c r="M791" s="317" t="n"/>
      <c r="N791" s="73" t="n">
        <v>160</v>
      </c>
      <c r="O791" s="289">
        <f>+S790</f>
        <v/>
      </c>
      <c r="P791" s="287">
        <f>(IF(N791&lt;$B$613,PMT($B$615/12,$B$613,-$B$612,$B$617,0),IF(N791=$B$613,PMT($B$615/12,$B$613,-$B$612,$B$617,0)+$B$617,0)))</f>
        <v/>
      </c>
      <c r="Q791" s="289">
        <f>IF(N791&lt;=$B$613,O791*$B$615/12,0)</f>
        <v/>
      </c>
      <c r="R791" s="289">
        <f>P791-Q791</f>
        <v/>
      </c>
      <c r="S791" s="314">
        <f>(O791-R791)</f>
        <v/>
      </c>
      <c r="T791" s="112">
        <f>O791*(1-B$621)^($N791)</f>
        <v/>
      </c>
      <c r="U791" s="112">
        <f>IF(N791&lt;=$B$613,T791*$B$615/12,0)</f>
        <v/>
      </c>
      <c r="V791" s="315">
        <f>P791</f>
        <v/>
      </c>
      <c r="W791" s="314" t="n"/>
      <c r="X791" s="315">
        <f>P791</f>
        <v/>
      </c>
      <c r="Y791" s="316">
        <f>S791/$B$612*100</f>
        <v/>
      </c>
      <c r="Z791" s="46" t="n"/>
      <c r="AA791" s="313">
        <f>+V791-I791</f>
        <v/>
      </c>
    </row>
    <row r="792">
      <c r="A792" s="73" t="n">
        <v>161</v>
      </c>
      <c r="B792" s="289">
        <f>+F791</f>
        <v/>
      </c>
      <c r="C792" s="287">
        <f>(IF(A792&lt;$B$613,PMT($B$614/12,$B$613,-$B$612,$B$617,$B$620),IF(A792=$B$613,PMT($B$614/12,$B$613,-$B$612,$B$617,$B$620)+$B$617,0)))</f>
        <v/>
      </c>
      <c r="D792" s="289">
        <f>IF(A792&lt;=$B$613,B792*$B$614/12,0)</f>
        <v/>
      </c>
      <c r="E792" s="289">
        <f>C792-D792</f>
        <v/>
      </c>
      <c r="F792" s="314">
        <f>(B792-E792)</f>
        <v/>
      </c>
      <c r="G792" s="112">
        <f>B792*(1-B$621)^($A792)</f>
        <v/>
      </c>
      <c r="H792" s="112">
        <f>IF(A792&lt;=$B$613,G792*$B$614/12,0)</f>
        <v/>
      </c>
      <c r="I792" s="315">
        <f>C792</f>
        <v/>
      </c>
      <c r="J792" s="314" t="n"/>
      <c r="K792" s="315">
        <f>C792</f>
        <v/>
      </c>
      <c r="L792" s="316">
        <f>F792/$B$612*100</f>
        <v/>
      </c>
      <c r="M792" s="317" t="n"/>
      <c r="N792" s="73" t="n">
        <v>161</v>
      </c>
      <c r="O792" s="289">
        <f>+S791</f>
        <v/>
      </c>
      <c r="P792" s="287">
        <f>(IF(N792&lt;$B$613,PMT($B$615/12,$B$613,-$B$612,$B$617,0),IF(N792=$B$613,PMT($B$615/12,$B$613,-$B$612,$B$617,0)+$B$617,0)))</f>
        <v/>
      </c>
      <c r="Q792" s="289">
        <f>IF(N792&lt;=$B$613,O792*$B$615/12,0)</f>
        <v/>
      </c>
      <c r="R792" s="289">
        <f>P792-Q792</f>
        <v/>
      </c>
      <c r="S792" s="314">
        <f>(O792-R792)</f>
        <v/>
      </c>
      <c r="T792" s="112">
        <f>O792*(1-B$621)^($N792)</f>
        <v/>
      </c>
      <c r="U792" s="112">
        <f>IF(N792&lt;=$B$613,T792*$B$615/12,0)</f>
        <v/>
      </c>
      <c r="V792" s="315">
        <f>P792</f>
        <v/>
      </c>
      <c r="W792" s="314" t="n"/>
      <c r="X792" s="315">
        <f>P792</f>
        <v/>
      </c>
      <c r="Y792" s="316">
        <f>S792/$B$612*100</f>
        <v/>
      </c>
      <c r="Z792" s="46" t="n"/>
      <c r="AA792" s="313">
        <f>+V792-I792</f>
        <v/>
      </c>
    </row>
    <row r="793">
      <c r="A793" s="73" t="n">
        <v>162</v>
      </c>
      <c r="B793" s="289">
        <f>+F792</f>
        <v/>
      </c>
      <c r="C793" s="287">
        <f>(IF(A793&lt;$B$613,PMT($B$614/12,$B$613,-$B$612,$B$617,$B$620),IF(A793=$B$613,PMT($B$614/12,$B$613,-$B$612,$B$617,$B$620)+$B$617,0)))</f>
        <v/>
      </c>
      <c r="D793" s="289">
        <f>IF(A793&lt;=$B$613,B793*$B$614/12,0)</f>
        <v/>
      </c>
      <c r="E793" s="289">
        <f>C793-D793</f>
        <v/>
      </c>
      <c r="F793" s="314">
        <f>(B793-E793)</f>
        <v/>
      </c>
      <c r="G793" s="112">
        <f>B793*(1-B$621)^($A793)</f>
        <v/>
      </c>
      <c r="H793" s="112">
        <f>IF(A793&lt;=$B$613,G793*$B$614/12,0)</f>
        <v/>
      </c>
      <c r="I793" s="315">
        <f>C793</f>
        <v/>
      </c>
      <c r="J793" s="314" t="n"/>
      <c r="K793" s="315">
        <f>C793</f>
        <v/>
      </c>
      <c r="L793" s="316">
        <f>F793/$B$612*100</f>
        <v/>
      </c>
      <c r="M793" s="317" t="n"/>
      <c r="N793" s="73" t="n">
        <v>162</v>
      </c>
      <c r="O793" s="289">
        <f>+S792</f>
        <v/>
      </c>
      <c r="P793" s="287">
        <f>(IF(N793&lt;$B$613,PMT($B$615/12,$B$613,-$B$612,$B$617,0),IF(N793=$B$613,PMT($B$615/12,$B$613,-$B$612,$B$617,0)+$B$617,0)))</f>
        <v/>
      </c>
      <c r="Q793" s="289">
        <f>IF(N793&lt;=$B$613,O793*$B$615/12,0)</f>
        <v/>
      </c>
      <c r="R793" s="289">
        <f>P793-Q793</f>
        <v/>
      </c>
      <c r="S793" s="314">
        <f>(O793-R793)</f>
        <v/>
      </c>
      <c r="T793" s="112">
        <f>O793*(1-B$621)^($N793)</f>
        <v/>
      </c>
      <c r="U793" s="112">
        <f>IF(N793&lt;=$B$613,T793*$B$615/12,0)</f>
        <v/>
      </c>
      <c r="V793" s="315">
        <f>P793</f>
        <v/>
      </c>
      <c r="W793" s="314" t="n"/>
      <c r="X793" s="315">
        <f>P793</f>
        <v/>
      </c>
      <c r="Y793" s="316">
        <f>S793/$B$612*100</f>
        <v/>
      </c>
      <c r="Z793" s="46" t="n"/>
      <c r="AA793" s="313">
        <f>+V793-I793</f>
        <v/>
      </c>
    </row>
    <row r="794">
      <c r="A794" s="73" t="n">
        <v>163</v>
      </c>
      <c r="B794" s="289">
        <f>+F793</f>
        <v/>
      </c>
      <c r="C794" s="287">
        <f>(IF(A794&lt;$B$613,PMT($B$614/12,$B$613,-$B$612,$B$617,$B$620),IF(A794=$B$613,PMT($B$614/12,$B$613,-$B$612,$B$617,$B$620)+$B$617,0)))</f>
        <v/>
      </c>
      <c r="D794" s="289">
        <f>IF(A794&lt;=$B$613,B794*$B$614/12,0)</f>
        <v/>
      </c>
      <c r="E794" s="289">
        <f>C794-D794</f>
        <v/>
      </c>
      <c r="F794" s="314">
        <f>(B794-E794)</f>
        <v/>
      </c>
      <c r="G794" s="112">
        <f>B794*(1-B$621)^($A794)</f>
        <v/>
      </c>
      <c r="H794" s="112">
        <f>IF(A794&lt;=$B$613,G794*$B$614/12,0)</f>
        <v/>
      </c>
      <c r="I794" s="315">
        <f>C794</f>
        <v/>
      </c>
      <c r="J794" s="314" t="n"/>
      <c r="K794" s="315">
        <f>C794</f>
        <v/>
      </c>
      <c r="L794" s="316">
        <f>F794/$B$612*100</f>
        <v/>
      </c>
      <c r="M794" s="317" t="n"/>
      <c r="N794" s="73" t="n">
        <v>163</v>
      </c>
      <c r="O794" s="289">
        <f>+S793</f>
        <v/>
      </c>
      <c r="P794" s="287">
        <f>(IF(N794&lt;$B$613,PMT($B$615/12,$B$613,-$B$612,$B$617,0),IF(N794=$B$613,PMT($B$615/12,$B$613,-$B$612,$B$617,0)+$B$617,0)))</f>
        <v/>
      </c>
      <c r="Q794" s="289">
        <f>IF(N794&lt;=$B$613,O794*$B$615/12,0)</f>
        <v/>
      </c>
      <c r="R794" s="289">
        <f>P794-Q794</f>
        <v/>
      </c>
      <c r="S794" s="314">
        <f>(O794-R794)</f>
        <v/>
      </c>
      <c r="T794" s="112">
        <f>O794*(1-B$621)^($N794)</f>
        <v/>
      </c>
      <c r="U794" s="112">
        <f>IF(N794&lt;=$B$613,T794*$B$615/12,0)</f>
        <v/>
      </c>
      <c r="V794" s="315">
        <f>P794</f>
        <v/>
      </c>
      <c r="W794" s="314" t="n"/>
      <c r="X794" s="315">
        <f>P794</f>
        <v/>
      </c>
      <c r="Y794" s="316">
        <f>S794/$B$612*100</f>
        <v/>
      </c>
      <c r="Z794" s="46" t="n"/>
      <c r="AA794" s="313">
        <f>+V794-I794</f>
        <v/>
      </c>
    </row>
    <row r="795">
      <c r="A795" s="73" t="n">
        <v>164</v>
      </c>
      <c r="B795" s="289">
        <f>+F794</f>
        <v/>
      </c>
      <c r="C795" s="287">
        <f>(IF(A795&lt;$B$613,PMT($B$614/12,$B$613,-$B$612,$B$617,$B$620),IF(A795=$B$613,PMT($B$614/12,$B$613,-$B$612,$B$617,$B$620)+$B$617,0)))</f>
        <v/>
      </c>
      <c r="D795" s="289">
        <f>IF(A795&lt;=$B$613,B795*$B$614/12,0)</f>
        <v/>
      </c>
      <c r="E795" s="289">
        <f>C795-D795</f>
        <v/>
      </c>
      <c r="F795" s="314">
        <f>(B795-E795)</f>
        <v/>
      </c>
      <c r="G795" s="112">
        <f>B795*(1-B$621)^($A795)</f>
        <v/>
      </c>
      <c r="H795" s="112">
        <f>IF(A795&lt;=$B$613,G795*$B$614/12,0)</f>
        <v/>
      </c>
      <c r="I795" s="315">
        <f>C795</f>
        <v/>
      </c>
      <c r="J795" s="314" t="n"/>
      <c r="K795" s="315">
        <f>C795</f>
        <v/>
      </c>
      <c r="L795" s="316">
        <f>F795/$B$612*100</f>
        <v/>
      </c>
      <c r="M795" s="317" t="n"/>
      <c r="N795" s="73" t="n">
        <v>164</v>
      </c>
      <c r="O795" s="289">
        <f>+S794</f>
        <v/>
      </c>
      <c r="P795" s="287">
        <f>(IF(N795&lt;$B$613,PMT($B$615/12,$B$613,-$B$612,$B$617,0),IF(N795=$B$613,PMT($B$615/12,$B$613,-$B$612,$B$617,0)+$B$617,0)))</f>
        <v/>
      </c>
      <c r="Q795" s="289">
        <f>IF(N795&lt;=$B$613,O795*$B$615/12,0)</f>
        <v/>
      </c>
      <c r="R795" s="289">
        <f>P795-Q795</f>
        <v/>
      </c>
      <c r="S795" s="314">
        <f>(O795-R795)</f>
        <v/>
      </c>
      <c r="T795" s="112">
        <f>O795*(1-B$621)^($N795)</f>
        <v/>
      </c>
      <c r="U795" s="112">
        <f>IF(N795&lt;=$B$613,T795*$B$615/12,0)</f>
        <v/>
      </c>
      <c r="V795" s="315">
        <f>P795</f>
        <v/>
      </c>
      <c r="W795" s="314" t="n"/>
      <c r="X795" s="315">
        <f>P795</f>
        <v/>
      </c>
      <c r="Y795" s="316">
        <f>S795/$B$612*100</f>
        <v/>
      </c>
      <c r="Z795" s="46" t="n"/>
      <c r="AA795" s="313">
        <f>+V795-I795</f>
        <v/>
      </c>
    </row>
    <row r="796">
      <c r="A796" s="73" t="n">
        <v>165</v>
      </c>
      <c r="B796" s="289">
        <f>+F795</f>
        <v/>
      </c>
      <c r="C796" s="287">
        <f>(IF(A796&lt;$B$613,PMT($B$614/12,$B$613,-$B$612,$B$617,$B$620),IF(A796=$B$613,PMT($B$614/12,$B$613,-$B$612,$B$617,$B$620)+$B$617,0)))</f>
        <v/>
      </c>
      <c r="D796" s="289">
        <f>IF(A796&lt;=$B$613,B796*$B$614/12,0)</f>
        <v/>
      </c>
      <c r="E796" s="289">
        <f>C796-D796</f>
        <v/>
      </c>
      <c r="F796" s="314">
        <f>(B796-E796)</f>
        <v/>
      </c>
      <c r="G796" s="112">
        <f>B796*(1-B$621)^($A796)</f>
        <v/>
      </c>
      <c r="H796" s="112">
        <f>IF(A796&lt;=$B$613,G796*$B$614/12,0)</f>
        <v/>
      </c>
      <c r="I796" s="315">
        <f>C796</f>
        <v/>
      </c>
      <c r="J796" s="314" t="n"/>
      <c r="K796" s="315">
        <f>C796</f>
        <v/>
      </c>
      <c r="L796" s="316">
        <f>F796/$B$612*100</f>
        <v/>
      </c>
      <c r="M796" s="317" t="n"/>
      <c r="N796" s="73" t="n">
        <v>165</v>
      </c>
      <c r="O796" s="289">
        <f>+S795</f>
        <v/>
      </c>
      <c r="P796" s="287">
        <f>(IF(N796&lt;$B$613,PMT($B$615/12,$B$613,-$B$612,$B$617,0),IF(N796=$B$613,PMT($B$615/12,$B$613,-$B$612,$B$617,0)+$B$617,0)))</f>
        <v/>
      </c>
      <c r="Q796" s="289">
        <f>IF(N796&lt;=$B$613,O796*$B$615/12,0)</f>
        <v/>
      </c>
      <c r="R796" s="289">
        <f>P796-Q796</f>
        <v/>
      </c>
      <c r="S796" s="314">
        <f>(O796-R796)</f>
        <v/>
      </c>
      <c r="T796" s="112">
        <f>O796*(1-B$621)^($N796)</f>
        <v/>
      </c>
      <c r="U796" s="112">
        <f>IF(N796&lt;=$B$613,T796*$B$615/12,0)</f>
        <v/>
      </c>
      <c r="V796" s="315">
        <f>P796</f>
        <v/>
      </c>
      <c r="W796" s="314" t="n"/>
      <c r="X796" s="315">
        <f>P796</f>
        <v/>
      </c>
      <c r="Y796" s="316">
        <f>S796/$B$612*100</f>
        <v/>
      </c>
      <c r="Z796" s="46" t="n"/>
      <c r="AA796" s="313">
        <f>+V796-I796</f>
        <v/>
      </c>
    </row>
    <row r="797">
      <c r="A797" s="73" t="n">
        <v>166</v>
      </c>
      <c r="B797" s="289">
        <f>+F796</f>
        <v/>
      </c>
      <c r="C797" s="287">
        <f>(IF(A797&lt;$B$613,PMT($B$614/12,$B$613,-$B$612,$B$617,$B$620),IF(A797=$B$613,PMT($B$614/12,$B$613,-$B$612,$B$617,$B$620)+$B$617,0)))</f>
        <v/>
      </c>
      <c r="D797" s="289">
        <f>IF(A797&lt;=$B$613,B797*$B$614/12,0)</f>
        <v/>
      </c>
      <c r="E797" s="289">
        <f>C797-D797</f>
        <v/>
      </c>
      <c r="F797" s="314">
        <f>(B797-E797)</f>
        <v/>
      </c>
      <c r="G797" s="112">
        <f>B797*(1-B$621)^($A797)</f>
        <v/>
      </c>
      <c r="H797" s="112">
        <f>IF(A797&lt;=$B$613,G797*$B$614/12,0)</f>
        <v/>
      </c>
      <c r="I797" s="315">
        <f>C797</f>
        <v/>
      </c>
      <c r="J797" s="314" t="n"/>
      <c r="K797" s="315">
        <f>C797</f>
        <v/>
      </c>
      <c r="L797" s="316">
        <f>F797/$B$612*100</f>
        <v/>
      </c>
      <c r="M797" s="317" t="n"/>
      <c r="N797" s="73" t="n">
        <v>166</v>
      </c>
      <c r="O797" s="289">
        <f>+S796</f>
        <v/>
      </c>
      <c r="P797" s="287">
        <f>(IF(N797&lt;$B$613,PMT($B$615/12,$B$613,-$B$612,$B$617,0),IF(N797=$B$613,PMT($B$615/12,$B$613,-$B$612,$B$617,0)+$B$617,0)))</f>
        <v/>
      </c>
      <c r="Q797" s="289">
        <f>IF(N797&lt;=$B$613,O797*$B$615/12,0)</f>
        <v/>
      </c>
      <c r="R797" s="289">
        <f>P797-Q797</f>
        <v/>
      </c>
      <c r="S797" s="314">
        <f>(O797-R797)</f>
        <v/>
      </c>
      <c r="T797" s="112">
        <f>O797*(1-B$621)^($N797)</f>
        <v/>
      </c>
      <c r="U797" s="112">
        <f>IF(N797&lt;=$B$613,T797*$B$615/12,0)</f>
        <v/>
      </c>
      <c r="V797" s="315">
        <f>P797</f>
        <v/>
      </c>
      <c r="W797" s="314" t="n"/>
      <c r="X797" s="315">
        <f>P797</f>
        <v/>
      </c>
      <c r="Y797" s="316">
        <f>S797/$B$612*100</f>
        <v/>
      </c>
      <c r="Z797" s="46" t="n"/>
      <c r="AA797" s="313">
        <f>+V797-I797</f>
        <v/>
      </c>
    </row>
    <row r="798">
      <c r="A798" s="73" t="n">
        <v>167</v>
      </c>
      <c r="B798" s="289">
        <f>+F797</f>
        <v/>
      </c>
      <c r="C798" s="287">
        <f>(IF(A798&lt;$B$613,PMT($B$614/12,$B$613,-$B$612,$B$617,$B$620),IF(A798=$B$613,PMT($B$614/12,$B$613,-$B$612,$B$617,$B$620)+$B$617,0)))</f>
        <v/>
      </c>
      <c r="D798" s="289">
        <f>IF(A798&lt;=$B$613,B798*$B$614/12,0)</f>
        <v/>
      </c>
      <c r="E798" s="289">
        <f>C798-D798</f>
        <v/>
      </c>
      <c r="F798" s="314">
        <f>(B798-E798)</f>
        <v/>
      </c>
      <c r="G798" s="112">
        <f>B798*(1-B$621)^($A798)</f>
        <v/>
      </c>
      <c r="H798" s="112">
        <f>IF(A798&lt;=$B$613,G798*$B$614/12,0)</f>
        <v/>
      </c>
      <c r="I798" s="315">
        <f>C798</f>
        <v/>
      </c>
      <c r="J798" s="314" t="n"/>
      <c r="K798" s="315">
        <f>C798</f>
        <v/>
      </c>
      <c r="L798" s="316">
        <f>F798/$B$612*100</f>
        <v/>
      </c>
      <c r="M798" s="317" t="n"/>
      <c r="N798" s="73" t="n">
        <v>167</v>
      </c>
      <c r="O798" s="289">
        <f>+S797</f>
        <v/>
      </c>
      <c r="P798" s="287">
        <f>(IF(N798&lt;$B$613,PMT($B$615/12,$B$613,-$B$612,$B$617,0),IF(N798=$B$613,PMT($B$615/12,$B$613,-$B$612,$B$617,0)+$B$617,0)))</f>
        <v/>
      </c>
      <c r="Q798" s="289">
        <f>IF(N798&lt;=$B$613,O798*$B$615/12,0)</f>
        <v/>
      </c>
      <c r="R798" s="289">
        <f>P798-Q798</f>
        <v/>
      </c>
      <c r="S798" s="314">
        <f>(O798-R798)</f>
        <v/>
      </c>
      <c r="T798" s="112">
        <f>O798*(1-B$621)^($N798)</f>
        <v/>
      </c>
      <c r="U798" s="112">
        <f>IF(N798&lt;=$B$613,T798*$B$615/12,0)</f>
        <v/>
      </c>
      <c r="V798" s="315">
        <f>P798</f>
        <v/>
      </c>
      <c r="W798" s="314" t="n"/>
      <c r="X798" s="315">
        <f>P798</f>
        <v/>
      </c>
      <c r="Y798" s="316">
        <f>S798/$B$612*100</f>
        <v/>
      </c>
      <c r="Z798" s="46" t="n"/>
      <c r="AA798" s="313">
        <f>+V798-I798</f>
        <v/>
      </c>
    </row>
    <row r="799">
      <c r="A799" s="73" t="n">
        <v>168</v>
      </c>
      <c r="B799" s="289">
        <f>+F798</f>
        <v/>
      </c>
      <c r="C799" s="287">
        <f>(IF(A799&lt;$B$613,PMT($B$614/12,$B$613,-$B$612,$B$617,$B$620),IF(A799=$B$613,PMT($B$614/12,$B$613,-$B$612,$B$617,$B$620)+$B$617,0)))</f>
        <v/>
      </c>
      <c r="D799" s="289">
        <f>IF(A799&lt;=$B$613,B799*$B$614/12,0)</f>
        <v/>
      </c>
      <c r="E799" s="289">
        <f>C799-D799</f>
        <v/>
      </c>
      <c r="F799" s="314">
        <f>(B799-E799)</f>
        <v/>
      </c>
      <c r="G799" s="112">
        <f>B799*(1-B$621)^($A799)</f>
        <v/>
      </c>
      <c r="H799" s="112">
        <f>IF(A799&lt;=$B$613,G799*$B$614/12,0)</f>
        <v/>
      </c>
      <c r="I799" s="315">
        <f>C799</f>
        <v/>
      </c>
      <c r="J799" s="314" t="n"/>
      <c r="K799" s="315">
        <f>C799</f>
        <v/>
      </c>
      <c r="L799" s="316">
        <f>F799/$B$612*100</f>
        <v/>
      </c>
      <c r="M799" s="317" t="n"/>
      <c r="N799" s="73" t="n">
        <v>168</v>
      </c>
      <c r="O799" s="289">
        <f>+S798</f>
        <v/>
      </c>
      <c r="P799" s="287">
        <f>(IF(N799&lt;$B$613,PMT($B$615/12,$B$613,-$B$612,$B$617,0),IF(N799=$B$613,PMT($B$615/12,$B$613,-$B$612,$B$617,0)+$B$617,0)))</f>
        <v/>
      </c>
      <c r="Q799" s="289">
        <f>IF(N799&lt;=$B$613,O799*$B$615/12,0)</f>
        <v/>
      </c>
      <c r="R799" s="289">
        <f>P799-Q799</f>
        <v/>
      </c>
      <c r="S799" s="314">
        <f>(O799-R799)</f>
        <v/>
      </c>
      <c r="T799" s="112">
        <f>O799*(1-B$621)^($N799)</f>
        <v/>
      </c>
      <c r="U799" s="112">
        <f>IF(N799&lt;=$B$613,T799*$B$615/12,0)</f>
        <v/>
      </c>
      <c r="V799" s="315">
        <f>P799</f>
        <v/>
      </c>
      <c r="W799" s="314" t="n"/>
      <c r="X799" s="315">
        <f>P799</f>
        <v/>
      </c>
      <c r="Y799" s="316">
        <f>S799/$B$612*100</f>
        <v/>
      </c>
      <c r="Z799" s="46" t="n"/>
      <c r="AA799" s="313">
        <f>+V799-I799</f>
        <v/>
      </c>
    </row>
    <row r="800">
      <c r="A800" s="73" t="n">
        <v>169</v>
      </c>
      <c r="B800" s="289">
        <f>+F799</f>
        <v/>
      </c>
      <c r="C800" s="287">
        <f>(IF(A800&lt;$B$613,PMT($B$614/12,$B$613,-$B$612,$B$617,$B$620),IF(A800=$B$613,PMT($B$614/12,$B$613,-$B$612,$B$617,$B$620)+$B$617,0)))</f>
        <v/>
      </c>
      <c r="D800" s="289">
        <f>IF(A800&lt;=$B$613,B800*$B$614/12,0)</f>
        <v/>
      </c>
      <c r="E800" s="289">
        <f>C800-D800</f>
        <v/>
      </c>
      <c r="F800" s="314">
        <f>(B800-E800)</f>
        <v/>
      </c>
      <c r="G800" s="112">
        <f>B800*(1-B$621)^($A800)</f>
        <v/>
      </c>
      <c r="H800" s="112">
        <f>IF(A800&lt;=$B$613,G800*$B$614/12,0)</f>
        <v/>
      </c>
      <c r="I800" s="315">
        <f>C800</f>
        <v/>
      </c>
      <c r="J800" s="314" t="n"/>
      <c r="K800" s="315">
        <f>C800</f>
        <v/>
      </c>
      <c r="L800" s="316">
        <f>F800/$B$612*100</f>
        <v/>
      </c>
      <c r="M800" s="317" t="n"/>
      <c r="N800" s="73" t="n">
        <v>169</v>
      </c>
      <c r="O800" s="289">
        <f>+S799</f>
        <v/>
      </c>
      <c r="P800" s="287">
        <f>(IF(N800&lt;$B$613,PMT($B$615/12,$B$613,-$B$612,$B$617,0),IF(N800=$B$613,PMT($B$615/12,$B$613,-$B$612,$B$617,0)+$B$617,0)))</f>
        <v/>
      </c>
      <c r="Q800" s="289">
        <f>IF(N800&lt;=$B$613,O800*$B$615/12,0)</f>
        <v/>
      </c>
      <c r="R800" s="289">
        <f>P800-Q800</f>
        <v/>
      </c>
      <c r="S800" s="314">
        <f>(O800-R800)</f>
        <v/>
      </c>
      <c r="T800" s="112">
        <f>O800*(1-B$621)^($N800)</f>
        <v/>
      </c>
      <c r="U800" s="112">
        <f>IF(N800&lt;=$B$613,T800*$B$615/12,0)</f>
        <v/>
      </c>
      <c r="V800" s="315">
        <f>P800</f>
        <v/>
      </c>
      <c r="W800" s="314" t="n"/>
      <c r="X800" s="315">
        <f>P800</f>
        <v/>
      </c>
      <c r="Y800" s="316">
        <f>S800/$B$612*100</f>
        <v/>
      </c>
      <c r="Z800" s="46" t="n"/>
      <c r="AA800" s="313">
        <f>+V800-I800</f>
        <v/>
      </c>
    </row>
    <row r="801">
      <c r="A801" s="73" t="n">
        <v>170</v>
      </c>
      <c r="B801" s="289">
        <f>+F800</f>
        <v/>
      </c>
      <c r="C801" s="287">
        <f>(IF(A801&lt;$B$613,PMT($B$614/12,$B$613,-$B$612,$B$617,$B$620),IF(A801=$B$613,PMT($B$614/12,$B$613,-$B$612,$B$617,$B$620)+$B$617,0)))</f>
        <v/>
      </c>
      <c r="D801" s="289">
        <f>IF(A801&lt;=$B$613,B801*$B$614/12,0)</f>
        <v/>
      </c>
      <c r="E801" s="289">
        <f>C801-D801</f>
        <v/>
      </c>
      <c r="F801" s="314">
        <f>(B801-E801)</f>
        <v/>
      </c>
      <c r="G801" s="112">
        <f>B801*(1-B$621)^($A801)</f>
        <v/>
      </c>
      <c r="H801" s="112">
        <f>IF(A801&lt;=$B$613,G801*$B$614/12,0)</f>
        <v/>
      </c>
      <c r="I801" s="315">
        <f>C801</f>
        <v/>
      </c>
      <c r="J801" s="314" t="n"/>
      <c r="K801" s="315">
        <f>C801</f>
        <v/>
      </c>
      <c r="L801" s="316">
        <f>F801/$B$612*100</f>
        <v/>
      </c>
      <c r="M801" s="317" t="n"/>
      <c r="N801" s="73" t="n">
        <v>170</v>
      </c>
      <c r="O801" s="289">
        <f>+S800</f>
        <v/>
      </c>
      <c r="P801" s="287">
        <f>(IF(N801&lt;$B$613,PMT($B$615/12,$B$613,-$B$612,$B$617,0),IF(N801=$B$613,PMT($B$615/12,$B$613,-$B$612,$B$617,0)+$B$617,0)))</f>
        <v/>
      </c>
      <c r="Q801" s="289">
        <f>IF(N801&lt;=$B$613,O801*$B$615/12,0)</f>
        <v/>
      </c>
      <c r="R801" s="289">
        <f>P801-Q801</f>
        <v/>
      </c>
      <c r="S801" s="314">
        <f>(O801-R801)</f>
        <v/>
      </c>
      <c r="T801" s="112">
        <f>O801*(1-B$621)^($N801)</f>
        <v/>
      </c>
      <c r="U801" s="112">
        <f>IF(N801&lt;=$B$613,T801*$B$615/12,0)</f>
        <v/>
      </c>
      <c r="V801" s="315">
        <f>P801</f>
        <v/>
      </c>
      <c r="W801" s="314" t="n"/>
      <c r="X801" s="315">
        <f>P801</f>
        <v/>
      </c>
      <c r="Y801" s="316">
        <f>S801/$B$612*100</f>
        <v/>
      </c>
      <c r="Z801" s="46" t="n"/>
      <c r="AA801" s="313">
        <f>+V801-I801</f>
        <v/>
      </c>
    </row>
    <row r="802">
      <c r="A802" s="73" t="n">
        <v>171</v>
      </c>
      <c r="B802" s="289">
        <f>+F801</f>
        <v/>
      </c>
      <c r="C802" s="287">
        <f>(IF(A802&lt;$B$613,PMT($B$614/12,$B$613,-$B$612,$B$617,$B$620),IF(A802=$B$613,PMT($B$614/12,$B$613,-$B$612,$B$617,$B$620)+$B$617,0)))</f>
        <v/>
      </c>
      <c r="D802" s="289">
        <f>IF(A802&lt;=$B$613,B802*$B$614/12,0)</f>
        <v/>
      </c>
      <c r="E802" s="289">
        <f>C802-D802</f>
        <v/>
      </c>
      <c r="F802" s="314">
        <f>(B802-E802)</f>
        <v/>
      </c>
      <c r="G802" s="112">
        <f>B802*(1-B$621)^($A802)</f>
        <v/>
      </c>
      <c r="H802" s="112">
        <f>IF(A802&lt;=$B$613,G802*$B$614/12,0)</f>
        <v/>
      </c>
      <c r="I802" s="315">
        <f>C802</f>
        <v/>
      </c>
      <c r="J802" s="314" t="n"/>
      <c r="K802" s="315">
        <f>C802</f>
        <v/>
      </c>
      <c r="L802" s="316">
        <f>F802/$B$612*100</f>
        <v/>
      </c>
      <c r="M802" s="317" t="n"/>
      <c r="N802" s="73" t="n">
        <v>171</v>
      </c>
      <c r="O802" s="289">
        <f>+S801</f>
        <v/>
      </c>
      <c r="P802" s="287">
        <f>(IF(N802&lt;$B$613,PMT($B$615/12,$B$613,-$B$612,$B$617,0),IF(N802=$B$613,PMT($B$615/12,$B$613,-$B$612,$B$617,0)+$B$617,0)))</f>
        <v/>
      </c>
      <c r="Q802" s="289">
        <f>IF(N802&lt;=$B$613,O802*$B$615/12,0)</f>
        <v/>
      </c>
      <c r="R802" s="289">
        <f>P802-Q802</f>
        <v/>
      </c>
      <c r="S802" s="314">
        <f>(O802-R802)</f>
        <v/>
      </c>
      <c r="T802" s="112">
        <f>O802*(1-B$621)^($N802)</f>
        <v/>
      </c>
      <c r="U802" s="112">
        <f>IF(N802&lt;=$B$613,T802*$B$615/12,0)</f>
        <v/>
      </c>
      <c r="V802" s="315">
        <f>P802</f>
        <v/>
      </c>
      <c r="W802" s="314" t="n"/>
      <c r="X802" s="315">
        <f>P802</f>
        <v/>
      </c>
      <c r="Y802" s="316">
        <f>S802/$B$612*100</f>
        <v/>
      </c>
      <c r="Z802" s="46" t="n"/>
      <c r="AA802" s="313">
        <f>+V802-I802</f>
        <v/>
      </c>
    </row>
    <row r="803">
      <c r="A803" s="73" t="n">
        <v>172</v>
      </c>
      <c r="B803" s="289">
        <f>+F802</f>
        <v/>
      </c>
      <c r="C803" s="287">
        <f>(IF(A803&lt;$B$613,PMT($B$614/12,$B$613,-$B$612,$B$617,$B$620),IF(A803=$B$613,PMT($B$614/12,$B$613,-$B$612,$B$617,$B$620)+$B$617,0)))</f>
        <v/>
      </c>
      <c r="D803" s="289">
        <f>IF(A803&lt;=$B$613,B803*$B$614/12,0)</f>
        <v/>
      </c>
      <c r="E803" s="289">
        <f>C803-D803</f>
        <v/>
      </c>
      <c r="F803" s="314">
        <f>(B803-E803)</f>
        <v/>
      </c>
      <c r="G803" s="112">
        <f>B803*(1-B$621)^($A803)</f>
        <v/>
      </c>
      <c r="H803" s="112">
        <f>IF(A803&lt;=$B$613,G803*$B$614/12,0)</f>
        <v/>
      </c>
      <c r="I803" s="315">
        <f>C803</f>
        <v/>
      </c>
      <c r="J803" s="314" t="n"/>
      <c r="K803" s="315">
        <f>C803</f>
        <v/>
      </c>
      <c r="L803" s="316">
        <f>F803/$B$612*100</f>
        <v/>
      </c>
      <c r="M803" s="317" t="n"/>
      <c r="N803" s="73" t="n">
        <v>172</v>
      </c>
      <c r="O803" s="289">
        <f>+S802</f>
        <v/>
      </c>
      <c r="P803" s="287">
        <f>(IF(N803&lt;$B$613,PMT($B$615/12,$B$613,-$B$612,$B$617,0),IF(N803=$B$613,PMT($B$615/12,$B$613,-$B$612,$B$617,0)+$B$617,0)))</f>
        <v/>
      </c>
      <c r="Q803" s="289">
        <f>IF(N803&lt;=$B$613,O803*$B$615/12,0)</f>
        <v/>
      </c>
      <c r="R803" s="289">
        <f>P803-Q803</f>
        <v/>
      </c>
      <c r="S803" s="314">
        <f>(O803-R803)</f>
        <v/>
      </c>
      <c r="T803" s="112">
        <f>O803*(1-B$621)^($N803)</f>
        <v/>
      </c>
      <c r="U803" s="112">
        <f>IF(N803&lt;=$B$613,T803*$B$615/12,0)</f>
        <v/>
      </c>
      <c r="V803" s="315">
        <f>P803</f>
        <v/>
      </c>
      <c r="W803" s="314" t="n"/>
      <c r="X803" s="315">
        <f>P803</f>
        <v/>
      </c>
      <c r="Y803" s="316">
        <f>S803/$B$612*100</f>
        <v/>
      </c>
      <c r="Z803" s="46" t="n"/>
      <c r="AA803" s="313">
        <f>+V803-I803</f>
        <v/>
      </c>
    </row>
    <row r="804">
      <c r="A804" s="73" t="n">
        <v>173</v>
      </c>
      <c r="B804" s="289">
        <f>+F803</f>
        <v/>
      </c>
      <c r="C804" s="287">
        <f>(IF(A804&lt;$B$613,PMT($B$614/12,$B$613,-$B$612,$B$617,$B$620),IF(A804=$B$613,PMT($B$614/12,$B$613,-$B$612,$B$617,$B$620)+$B$617,0)))</f>
        <v/>
      </c>
      <c r="D804" s="289">
        <f>IF(A804&lt;=$B$613,B804*$B$614/12,0)</f>
        <v/>
      </c>
      <c r="E804" s="289">
        <f>C804-D804</f>
        <v/>
      </c>
      <c r="F804" s="314">
        <f>(B804-E804)</f>
        <v/>
      </c>
      <c r="G804" s="112">
        <f>B804*(1-B$621)^($A804)</f>
        <v/>
      </c>
      <c r="H804" s="112">
        <f>IF(A804&lt;=$B$613,G804*$B$614/12,0)</f>
        <v/>
      </c>
      <c r="I804" s="315">
        <f>C804</f>
        <v/>
      </c>
      <c r="J804" s="314" t="n"/>
      <c r="K804" s="315">
        <f>C804</f>
        <v/>
      </c>
      <c r="L804" s="316">
        <f>F804/$B$612*100</f>
        <v/>
      </c>
      <c r="M804" s="317" t="n"/>
      <c r="N804" s="73" t="n">
        <v>173</v>
      </c>
      <c r="O804" s="289">
        <f>+S803</f>
        <v/>
      </c>
      <c r="P804" s="287">
        <f>(IF(N804&lt;$B$613,PMT($B$615/12,$B$613,-$B$612,$B$617,0),IF(N804=$B$613,PMT($B$615/12,$B$613,-$B$612,$B$617,0)+$B$617,0)))</f>
        <v/>
      </c>
      <c r="Q804" s="289">
        <f>IF(N804&lt;=$B$613,O804*$B$615/12,0)</f>
        <v/>
      </c>
      <c r="R804" s="289">
        <f>P804-Q804</f>
        <v/>
      </c>
      <c r="S804" s="314">
        <f>(O804-R804)</f>
        <v/>
      </c>
      <c r="T804" s="112">
        <f>O804*(1-B$621)^($N804)</f>
        <v/>
      </c>
      <c r="U804" s="112">
        <f>IF(N804&lt;=$B$613,T804*$B$615/12,0)</f>
        <v/>
      </c>
      <c r="V804" s="315">
        <f>P804</f>
        <v/>
      </c>
      <c r="W804" s="314" t="n"/>
      <c r="X804" s="315">
        <f>P804</f>
        <v/>
      </c>
      <c r="Y804" s="316">
        <f>S804/$B$612*100</f>
        <v/>
      </c>
      <c r="Z804" s="46" t="n"/>
      <c r="AA804" s="313">
        <f>+V804-I804</f>
        <v/>
      </c>
    </row>
    <row r="805">
      <c r="A805" s="73" t="n">
        <v>174</v>
      </c>
      <c r="B805" s="289">
        <f>+F804</f>
        <v/>
      </c>
      <c r="C805" s="287">
        <f>(IF(A805&lt;$B$613,PMT($B$614/12,$B$613,-$B$612,$B$617,$B$620),IF(A805=$B$613,PMT($B$614/12,$B$613,-$B$612,$B$617,$B$620)+$B$617,0)))</f>
        <v/>
      </c>
      <c r="D805" s="289">
        <f>IF(A805&lt;=$B$613,B805*$B$614/12,0)</f>
        <v/>
      </c>
      <c r="E805" s="289">
        <f>C805-D805</f>
        <v/>
      </c>
      <c r="F805" s="314">
        <f>(B805-E805)</f>
        <v/>
      </c>
      <c r="G805" s="112">
        <f>B805*(1-B$621)^($A805)</f>
        <v/>
      </c>
      <c r="H805" s="112">
        <f>IF(A805&lt;=$B$613,G805*$B$614/12,0)</f>
        <v/>
      </c>
      <c r="I805" s="315">
        <f>C805</f>
        <v/>
      </c>
      <c r="J805" s="314" t="n"/>
      <c r="K805" s="315">
        <f>C805</f>
        <v/>
      </c>
      <c r="L805" s="316">
        <f>F805/$B$612*100</f>
        <v/>
      </c>
      <c r="M805" s="317" t="n"/>
      <c r="N805" s="73" t="n">
        <v>174</v>
      </c>
      <c r="O805" s="289">
        <f>+S804</f>
        <v/>
      </c>
      <c r="P805" s="287">
        <f>(IF(N805&lt;$B$613,PMT($B$615/12,$B$613,-$B$612,$B$617,0),IF(N805=$B$613,PMT($B$615/12,$B$613,-$B$612,$B$617,0)+$B$617,0)))</f>
        <v/>
      </c>
      <c r="Q805" s="289">
        <f>IF(N805&lt;=$B$613,O805*$B$615/12,0)</f>
        <v/>
      </c>
      <c r="R805" s="289">
        <f>P805-Q805</f>
        <v/>
      </c>
      <c r="S805" s="314">
        <f>(O805-R805)</f>
        <v/>
      </c>
      <c r="T805" s="112">
        <f>O805*(1-B$621)^($N805)</f>
        <v/>
      </c>
      <c r="U805" s="112">
        <f>IF(N805&lt;=$B$613,T805*$B$615/12,0)</f>
        <v/>
      </c>
      <c r="V805" s="315">
        <f>P805</f>
        <v/>
      </c>
      <c r="W805" s="314" t="n"/>
      <c r="X805" s="315">
        <f>P805</f>
        <v/>
      </c>
      <c r="Y805" s="316">
        <f>S805/$B$612*100</f>
        <v/>
      </c>
      <c r="Z805" s="46" t="n"/>
      <c r="AA805" s="313">
        <f>+V805-I805</f>
        <v/>
      </c>
    </row>
    <row r="806">
      <c r="A806" s="73" t="n">
        <v>175</v>
      </c>
      <c r="B806" s="289">
        <f>+F805</f>
        <v/>
      </c>
      <c r="C806" s="287">
        <f>(IF(A806&lt;$B$613,PMT($B$614/12,$B$613,-$B$612,$B$617,$B$620),IF(A806=$B$613,PMT($B$614/12,$B$613,-$B$612,$B$617,$B$620)+$B$617,0)))</f>
        <v/>
      </c>
      <c r="D806" s="289">
        <f>IF(A806&lt;=$B$613,B806*$B$614/12,0)</f>
        <v/>
      </c>
      <c r="E806" s="289">
        <f>C806-D806</f>
        <v/>
      </c>
      <c r="F806" s="314">
        <f>(B806-E806)</f>
        <v/>
      </c>
      <c r="G806" s="112">
        <f>B806*(1-B$621)^($A806)</f>
        <v/>
      </c>
      <c r="H806" s="112">
        <f>IF(A806&lt;=$B$613,G806*$B$614/12,0)</f>
        <v/>
      </c>
      <c r="I806" s="315">
        <f>C806</f>
        <v/>
      </c>
      <c r="J806" s="314" t="n"/>
      <c r="K806" s="315">
        <f>C806</f>
        <v/>
      </c>
      <c r="L806" s="316">
        <f>F806/$B$612*100</f>
        <v/>
      </c>
      <c r="M806" s="317" t="n"/>
      <c r="N806" s="73" t="n">
        <v>175</v>
      </c>
      <c r="O806" s="289">
        <f>+S805</f>
        <v/>
      </c>
      <c r="P806" s="287">
        <f>(IF(N806&lt;$B$613,PMT($B$615/12,$B$613,-$B$612,$B$617,0),IF(N806=$B$613,PMT($B$615/12,$B$613,-$B$612,$B$617,0)+$B$617,0)))</f>
        <v/>
      </c>
      <c r="Q806" s="289">
        <f>IF(N806&lt;=$B$613,O806*$B$615/12,0)</f>
        <v/>
      </c>
      <c r="R806" s="289">
        <f>P806-Q806</f>
        <v/>
      </c>
      <c r="S806" s="314">
        <f>(O806-R806)</f>
        <v/>
      </c>
      <c r="T806" s="112">
        <f>O806*(1-B$621)^($N806)</f>
        <v/>
      </c>
      <c r="U806" s="112">
        <f>IF(N806&lt;=$B$613,T806*$B$615/12,0)</f>
        <v/>
      </c>
      <c r="V806" s="315">
        <f>P806</f>
        <v/>
      </c>
      <c r="W806" s="314" t="n"/>
      <c r="X806" s="315">
        <f>P806</f>
        <v/>
      </c>
      <c r="Y806" s="316">
        <f>S806/$B$612*100</f>
        <v/>
      </c>
      <c r="Z806" s="46" t="n"/>
      <c r="AA806" s="313">
        <f>+V806-I806</f>
        <v/>
      </c>
    </row>
    <row r="807">
      <c r="A807" s="73" t="n">
        <v>176</v>
      </c>
      <c r="B807" s="289">
        <f>+F806</f>
        <v/>
      </c>
      <c r="C807" s="287">
        <f>(IF(A807&lt;$B$613,PMT($B$614/12,$B$613,-$B$612,$B$617,$B$620),IF(A807=$B$613,PMT($B$614/12,$B$613,-$B$612,$B$617,$B$620)+$B$617,0)))</f>
        <v/>
      </c>
      <c r="D807" s="289">
        <f>IF(A807&lt;=$B$613,B807*$B$614/12,0)</f>
        <v/>
      </c>
      <c r="E807" s="289">
        <f>C807-D807</f>
        <v/>
      </c>
      <c r="F807" s="314">
        <f>(B807-E807)</f>
        <v/>
      </c>
      <c r="G807" s="112">
        <f>B807*(1-B$621)^($A807)</f>
        <v/>
      </c>
      <c r="H807" s="112">
        <f>IF(A807&lt;=$B$613,G807*$B$614/12,0)</f>
        <v/>
      </c>
      <c r="I807" s="315">
        <f>C807</f>
        <v/>
      </c>
      <c r="J807" s="314" t="n"/>
      <c r="K807" s="315">
        <f>C807</f>
        <v/>
      </c>
      <c r="L807" s="316">
        <f>F807/$B$612*100</f>
        <v/>
      </c>
      <c r="M807" s="317" t="n"/>
      <c r="N807" s="73" t="n">
        <v>176</v>
      </c>
      <c r="O807" s="289">
        <f>+S806</f>
        <v/>
      </c>
      <c r="P807" s="287">
        <f>(IF(N807&lt;$B$613,PMT($B$615/12,$B$613,-$B$612,$B$617,0),IF(N807=$B$613,PMT($B$615/12,$B$613,-$B$612,$B$617,0)+$B$617,0)))</f>
        <v/>
      </c>
      <c r="Q807" s="289">
        <f>IF(N807&lt;=$B$613,O807*$B$615/12,0)</f>
        <v/>
      </c>
      <c r="R807" s="289">
        <f>P807-Q807</f>
        <v/>
      </c>
      <c r="S807" s="314">
        <f>(O807-R807)</f>
        <v/>
      </c>
      <c r="T807" s="112">
        <f>O807*(1-B$621)^($N807)</f>
        <v/>
      </c>
      <c r="U807" s="112">
        <f>IF(N807&lt;=$B$613,T807*$B$615/12,0)</f>
        <v/>
      </c>
      <c r="V807" s="315">
        <f>P807</f>
        <v/>
      </c>
      <c r="W807" s="314" t="n"/>
      <c r="X807" s="315">
        <f>P807</f>
        <v/>
      </c>
      <c r="Y807" s="316">
        <f>S807/$B$612*100</f>
        <v/>
      </c>
      <c r="Z807" s="46" t="n"/>
      <c r="AA807" s="313">
        <f>+V807-I807</f>
        <v/>
      </c>
    </row>
    <row r="808">
      <c r="A808" s="73" t="n">
        <v>177</v>
      </c>
      <c r="B808" s="289">
        <f>+F807</f>
        <v/>
      </c>
      <c r="C808" s="287">
        <f>(IF(A808&lt;$B$613,PMT($B$614/12,$B$613,-$B$612,$B$617,$B$620),IF(A808=$B$613,PMT($B$614/12,$B$613,-$B$612,$B$617,$B$620)+$B$617,0)))</f>
        <v/>
      </c>
      <c r="D808" s="289">
        <f>IF(A808&lt;=$B$613,B808*$B$614/12,0)</f>
        <v/>
      </c>
      <c r="E808" s="289">
        <f>C808-D808</f>
        <v/>
      </c>
      <c r="F808" s="314">
        <f>(B808-E808)</f>
        <v/>
      </c>
      <c r="G808" s="112">
        <f>B808*(1-B$621)^($A808)</f>
        <v/>
      </c>
      <c r="H808" s="112">
        <f>IF(A808&lt;=$B$613,G808*$B$614/12,0)</f>
        <v/>
      </c>
      <c r="I808" s="315">
        <f>C808</f>
        <v/>
      </c>
      <c r="J808" s="314" t="n"/>
      <c r="K808" s="315">
        <f>C808</f>
        <v/>
      </c>
      <c r="L808" s="316">
        <f>F808/$B$612*100</f>
        <v/>
      </c>
      <c r="M808" s="317" t="n"/>
      <c r="N808" s="73" t="n">
        <v>177</v>
      </c>
      <c r="O808" s="289">
        <f>+S807</f>
        <v/>
      </c>
      <c r="P808" s="287">
        <f>(IF(N808&lt;$B$613,PMT($B$615/12,$B$613,-$B$612,$B$617,0),IF(N808=$B$613,PMT($B$615/12,$B$613,-$B$612,$B$617,0)+$B$617,0)))</f>
        <v/>
      </c>
      <c r="Q808" s="289">
        <f>IF(N808&lt;=$B$613,O808*$B$615/12,0)</f>
        <v/>
      </c>
      <c r="R808" s="289">
        <f>P808-Q808</f>
        <v/>
      </c>
      <c r="S808" s="314">
        <f>(O808-R808)</f>
        <v/>
      </c>
      <c r="T808" s="112">
        <f>O808*(1-B$621)^($N808)</f>
        <v/>
      </c>
      <c r="U808" s="112">
        <f>IF(N808&lt;=$B$613,T808*$B$615/12,0)</f>
        <v/>
      </c>
      <c r="V808" s="315">
        <f>P808</f>
        <v/>
      </c>
      <c r="W808" s="314" t="n"/>
      <c r="X808" s="315">
        <f>P808</f>
        <v/>
      </c>
      <c r="Y808" s="316">
        <f>S808/$B$612*100</f>
        <v/>
      </c>
      <c r="Z808" s="46" t="n"/>
      <c r="AA808" s="313">
        <f>+V808-I808</f>
        <v/>
      </c>
    </row>
    <row r="809">
      <c r="A809" s="73" t="n">
        <v>178</v>
      </c>
      <c r="B809" s="289">
        <f>+F808</f>
        <v/>
      </c>
      <c r="C809" s="287">
        <f>(IF(A809&lt;$B$613,PMT($B$614/12,$B$613,-$B$612,$B$617,$B$620),IF(A809=$B$613,PMT($B$614/12,$B$613,-$B$612,$B$617,$B$620)+$B$617,0)))</f>
        <v/>
      </c>
      <c r="D809" s="289">
        <f>IF(A809&lt;=$B$613,B809*$B$614/12,0)</f>
        <v/>
      </c>
      <c r="E809" s="289">
        <f>C809-D809</f>
        <v/>
      </c>
      <c r="F809" s="314">
        <f>(B809-E809)</f>
        <v/>
      </c>
      <c r="G809" s="112">
        <f>B809*(1-B$621)^($A809)</f>
        <v/>
      </c>
      <c r="H809" s="112">
        <f>IF(A809&lt;=$B$613,G809*$B$614/12,0)</f>
        <v/>
      </c>
      <c r="I809" s="315">
        <f>C809</f>
        <v/>
      </c>
      <c r="J809" s="314" t="n"/>
      <c r="K809" s="315">
        <f>C809</f>
        <v/>
      </c>
      <c r="L809" s="316">
        <f>F809/$B$612*100</f>
        <v/>
      </c>
      <c r="M809" s="317" t="n"/>
      <c r="N809" s="73" t="n">
        <v>178</v>
      </c>
      <c r="O809" s="289">
        <f>+S808</f>
        <v/>
      </c>
      <c r="P809" s="287">
        <f>(IF(N809&lt;$B$613,PMT($B$615/12,$B$613,-$B$612,$B$617,0),IF(N809=$B$613,PMT($B$615/12,$B$613,-$B$612,$B$617,0)+$B$617,0)))</f>
        <v/>
      </c>
      <c r="Q809" s="289">
        <f>IF(N809&lt;=$B$613,O809*$B$615/12,0)</f>
        <v/>
      </c>
      <c r="R809" s="289">
        <f>P809-Q809</f>
        <v/>
      </c>
      <c r="S809" s="314">
        <f>(O809-R809)</f>
        <v/>
      </c>
      <c r="T809" s="112">
        <f>O809*(1-B$621)^($N809)</f>
        <v/>
      </c>
      <c r="U809" s="112">
        <f>IF(N809&lt;=$B$613,T809*$B$615/12,0)</f>
        <v/>
      </c>
      <c r="V809" s="315">
        <f>P809</f>
        <v/>
      </c>
      <c r="W809" s="314" t="n"/>
      <c r="X809" s="315">
        <f>P809</f>
        <v/>
      </c>
      <c r="Y809" s="316">
        <f>S809/$B$612*100</f>
        <v/>
      </c>
      <c r="Z809" s="46" t="n"/>
      <c r="AA809" s="313">
        <f>+V809-I809</f>
        <v/>
      </c>
    </row>
    <row r="810">
      <c r="A810" s="73" t="n">
        <v>179</v>
      </c>
      <c r="B810" s="289">
        <f>+F809</f>
        <v/>
      </c>
      <c r="C810" s="287">
        <f>(IF(A810&lt;$B$613,PMT($B$614/12,$B$613,-$B$612,$B$617,$B$620),IF(A810=$B$613,PMT($B$614/12,$B$613,-$B$612,$B$617,$B$620)+$B$617,0)))</f>
        <v/>
      </c>
      <c r="D810" s="289">
        <f>IF(A810&lt;=$B$613,B810*$B$614/12,0)</f>
        <v/>
      </c>
      <c r="E810" s="289">
        <f>C810-D810</f>
        <v/>
      </c>
      <c r="F810" s="314">
        <f>(B810-E810)</f>
        <v/>
      </c>
      <c r="G810" s="112">
        <f>B810*(1-B$621)^($A810)</f>
        <v/>
      </c>
      <c r="H810" s="112">
        <f>IF(A810&lt;=$B$613,G810*$B$614/12,0)</f>
        <v/>
      </c>
      <c r="I810" s="315">
        <f>C810</f>
        <v/>
      </c>
      <c r="J810" s="314" t="n"/>
      <c r="K810" s="315">
        <f>C810</f>
        <v/>
      </c>
      <c r="L810" s="316">
        <f>F810/$B$612*100</f>
        <v/>
      </c>
      <c r="M810" s="317" t="n"/>
      <c r="N810" s="73" t="n">
        <v>179</v>
      </c>
      <c r="O810" s="289">
        <f>+S809</f>
        <v/>
      </c>
      <c r="P810" s="287">
        <f>(IF(N810&lt;$B$613,PMT($B$615/12,$B$613,-$B$612,$B$617,0),IF(N810=$B$613,PMT($B$615/12,$B$613,-$B$612,$B$617,0)+$B$617,0)))</f>
        <v/>
      </c>
      <c r="Q810" s="289">
        <f>IF(N810&lt;=$B$613,O810*$B$615/12,0)</f>
        <v/>
      </c>
      <c r="R810" s="289">
        <f>P810-Q810</f>
        <v/>
      </c>
      <c r="S810" s="314">
        <f>(O810-R810)</f>
        <v/>
      </c>
      <c r="T810" s="112">
        <f>O810*(1-B$621)^($N810)</f>
        <v/>
      </c>
      <c r="U810" s="112">
        <f>IF(N810&lt;=$B$613,T810*$B$615/12,0)</f>
        <v/>
      </c>
      <c r="V810" s="315">
        <f>P810</f>
        <v/>
      </c>
      <c r="W810" s="314" t="n"/>
      <c r="X810" s="315">
        <f>P810</f>
        <v/>
      </c>
      <c r="Y810" s="316">
        <f>S810/$B$612*100</f>
        <v/>
      </c>
      <c r="Z810" s="46" t="n"/>
      <c r="AA810" s="313">
        <f>+V810-I810</f>
        <v/>
      </c>
    </row>
    <row r="811">
      <c r="A811" s="73" t="n">
        <v>180</v>
      </c>
      <c r="B811" s="289">
        <f>+F810</f>
        <v/>
      </c>
      <c r="C811" s="287">
        <f>(IF(A811&lt;$B$613,PMT($B$614/12,$B$613,-$B$612,$B$617,$B$620),IF(A811=$B$613,PMT($B$614/12,$B$613,-$B$612,$B$617,$B$620)+$B$617,0)))</f>
        <v/>
      </c>
      <c r="D811" s="289">
        <f>IF(A811&lt;=$B$613,B811*$B$614/12,0)</f>
        <v/>
      </c>
      <c r="E811" s="289">
        <f>C811-D811</f>
        <v/>
      </c>
      <c r="F811" s="314">
        <f>(B811-E811)</f>
        <v/>
      </c>
      <c r="G811" s="112">
        <f>B811*(1-B$621)^($A811)</f>
        <v/>
      </c>
      <c r="H811" s="112">
        <f>IF(A811&lt;=$B$613,G811*$B$614/12,0)</f>
        <v/>
      </c>
      <c r="I811" s="315">
        <f>C811</f>
        <v/>
      </c>
      <c r="J811" s="314" t="n"/>
      <c r="K811" s="315">
        <f>C811</f>
        <v/>
      </c>
      <c r="L811" s="316">
        <f>F811/$B$612*100</f>
        <v/>
      </c>
      <c r="M811" s="317" t="n"/>
      <c r="N811" s="73" t="n">
        <v>180</v>
      </c>
      <c r="O811" s="289">
        <f>+S810</f>
        <v/>
      </c>
      <c r="P811" s="287">
        <f>(IF(N811&lt;$B$613,PMT($B$615/12,$B$613,-$B$612,$B$617,0),IF(N811=$B$613,PMT($B$615/12,$B$613,-$B$612,$B$617,0)+$B$617,0)))</f>
        <v/>
      </c>
      <c r="Q811" s="289">
        <f>IF(N811&lt;=$B$613,O811*$B$615/12,0)</f>
        <v/>
      </c>
      <c r="R811" s="289">
        <f>P811-Q811</f>
        <v/>
      </c>
      <c r="S811" s="314">
        <f>(O811-R811)</f>
        <v/>
      </c>
      <c r="T811" s="112">
        <f>O811*(1-B$621)^($N811)</f>
        <v/>
      </c>
      <c r="U811" s="112">
        <f>IF(N811&lt;=$B$613,T811*$B$615/12,0)</f>
        <v/>
      </c>
      <c r="V811" s="315">
        <f>P811</f>
        <v/>
      </c>
      <c r="W811" s="314" t="n"/>
      <c r="X811" s="315">
        <f>P811</f>
        <v/>
      </c>
      <c r="Y811" s="316">
        <f>S811/$B$612*100</f>
        <v/>
      </c>
      <c r="Z811" s="46" t="n"/>
      <c r="AA811" s="313">
        <f>+V811-I811</f>
        <v/>
      </c>
    </row>
    <row r="812">
      <c r="A812" s="73" t="n">
        <v>181</v>
      </c>
      <c r="B812" s="289">
        <f>+F811</f>
        <v/>
      </c>
      <c r="C812" s="287">
        <f>(IF(A812&lt;$B$613,PMT($B$614/12,$B$613,-$B$612,$B$617,$B$620),IF(A812=$B$613,PMT($B$614/12,$B$613,-$B$612,$B$617,$B$620)+$B$617,0)))</f>
        <v/>
      </c>
      <c r="D812" s="289">
        <f>IF(A812&lt;=$B$613,B812*$B$614/12,0)</f>
        <v/>
      </c>
      <c r="E812" s="289">
        <f>C812-D812</f>
        <v/>
      </c>
      <c r="F812" s="314">
        <f>(B812-E812)</f>
        <v/>
      </c>
      <c r="G812" s="112">
        <f>B812*(1-B$621)^($A812)</f>
        <v/>
      </c>
      <c r="H812" s="112">
        <f>IF(A812&lt;=$B$613,G812*$B$614/12,0)</f>
        <v/>
      </c>
      <c r="I812" s="315">
        <f>C812</f>
        <v/>
      </c>
      <c r="J812" s="314" t="n"/>
      <c r="K812" s="315">
        <f>C812</f>
        <v/>
      </c>
      <c r="L812" s="316">
        <f>F812/$B$612*100</f>
        <v/>
      </c>
      <c r="M812" s="317" t="n"/>
      <c r="N812" s="73" t="n">
        <v>181</v>
      </c>
      <c r="O812" s="289">
        <f>+S811</f>
        <v/>
      </c>
      <c r="P812" s="287">
        <f>(IF(N812&lt;$B$613,PMT($B$615/12,$B$613,-$B$612,$B$617,0),IF(N812=$B$613,PMT($B$615/12,$B$613,-$B$612,$B$617,0)+$B$617,0)))</f>
        <v/>
      </c>
      <c r="Q812" s="289">
        <f>IF(N812&lt;=$B$613,O812*$B$615/12,0)</f>
        <v/>
      </c>
      <c r="R812" s="289">
        <f>P812-Q812</f>
        <v/>
      </c>
      <c r="S812" s="314">
        <f>(O812-R812)</f>
        <v/>
      </c>
      <c r="T812" s="112">
        <f>O812*(1-B$621)^($N812)</f>
        <v/>
      </c>
      <c r="U812" s="112">
        <f>IF(N812&lt;=$B$613,T812*$B$615/12,0)</f>
        <v/>
      </c>
      <c r="V812" s="315">
        <f>P812</f>
        <v/>
      </c>
      <c r="W812" s="314" t="n"/>
      <c r="X812" s="315">
        <f>P812</f>
        <v/>
      </c>
      <c r="Y812" s="316">
        <f>S812/$B$612*100</f>
        <v/>
      </c>
      <c r="Z812" s="46" t="n"/>
      <c r="AA812" s="313">
        <f>+V812-I812</f>
        <v/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priority="1" operator="greaterThan" dxfId="0">
      <formula>$D$33</formula>
    </cfRule>
  </conditionalFormatting>
  <printOptions horizontalCentered="1"/>
  <pageMargins left="0" right="0" top="0.7874015748031497" bottom="0.7874015748031497" header="0" footer="0"/>
  <pageSetup orientation="landscape" scale="9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s.vanvyve</dc:creator>
  <dcterms:created xmlns:dcterms="http://purl.org/dc/terms/" xmlns:xsi="http://www.w3.org/2001/XMLSchema-instance" xsi:type="dcterms:W3CDTF">2016-01-06T13:33:05Z</dcterms:created>
  <dcterms:modified xmlns:dcterms="http://purl.org/dc/terms/" xmlns:xsi="http://www.w3.org/2001/XMLSchema-instance" xsi:type="dcterms:W3CDTF">2026-03-16T20:19:56Z</dcterms:modified>
  <cp:lastModifiedBy>Celine OTT</cp:lastModifiedBy>
</cp:coreProperties>
</file>

<file path=docProps/custom.xml><?xml version="1.0" encoding="utf-8"?>
<Properties xmlns="http://schemas.openxmlformats.org/officeDocument/2006/custom-properties">
  <property name="SV_QUERY_LIST_4F35BF76-6C0D-4D9B-82B2-816C12CF3733" fmtid="{D5CDD505-2E9C-101B-9397-08002B2CF9AE}" pid="2">
    <vt:lpwstr xmlns:vt="http://schemas.openxmlformats.org/officeDocument/2006/docPropsVTypes">empty_477D106A-C0D6-4607-AEBD-E2C9D60EA279</vt:lpwstr>
  </property>
  <property name="SV_HIDDEN_GRID_QUERY_LIST_4F35BF76-6C0D-4D9B-82B2-816C12CF3733" fmtid="{D5CDD505-2E9C-101B-9397-08002B2CF9AE}" pid="3">
    <vt:lpwstr xmlns:vt="http://schemas.openxmlformats.org/officeDocument/2006/docPropsVTypes">empty_477D106A-C0D6-4607-AEBD-E2C9D60EA279</vt:lpwstr>
  </property>
  <property name="ContentTypeId" fmtid="{D5CDD505-2E9C-101B-9397-08002B2CF9AE}" pid="4">
    <vt:lpwstr xmlns:vt="http://schemas.openxmlformats.org/officeDocument/2006/docPropsVTypes">0x010100B3EB7CCFA52A4D42B4A780DAE113ADF6</vt:lpwstr>
  </property>
  <property name="MediaServiceImageTags" fmtid="{D5CDD505-2E9C-101B-9397-08002B2CF9AE}" pid="5">
    <vt:lpwstr xmlns:vt="http://schemas.openxmlformats.org/officeDocument/2006/docPropsVTypes"/>
  </property>
  <property name="MSIP_Label_48ed5431-0ab7-4c1b-98f4-d4e50f674d02_Enabled" fmtid="{D5CDD505-2E9C-101B-9397-08002B2CF9AE}" pid="6">
    <vt:lpwstr xmlns:vt="http://schemas.openxmlformats.org/officeDocument/2006/docPropsVTypes">true</vt:lpwstr>
  </property>
  <property name="MSIP_Label_48ed5431-0ab7-4c1b-98f4-d4e50f674d02_SetDate" fmtid="{D5CDD505-2E9C-101B-9397-08002B2CF9AE}" pid="7">
    <vt:lpwstr xmlns:vt="http://schemas.openxmlformats.org/officeDocument/2006/docPropsVTypes">2025-10-14T16:41:41Z</vt:lpwstr>
  </property>
  <property name="MSIP_Label_48ed5431-0ab7-4c1b-98f4-d4e50f674d02_Method" fmtid="{D5CDD505-2E9C-101B-9397-08002B2CF9AE}" pid="8">
    <vt:lpwstr xmlns:vt="http://schemas.openxmlformats.org/officeDocument/2006/docPropsVTypes">Privileged</vt:lpwstr>
  </property>
  <property name="MSIP_Label_48ed5431-0ab7-4c1b-98f4-d4e50f674d02_Name" fmtid="{D5CDD505-2E9C-101B-9397-08002B2CF9AE}" pid="9">
    <vt:lpwstr xmlns:vt="http://schemas.openxmlformats.org/officeDocument/2006/docPropsVTypes">48ed5431-0ab7-4c1b-98f4-d4e50f674d02</vt:lpwstr>
  </property>
  <property name="MSIP_Label_48ed5431-0ab7-4c1b-98f4-d4e50f674d02_SiteId" fmtid="{D5CDD505-2E9C-101B-9397-08002B2CF9AE}" pid="10">
    <vt:lpwstr xmlns:vt="http://schemas.openxmlformats.org/officeDocument/2006/docPropsVTypes">614f9c25-bffa-42c7-86d8-964101f55fa2</vt:lpwstr>
  </property>
  <property name="MSIP_Label_48ed5431-0ab7-4c1b-98f4-d4e50f674d02_ActionId" fmtid="{D5CDD505-2E9C-101B-9397-08002B2CF9AE}" pid="11">
    <vt:lpwstr xmlns:vt="http://schemas.openxmlformats.org/officeDocument/2006/docPropsVTypes">20cc8503-e4a1-4095-95a1-2e19c1f2da3f</vt:lpwstr>
  </property>
  <property name="MSIP_Label_48ed5431-0ab7-4c1b-98f4-d4e50f674d02_ContentBits" fmtid="{D5CDD505-2E9C-101B-9397-08002B2CF9AE}" pid="12">
    <vt:lpwstr xmlns:vt="http://schemas.openxmlformats.org/officeDocument/2006/docPropsVTypes">0</vt:lpwstr>
  </property>
  <property name="MSIP_Label_48ed5431-0ab7-4c1b-98f4-d4e50f674d02_Tag" fmtid="{D5CDD505-2E9C-101B-9397-08002B2CF9AE}" pid="13">
    <vt:lpwstr xmlns:vt="http://schemas.openxmlformats.org/officeDocument/2006/docPropsVTypes">10, 0, 1, 1</vt:lpwstr>
  </property>
  <property name="Order" fmtid="{D5CDD505-2E9C-101B-9397-08002B2CF9AE}" pid="14">
    <vt:r8 xmlns:vt="http://schemas.openxmlformats.org/officeDocument/2006/docPropsVTypes">33600</vt:r8>
  </property>
  <property name="xd_Signature" fmtid="{D5CDD505-2E9C-101B-9397-08002B2CF9AE}" pid="15">
    <vt:bool xmlns:vt="http://schemas.openxmlformats.org/officeDocument/2006/docPropsVTypes">0</vt:bool>
  </property>
  <property name="xd_ProgID" fmtid="{D5CDD505-2E9C-101B-9397-08002B2CF9AE}" pid="16">
    <vt:lpwstr xmlns:vt="http://schemas.openxmlformats.org/officeDocument/2006/docPropsVTypes"/>
  </property>
  <property name="ComplianceAssetId" fmtid="{D5CDD505-2E9C-101B-9397-08002B2CF9AE}" pid="17">
    <vt:lpwstr xmlns:vt="http://schemas.openxmlformats.org/officeDocument/2006/docPropsVTypes"/>
  </property>
  <property name="TemplateUrl" fmtid="{D5CDD505-2E9C-101B-9397-08002B2CF9AE}" pid="18">
    <vt:lpwstr xmlns:vt="http://schemas.openxmlformats.org/officeDocument/2006/docPropsVTypes"/>
  </property>
  <property name="_ExtendedDescription" fmtid="{D5CDD505-2E9C-101B-9397-08002B2CF9AE}" pid="19">
    <vt:lpwstr xmlns:vt="http://schemas.openxmlformats.org/officeDocument/2006/docPropsVTypes"/>
  </property>
  <property name="TriggerFlowInfo" fmtid="{D5CDD505-2E9C-101B-9397-08002B2CF9AE}" pid="20">
    <vt:lpwstr xmlns:vt="http://schemas.openxmlformats.org/officeDocument/2006/docPropsVTypes"/>
  </property>
</Properties>
</file>