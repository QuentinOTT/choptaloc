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ent\Downloads\"/>
    </mc:Choice>
  </mc:AlternateContent>
  <xr:revisionPtr revIDLastSave="0" documentId="8_{89B06644-4656-4800-9A84-BCFF8D51D84D}" xr6:coauthVersionLast="47" xr6:coauthVersionMax="47" xr10:uidLastSave="{00000000-0000-0000-0000-000000000000}"/>
  <bookViews>
    <workbookView xWindow="-120" yWindow="-120" windowWidth="29040" windowHeight="15720" tabRatio="270" firstSheet="2" activeTab="3" xr2:uid="{00000000-000D-0000-FFFF-FFFF00000000}"/>
  </bookViews>
  <sheets>
    <sheet name="Tarification LOA BALLON" sheetId="1" state="hidden" r:id="rId1"/>
    <sheet name="compensation" sheetId="2" r:id="rId2"/>
    <sheet name="CALCULETTE" sheetId="3" r:id="rId3"/>
    <sheet name="CALCULETTE (2)" sheetId="4" r:id="rId4"/>
  </sheets>
  <externalReferences>
    <externalReference r:id="rId5"/>
    <externalReference r:id="rId6"/>
    <externalReference r:id="rId7"/>
  </externalReferences>
  <definedNames>
    <definedName name="_1er_Loyer_demandé">[1]Paramètres!$C$9</definedName>
    <definedName name="_Ph2">#REF!</definedName>
    <definedName name="_Ph3">#REF!</definedName>
    <definedName name="AAAA">#REF!</definedName>
    <definedName name="aaaaaaaaa">#REF!</definedName>
    <definedName name="Argus.3">#REF!</definedName>
    <definedName name="Argus2">#REF!</definedName>
    <definedName name="Argus3">#REF!</definedName>
    <definedName name="ARGUS4">#REF!</definedName>
    <definedName name="Durée_totale">[1]Calculs!$C$12</definedName>
    <definedName name="e">#REF!</definedName>
    <definedName name="Edd">#REF!</definedName>
    <definedName name="ee">#REF!</definedName>
    <definedName name="EfficPh2">#REF!</definedName>
    <definedName name="EfficPh3">#REF!</definedName>
    <definedName name="JOURS_FERIES">#REF!</definedName>
    <definedName name="Langage">#REF!</definedName>
    <definedName name="prelevimp">#REF!</definedName>
    <definedName name="prelevp">#REF!</definedName>
    <definedName name="Print_Area_1">#REF!</definedName>
    <definedName name="Print_Area_2">#REF!</definedName>
    <definedName name="Prix_TTC">[1]Calculs!$C$9</definedName>
    <definedName name="ProfilycReport">[2]VAT!#REF!</definedName>
    <definedName name="Taux">[1]Calculs!$C$18</definedName>
    <definedName name="TLITSAV">#REF!</definedName>
    <definedName name="TVA_achat">[1]Paramètres!$C$3</definedName>
    <definedName name="TVA_Détaxe">[1]Paramètres!$C$5</definedName>
    <definedName name="TxDA">#REF!</definedName>
    <definedName name="TxRA_Prod">[2]VAT!#REF!</definedName>
    <definedName name="TxRA_Prod_Nb">[2]VAT!#REF!</definedName>
    <definedName name="TxRef">#REF!</definedName>
    <definedName name="txretimp">#REF!</definedName>
    <definedName name="Txretraite">#REF!</definedName>
    <definedName name="TxsalSOF">#REF!</definedName>
    <definedName name="TxSS">#REF!</definedName>
    <definedName name="TxTransfo">#REF!</definedName>
    <definedName name="zz_LB_PGA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19" i="3" l="1"/>
  <c r="B618" i="3"/>
  <c r="E369" i="3"/>
  <c r="H329" i="3"/>
  <c r="E321" i="3"/>
  <c r="L285" i="3"/>
  <c r="K285" i="3"/>
  <c r="J285" i="3"/>
  <c r="M260" i="3"/>
  <c r="H246" i="3"/>
  <c r="K243" i="3"/>
  <c r="J243" i="3"/>
  <c r="B236" i="3"/>
  <c r="B237" i="3" s="1"/>
  <c r="L229" i="3"/>
  <c r="K213" i="3"/>
  <c r="J213" i="3"/>
  <c r="I213" i="3"/>
  <c r="J200" i="3"/>
  <c r="I200" i="3"/>
  <c r="F186" i="3"/>
  <c r="E186" i="3"/>
  <c r="F176" i="3"/>
  <c r="E176" i="3"/>
  <c r="J164" i="3"/>
  <c r="L156" i="3"/>
  <c r="L154" i="3"/>
  <c r="K154" i="3"/>
  <c r="G145" i="3"/>
  <c r="F145" i="3"/>
  <c r="E145" i="3"/>
  <c r="K137" i="3"/>
  <c r="J137" i="3"/>
  <c r="I137" i="3"/>
  <c r="M131" i="3"/>
  <c r="J127" i="3"/>
  <c r="I127" i="3"/>
  <c r="E123" i="3"/>
  <c r="L118" i="3"/>
  <c r="K118" i="3"/>
  <c r="J118" i="3"/>
  <c r="J114" i="3"/>
  <c r="I114" i="3"/>
  <c r="H114" i="3"/>
  <c r="H111" i="3"/>
  <c r="G111" i="3"/>
  <c r="F111" i="3"/>
  <c r="G108" i="3"/>
  <c r="G101" i="3"/>
  <c r="E101" i="3"/>
  <c r="F98" i="3"/>
  <c r="E98" i="3"/>
  <c r="F97" i="3"/>
  <c r="G94" i="3"/>
  <c r="F94" i="3"/>
  <c r="E94" i="3"/>
  <c r="F91" i="3"/>
  <c r="E91" i="3"/>
  <c r="E88" i="3"/>
  <c r="E84" i="3"/>
  <c r="E81" i="3"/>
  <c r="M77" i="3"/>
  <c r="M74" i="3"/>
  <c r="M70" i="3"/>
  <c r="M67" i="3"/>
  <c r="E65" i="3"/>
  <c r="H62" i="3"/>
  <c r="G62" i="3"/>
  <c r="F62" i="3"/>
  <c r="G60" i="3"/>
  <c r="J59" i="3"/>
  <c r="I59" i="3"/>
  <c r="J57" i="3"/>
  <c r="I57" i="3"/>
  <c r="B55" i="3"/>
  <c r="B56" i="3" s="1"/>
  <c r="M54" i="3"/>
  <c r="L54" i="3"/>
  <c r="K54" i="3"/>
  <c r="B54" i="3"/>
  <c r="M49" i="3"/>
  <c r="L49" i="3"/>
  <c r="K49" i="3"/>
  <c r="J49" i="3"/>
  <c r="I49" i="3"/>
  <c r="H49" i="3"/>
  <c r="G49" i="3"/>
  <c r="F49" i="3"/>
  <c r="E49" i="3"/>
  <c r="M48" i="3"/>
  <c r="L48" i="3"/>
  <c r="K48" i="3"/>
  <c r="J48" i="3"/>
  <c r="I48" i="3"/>
  <c r="H48" i="3"/>
  <c r="G48" i="3"/>
  <c r="F48" i="3"/>
  <c r="E48" i="3"/>
  <c r="M47" i="3"/>
  <c r="L47" i="3"/>
  <c r="K47" i="3"/>
  <c r="J47" i="3"/>
  <c r="I47" i="3"/>
  <c r="H47" i="3"/>
  <c r="G47" i="3"/>
  <c r="F47" i="3"/>
  <c r="E47" i="3"/>
  <c r="M46" i="3"/>
  <c r="L46" i="3"/>
  <c r="K46" i="3"/>
  <c r="J46" i="3"/>
  <c r="I46" i="3"/>
  <c r="H46" i="3"/>
  <c r="G46" i="3"/>
  <c r="F46" i="3"/>
  <c r="E46" i="3"/>
  <c r="M45" i="3"/>
  <c r="L45" i="3"/>
  <c r="K45" i="3"/>
  <c r="J45" i="3"/>
  <c r="I45" i="3"/>
  <c r="H45" i="3"/>
  <c r="G45" i="3"/>
  <c r="F45" i="3"/>
  <c r="E45" i="3"/>
  <c r="M43" i="3"/>
  <c r="M42" i="3"/>
  <c r="L42" i="3"/>
  <c r="K42" i="3"/>
  <c r="J42" i="3"/>
  <c r="I42" i="3"/>
  <c r="H42" i="3"/>
  <c r="G42" i="3"/>
  <c r="F42" i="3"/>
  <c r="E42" i="3"/>
  <c r="E40" i="3"/>
  <c r="N38" i="3"/>
  <c r="M33" i="3"/>
  <c r="L33" i="3"/>
  <c r="K33" i="3"/>
  <c r="J33" i="3"/>
  <c r="I33" i="3"/>
  <c r="H33" i="3"/>
  <c r="G33" i="3"/>
  <c r="F33" i="3"/>
  <c r="E33" i="3"/>
  <c r="N28" i="3"/>
  <c r="M28" i="3"/>
  <c r="L28" i="3"/>
  <c r="K28" i="3"/>
  <c r="J28" i="3"/>
  <c r="I28" i="3"/>
  <c r="H28" i="3"/>
  <c r="G28" i="3"/>
  <c r="F28" i="3"/>
  <c r="E28" i="3"/>
  <c r="D26" i="3"/>
  <c r="B614" i="3" s="1"/>
  <c r="D25" i="3"/>
  <c r="B615" i="3" s="1"/>
  <c r="D24" i="3"/>
  <c r="D20" i="3"/>
  <c r="E610" i="3" s="1"/>
  <c r="M1" i="3"/>
  <c r="M115" i="3" s="1"/>
  <c r="L1" i="3"/>
  <c r="L115" i="3" s="1"/>
  <c r="K1" i="3"/>
  <c r="K329" i="3" s="1"/>
  <c r="J1" i="3"/>
  <c r="J329" i="3" s="1"/>
  <c r="I1" i="3"/>
  <c r="I243" i="3" s="1"/>
  <c r="H1" i="3"/>
  <c r="H386" i="3" s="1"/>
  <c r="G1" i="3"/>
  <c r="G104" i="3" s="1"/>
  <c r="F1" i="3"/>
  <c r="F104" i="3" s="1"/>
  <c r="E1" i="3"/>
  <c r="B19" i="2"/>
  <c r="J10" i="2"/>
  <c r="C9" i="2"/>
  <c r="B9" i="2"/>
  <c r="D29" i="3" s="1"/>
  <c r="K8" i="2"/>
  <c r="B5" i="2"/>
  <c r="D22" i="3" s="1"/>
  <c r="S86" i="1"/>
  <c r="U86" i="1" s="1"/>
  <c r="U85" i="1"/>
  <c r="S85" i="1"/>
  <c r="S84" i="1"/>
  <c r="U84" i="1" s="1"/>
  <c r="S83" i="1"/>
  <c r="U83" i="1" s="1"/>
  <c r="S82" i="1"/>
  <c r="U82" i="1" s="1"/>
  <c r="S81" i="1"/>
  <c r="U81" i="1" s="1"/>
  <c r="S80" i="1"/>
  <c r="U80" i="1" s="1"/>
  <c r="S79" i="1"/>
  <c r="U79" i="1" s="1"/>
  <c r="S78" i="1"/>
  <c r="U78" i="1" s="1"/>
  <c r="U77" i="1"/>
  <c r="S77" i="1"/>
  <c r="S76" i="1"/>
  <c r="U76" i="1" s="1"/>
  <c r="S75" i="1"/>
  <c r="U75" i="1" s="1"/>
  <c r="S74" i="1"/>
  <c r="U74" i="1" s="1"/>
  <c r="S73" i="1"/>
  <c r="U73" i="1" s="1"/>
  <c r="S72" i="1"/>
  <c r="U72" i="1" s="1"/>
  <c r="S71" i="1"/>
  <c r="U71" i="1" s="1"/>
  <c r="U70" i="1"/>
  <c r="S70" i="1"/>
  <c r="U69" i="1"/>
  <c r="S69" i="1"/>
  <c r="S68" i="1"/>
  <c r="U68" i="1" s="1"/>
  <c r="S67" i="1"/>
  <c r="U67" i="1" s="1"/>
  <c r="S66" i="1"/>
  <c r="U66" i="1" s="1"/>
  <c r="S65" i="1"/>
  <c r="U65" i="1" s="1"/>
  <c r="S64" i="1"/>
  <c r="U64" i="1" s="1"/>
  <c r="S63" i="1"/>
  <c r="U63" i="1" s="1"/>
  <c r="S62" i="1"/>
  <c r="U62" i="1" s="1"/>
  <c r="U61" i="1"/>
  <c r="S61" i="1"/>
  <c r="S60" i="1"/>
  <c r="U60" i="1" s="1"/>
  <c r="S59" i="1"/>
  <c r="U59" i="1" s="1"/>
  <c r="S58" i="1"/>
  <c r="U58" i="1" s="1"/>
  <c r="S57" i="1"/>
  <c r="U57" i="1" s="1"/>
  <c r="S56" i="1"/>
  <c r="U56" i="1" s="1"/>
  <c r="S55" i="1"/>
  <c r="U55" i="1" s="1"/>
  <c r="U54" i="1"/>
  <c r="S54" i="1"/>
  <c r="S53" i="1"/>
  <c r="U53" i="1" s="1"/>
  <c r="S52" i="1"/>
  <c r="U52" i="1" s="1"/>
  <c r="S51" i="1"/>
  <c r="U51" i="1" s="1"/>
  <c r="S50" i="1"/>
  <c r="U50" i="1" s="1"/>
  <c r="S49" i="1"/>
  <c r="U49" i="1" s="1"/>
  <c r="S48" i="1"/>
  <c r="U48" i="1" s="1"/>
  <c r="S47" i="1"/>
  <c r="U47" i="1" s="1"/>
  <c r="S46" i="1"/>
  <c r="U46" i="1" s="1"/>
  <c r="U45" i="1"/>
  <c r="S45" i="1"/>
  <c r="S44" i="1"/>
  <c r="U44" i="1" s="1"/>
  <c r="S43" i="1"/>
  <c r="U43" i="1" s="1"/>
  <c r="S42" i="1"/>
  <c r="U42" i="1" s="1"/>
  <c r="S41" i="1"/>
  <c r="U41" i="1" s="1"/>
  <c r="S40" i="1"/>
  <c r="U40" i="1" s="1"/>
  <c r="S39" i="1"/>
  <c r="U39" i="1" s="1"/>
  <c r="S38" i="1"/>
  <c r="U38" i="1" s="1"/>
  <c r="S37" i="1"/>
  <c r="U37" i="1" s="1"/>
  <c r="S36" i="1"/>
  <c r="U36" i="1" s="1"/>
  <c r="S35" i="1"/>
  <c r="U35" i="1" s="1"/>
  <c r="S34" i="1"/>
  <c r="U34" i="1" s="1"/>
  <c r="S33" i="1"/>
  <c r="U33" i="1" s="1"/>
  <c r="S32" i="1"/>
  <c r="U32" i="1" s="1"/>
  <c r="S31" i="1"/>
  <c r="U31" i="1" s="1"/>
  <c r="S30" i="1"/>
  <c r="U30" i="1" s="1"/>
  <c r="U29" i="1"/>
  <c r="S29" i="1"/>
  <c r="S28" i="1"/>
  <c r="U28" i="1" s="1"/>
  <c r="S27" i="1"/>
  <c r="U27" i="1" s="1"/>
  <c r="S26" i="1"/>
  <c r="U26" i="1" s="1"/>
  <c r="S25" i="1"/>
  <c r="U25" i="1" s="1"/>
  <c r="S24" i="1"/>
  <c r="U24" i="1" s="1"/>
  <c r="S23" i="1"/>
  <c r="U23" i="1" s="1"/>
  <c r="S22" i="1"/>
  <c r="U22" i="1" s="1"/>
  <c r="S21" i="1"/>
  <c r="U21" i="1" s="1"/>
  <c r="S20" i="1"/>
  <c r="U20" i="1" s="1"/>
  <c r="S19" i="1"/>
  <c r="U19" i="1" s="1"/>
  <c r="S18" i="1"/>
  <c r="U18" i="1" s="1"/>
  <c r="S17" i="1"/>
  <c r="U17" i="1" s="1"/>
  <c r="S16" i="1"/>
  <c r="U16" i="1" s="1"/>
  <c r="S15" i="1"/>
  <c r="U15" i="1" s="1"/>
  <c r="S14" i="1"/>
  <c r="U14" i="1" s="1"/>
  <c r="S13" i="1"/>
  <c r="U13" i="1" s="1"/>
  <c r="S12" i="1"/>
  <c r="U12" i="1" s="1"/>
  <c r="S11" i="1"/>
  <c r="U11" i="1" s="1"/>
  <c r="S10" i="1"/>
  <c r="U10" i="1" s="1"/>
  <c r="S9" i="1"/>
  <c r="U9" i="1" s="1"/>
  <c r="S8" i="1"/>
  <c r="U8" i="1" s="1"/>
  <c r="S7" i="1"/>
  <c r="U7" i="1" s="1"/>
  <c r="U6" i="1"/>
  <c r="S6" i="1"/>
  <c r="S5" i="1"/>
  <c r="U5" i="1" s="1"/>
  <c r="S4" i="1"/>
  <c r="U4" i="1" s="1"/>
  <c r="B619" i="4"/>
  <c r="B618" i="4"/>
  <c r="J414" i="4"/>
  <c r="G343" i="4"/>
  <c r="G332" i="4"/>
  <c r="I330" i="4"/>
  <c r="G321" i="4"/>
  <c r="E319" i="4"/>
  <c r="J311" i="4"/>
  <c r="E304" i="4"/>
  <c r="K302" i="4"/>
  <c r="K295" i="4"/>
  <c r="F294" i="4"/>
  <c r="J289" i="4"/>
  <c r="F288" i="4"/>
  <c r="L283" i="4"/>
  <c r="H282" i="4"/>
  <c r="F278" i="4"/>
  <c r="L273" i="4"/>
  <c r="L272" i="4"/>
  <c r="G269" i="4"/>
  <c r="M264" i="4"/>
  <c r="J263" i="4"/>
  <c r="K259" i="4"/>
  <c r="E259" i="4"/>
  <c r="G255" i="4"/>
  <c r="M254" i="4"/>
  <c r="M251" i="4"/>
  <c r="L250" i="4"/>
  <c r="K247" i="4"/>
  <c r="H247" i="4"/>
  <c r="K243" i="4"/>
  <c r="G243" i="4"/>
  <c r="I240" i="4"/>
  <c r="F240" i="4"/>
  <c r="H237" i="4"/>
  <c r="H236" i="4"/>
  <c r="B236" i="4"/>
  <c r="B237" i="4" s="1"/>
  <c r="F232" i="4"/>
  <c r="E231" i="4"/>
  <c r="G228" i="4"/>
  <c r="F225" i="4"/>
  <c r="E222" i="4"/>
  <c r="G218" i="4"/>
  <c r="E215" i="4"/>
  <c r="M214" i="4"/>
  <c r="M211" i="4"/>
  <c r="M207" i="4"/>
  <c r="M204" i="4"/>
  <c r="L204" i="4"/>
  <c r="M201" i="4"/>
  <c r="K201" i="4"/>
  <c r="M198" i="4"/>
  <c r="L198" i="4"/>
  <c r="M197" i="4"/>
  <c r="M195" i="4"/>
  <c r="E190" i="4"/>
  <c r="E189" i="4"/>
  <c r="F187" i="4"/>
  <c r="G186" i="4"/>
  <c r="I184" i="4"/>
  <c r="H184" i="4"/>
  <c r="F184" i="4"/>
  <c r="L181" i="4"/>
  <c r="K181" i="4"/>
  <c r="J181" i="4"/>
  <c r="I181" i="4"/>
  <c r="M178" i="4"/>
  <c r="L178" i="4"/>
  <c r="F174" i="4"/>
  <c r="G173" i="4"/>
  <c r="I171" i="4"/>
  <c r="H171" i="4"/>
  <c r="F171" i="4"/>
  <c r="M168" i="4"/>
  <c r="L168" i="4"/>
  <c r="K168" i="4"/>
  <c r="J168" i="4"/>
  <c r="I168" i="4"/>
  <c r="M166" i="4"/>
  <c r="L166" i="4"/>
  <c r="F164" i="4"/>
  <c r="K161" i="4"/>
  <c r="J161" i="4"/>
  <c r="I161" i="4"/>
  <c r="H161" i="4"/>
  <c r="K159" i="4"/>
  <c r="J159" i="4"/>
  <c r="I159" i="4"/>
  <c r="M158" i="4"/>
  <c r="E157" i="4"/>
  <c r="M156" i="4"/>
  <c r="L155" i="4"/>
  <c r="K155" i="4"/>
  <c r="J155" i="4"/>
  <c r="I155" i="4"/>
  <c r="H155" i="4"/>
  <c r="F154" i="4"/>
  <c r="M152" i="4"/>
  <c r="L152" i="4"/>
  <c r="K152" i="4"/>
  <c r="J152" i="4"/>
  <c r="I152" i="4"/>
  <c r="G151" i="4"/>
  <c r="M149" i="4"/>
  <c r="L149" i="4"/>
  <c r="K149" i="4"/>
  <c r="J149" i="4"/>
  <c r="H148" i="4"/>
  <c r="G148" i="4"/>
  <c r="E148" i="4"/>
  <c r="M146" i="4"/>
  <c r="L146" i="4"/>
  <c r="K146" i="4"/>
  <c r="J145" i="4"/>
  <c r="I145" i="4"/>
  <c r="H145" i="4"/>
  <c r="G145" i="4"/>
  <c r="F145" i="4"/>
  <c r="M143" i="4"/>
  <c r="L143" i="4"/>
  <c r="K142" i="4"/>
  <c r="J142" i="4"/>
  <c r="I142" i="4"/>
  <c r="H142" i="4"/>
  <c r="G142" i="4"/>
  <c r="E141" i="4"/>
  <c r="M140" i="4"/>
  <c r="L139" i="4"/>
  <c r="K139" i="4"/>
  <c r="J139" i="4"/>
  <c r="I139" i="4"/>
  <c r="H139" i="4"/>
  <c r="F138" i="4"/>
  <c r="E138" i="4"/>
  <c r="M136" i="4"/>
  <c r="L136" i="4"/>
  <c r="K136" i="4"/>
  <c r="J136" i="4"/>
  <c r="I136" i="4"/>
  <c r="H135" i="4"/>
  <c r="G135" i="4"/>
  <c r="F135" i="4"/>
  <c r="E135" i="4"/>
  <c r="M133" i="4"/>
  <c r="L133" i="4"/>
  <c r="K133" i="4"/>
  <c r="J133" i="4"/>
  <c r="I132" i="4"/>
  <c r="H132" i="4"/>
  <c r="G132" i="4"/>
  <c r="F132" i="4"/>
  <c r="E132" i="4"/>
  <c r="M130" i="4"/>
  <c r="L130" i="4"/>
  <c r="K130" i="4"/>
  <c r="J129" i="4"/>
  <c r="I129" i="4"/>
  <c r="H129" i="4"/>
  <c r="G129" i="4"/>
  <c r="F129" i="4"/>
  <c r="M127" i="4"/>
  <c r="L127" i="4"/>
  <c r="M126" i="4"/>
  <c r="K126" i="4"/>
  <c r="J126" i="4"/>
  <c r="I126" i="4"/>
  <c r="H126" i="4"/>
  <c r="G126" i="4"/>
  <c r="E125" i="4"/>
  <c r="M124" i="4"/>
  <c r="L123" i="4"/>
  <c r="K123" i="4"/>
  <c r="J123" i="4"/>
  <c r="I123" i="4"/>
  <c r="H123" i="4"/>
  <c r="G122" i="4"/>
  <c r="F122" i="4"/>
  <c r="E122" i="4"/>
  <c r="M120" i="4"/>
  <c r="L120" i="4"/>
  <c r="K120" i="4"/>
  <c r="J120" i="4"/>
  <c r="I120" i="4"/>
  <c r="J119" i="4"/>
  <c r="H119" i="4"/>
  <c r="G119" i="4"/>
  <c r="F119" i="4"/>
  <c r="E119" i="4"/>
  <c r="M117" i="4"/>
  <c r="L117" i="4"/>
  <c r="K117" i="4"/>
  <c r="J117" i="4"/>
  <c r="K116" i="4"/>
  <c r="I116" i="4"/>
  <c r="H116" i="4"/>
  <c r="G116" i="4"/>
  <c r="F116" i="4"/>
  <c r="E116" i="4"/>
  <c r="M114" i="4"/>
  <c r="L114" i="4"/>
  <c r="K114" i="4"/>
  <c r="L113" i="4"/>
  <c r="J113" i="4"/>
  <c r="I113" i="4"/>
  <c r="H113" i="4"/>
  <c r="G113" i="4"/>
  <c r="F113" i="4"/>
  <c r="E112" i="4"/>
  <c r="M111" i="4"/>
  <c r="L111" i="4"/>
  <c r="M110" i="4"/>
  <c r="K110" i="4"/>
  <c r="J110" i="4"/>
  <c r="I110" i="4"/>
  <c r="H110" i="4"/>
  <c r="G110" i="4"/>
  <c r="H109" i="4"/>
  <c r="F109" i="4"/>
  <c r="E109" i="4"/>
  <c r="M108" i="4"/>
  <c r="L107" i="4"/>
  <c r="K107" i="4"/>
  <c r="J107" i="4"/>
  <c r="I107" i="4"/>
  <c r="H107" i="4"/>
  <c r="I106" i="4"/>
  <c r="G106" i="4"/>
  <c r="F106" i="4"/>
  <c r="E106" i="4"/>
  <c r="M104" i="4"/>
  <c r="L104" i="4"/>
  <c r="K104" i="4"/>
  <c r="J104" i="4"/>
  <c r="I104" i="4"/>
  <c r="J103" i="4"/>
  <c r="H103" i="4"/>
  <c r="G103" i="4"/>
  <c r="F103" i="4"/>
  <c r="E103" i="4"/>
  <c r="M101" i="4"/>
  <c r="L101" i="4"/>
  <c r="K101" i="4"/>
  <c r="J101" i="4"/>
  <c r="K100" i="4"/>
  <c r="I100" i="4"/>
  <c r="H100" i="4"/>
  <c r="G100" i="4"/>
  <c r="F100" i="4"/>
  <c r="E100" i="4"/>
  <c r="M98" i="4"/>
  <c r="L98" i="4"/>
  <c r="K98" i="4"/>
  <c r="L97" i="4"/>
  <c r="J97" i="4"/>
  <c r="I97" i="4"/>
  <c r="H97" i="4"/>
  <c r="G97" i="4"/>
  <c r="F97" i="4"/>
  <c r="G96" i="4"/>
  <c r="E96" i="4"/>
  <c r="M95" i="4"/>
  <c r="L95" i="4"/>
  <c r="M94" i="4"/>
  <c r="K94" i="4"/>
  <c r="J94" i="4"/>
  <c r="I94" i="4"/>
  <c r="H94" i="4"/>
  <c r="G94" i="4"/>
  <c r="H93" i="4"/>
  <c r="F93" i="4"/>
  <c r="E93" i="4"/>
  <c r="M92" i="4"/>
  <c r="M91" i="4"/>
  <c r="L91" i="4"/>
  <c r="K91" i="4"/>
  <c r="J91" i="4"/>
  <c r="I91" i="4"/>
  <c r="H91" i="4"/>
  <c r="I90" i="4"/>
  <c r="G90" i="4"/>
  <c r="F90" i="4"/>
  <c r="E90" i="4"/>
  <c r="M88" i="4"/>
  <c r="L88" i="4"/>
  <c r="K88" i="4"/>
  <c r="J88" i="4"/>
  <c r="I88" i="4"/>
  <c r="J87" i="4"/>
  <c r="H87" i="4"/>
  <c r="G87" i="4"/>
  <c r="F87" i="4"/>
  <c r="E87" i="4"/>
  <c r="M85" i="4"/>
  <c r="L85" i="4"/>
  <c r="K85" i="4"/>
  <c r="J85" i="4"/>
  <c r="K84" i="4"/>
  <c r="I84" i="4"/>
  <c r="H84" i="4"/>
  <c r="G84" i="4"/>
  <c r="F84" i="4"/>
  <c r="E84" i="4"/>
  <c r="M82" i="4"/>
  <c r="L82" i="4"/>
  <c r="K82" i="4"/>
  <c r="L81" i="4"/>
  <c r="J81" i="4"/>
  <c r="I81" i="4"/>
  <c r="H81" i="4"/>
  <c r="G81" i="4"/>
  <c r="F81" i="4"/>
  <c r="G80" i="4"/>
  <c r="E80" i="4"/>
  <c r="M79" i="4"/>
  <c r="L79" i="4"/>
  <c r="M78" i="4"/>
  <c r="L78" i="4"/>
  <c r="K78" i="4"/>
  <c r="J78" i="4"/>
  <c r="I78" i="4"/>
  <c r="H78" i="4"/>
  <c r="G78" i="4"/>
  <c r="H77" i="4"/>
  <c r="F77" i="4"/>
  <c r="E77" i="4"/>
  <c r="M76" i="4"/>
  <c r="M75" i="4"/>
  <c r="L75" i="4"/>
  <c r="K75" i="4"/>
  <c r="J75" i="4"/>
  <c r="I75" i="4"/>
  <c r="H75" i="4"/>
  <c r="I74" i="4"/>
  <c r="H74" i="4"/>
  <c r="G74" i="4"/>
  <c r="F74" i="4"/>
  <c r="E74" i="4"/>
  <c r="M72" i="4"/>
  <c r="L72" i="4"/>
  <c r="K72" i="4"/>
  <c r="J72" i="4"/>
  <c r="I72" i="4"/>
  <c r="M71" i="4"/>
  <c r="J71" i="4"/>
  <c r="I71" i="4"/>
  <c r="H71" i="4"/>
  <c r="G71" i="4"/>
  <c r="F71" i="4"/>
  <c r="E71" i="4"/>
  <c r="M69" i="4"/>
  <c r="L69" i="4"/>
  <c r="K69" i="4"/>
  <c r="J69" i="4"/>
  <c r="K68" i="4"/>
  <c r="J68" i="4"/>
  <c r="I68" i="4"/>
  <c r="H68" i="4"/>
  <c r="G68" i="4"/>
  <c r="F68" i="4"/>
  <c r="E68" i="4"/>
  <c r="M66" i="4"/>
  <c r="L66" i="4"/>
  <c r="K66" i="4"/>
  <c r="M65" i="4"/>
  <c r="L65" i="4"/>
  <c r="K65" i="4"/>
  <c r="J65" i="4"/>
  <c r="I65" i="4"/>
  <c r="H65" i="4"/>
  <c r="G65" i="4"/>
  <c r="F65" i="4"/>
  <c r="G64" i="4"/>
  <c r="E64" i="4"/>
  <c r="M63" i="4"/>
  <c r="L63" i="4"/>
  <c r="M62" i="4"/>
  <c r="L62" i="4"/>
  <c r="K62" i="4"/>
  <c r="J62" i="4"/>
  <c r="I62" i="4"/>
  <c r="H62" i="4"/>
  <c r="G62" i="4"/>
  <c r="M61" i="4"/>
  <c r="H61" i="4"/>
  <c r="G61" i="4"/>
  <c r="F61" i="4"/>
  <c r="E61" i="4"/>
  <c r="M60" i="4"/>
  <c r="M59" i="4"/>
  <c r="L59" i="4"/>
  <c r="K59" i="4"/>
  <c r="J59" i="4"/>
  <c r="I59" i="4"/>
  <c r="H59" i="4"/>
  <c r="L58" i="4"/>
  <c r="I58" i="4"/>
  <c r="H58" i="4"/>
  <c r="G58" i="4"/>
  <c r="F58" i="4"/>
  <c r="E58" i="4"/>
  <c r="M56" i="4"/>
  <c r="L56" i="4"/>
  <c r="K56" i="4"/>
  <c r="J56" i="4"/>
  <c r="I56" i="4"/>
  <c r="M55" i="4"/>
  <c r="J55" i="4"/>
  <c r="I55" i="4"/>
  <c r="H55" i="4"/>
  <c r="G55" i="4"/>
  <c r="F55" i="4"/>
  <c r="E55" i="4"/>
  <c r="B54" i="4"/>
  <c r="B55" i="4" s="1"/>
  <c r="M53" i="4"/>
  <c r="L53" i="4"/>
  <c r="K53" i="4"/>
  <c r="J53" i="4"/>
  <c r="M49" i="4"/>
  <c r="L49" i="4"/>
  <c r="K49" i="4"/>
  <c r="J49" i="4"/>
  <c r="I49" i="4"/>
  <c r="H49" i="4"/>
  <c r="G49" i="4"/>
  <c r="F49" i="4"/>
  <c r="E49" i="4"/>
  <c r="D49" i="4"/>
  <c r="M48" i="4"/>
  <c r="L48" i="4"/>
  <c r="K48" i="4"/>
  <c r="J48" i="4"/>
  <c r="I48" i="4"/>
  <c r="H48" i="4"/>
  <c r="G48" i="4"/>
  <c r="F48" i="4"/>
  <c r="E48" i="4"/>
  <c r="D48" i="4"/>
  <c r="M47" i="4"/>
  <c r="L47" i="4"/>
  <c r="K47" i="4"/>
  <c r="J47" i="4"/>
  <c r="I47" i="4"/>
  <c r="H47" i="4"/>
  <c r="G47" i="4"/>
  <c r="F47" i="4"/>
  <c r="E47" i="4"/>
  <c r="D47" i="4"/>
  <c r="M46" i="4"/>
  <c r="L46" i="4"/>
  <c r="K46" i="4"/>
  <c r="J46" i="4"/>
  <c r="I46" i="4"/>
  <c r="H46" i="4"/>
  <c r="G46" i="4"/>
  <c r="F46" i="4"/>
  <c r="E46" i="4"/>
  <c r="M45" i="4"/>
  <c r="L45" i="4"/>
  <c r="K45" i="4"/>
  <c r="J45" i="4"/>
  <c r="I45" i="4"/>
  <c r="H45" i="4"/>
  <c r="G45" i="4"/>
  <c r="F45" i="4"/>
  <c r="E45" i="4"/>
  <c r="M43" i="4"/>
  <c r="L43" i="4"/>
  <c r="K43" i="4"/>
  <c r="J43" i="4"/>
  <c r="I43" i="4"/>
  <c r="H43" i="4"/>
  <c r="G43" i="4"/>
  <c r="M42" i="4"/>
  <c r="L42" i="4"/>
  <c r="K42" i="4"/>
  <c r="J42" i="4"/>
  <c r="I42" i="4"/>
  <c r="H42" i="4"/>
  <c r="G42" i="4"/>
  <c r="F42" i="4"/>
  <c r="E42" i="4"/>
  <c r="M40" i="4"/>
  <c r="L40" i="4"/>
  <c r="M36" i="4"/>
  <c r="L36" i="4"/>
  <c r="K36" i="4"/>
  <c r="J36" i="4"/>
  <c r="M33" i="4"/>
  <c r="L33" i="4"/>
  <c r="K33" i="4"/>
  <c r="J33" i="4"/>
  <c r="I33" i="4"/>
  <c r="H33" i="4"/>
  <c r="G33" i="4"/>
  <c r="F33" i="4"/>
  <c r="E33" i="4"/>
  <c r="N29" i="4"/>
  <c r="D29" i="4"/>
  <c r="N28" i="4"/>
  <c r="M28" i="4"/>
  <c r="L28" i="4"/>
  <c r="K28" i="4"/>
  <c r="J28" i="4"/>
  <c r="I28" i="4"/>
  <c r="H28" i="4"/>
  <c r="G28" i="4"/>
  <c r="F28" i="4"/>
  <c r="E28" i="4"/>
  <c r="D27" i="4"/>
  <c r="B616" i="4" s="1"/>
  <c r="B617" i="4" s="1"/>
  <c r="D26" i="4"/>
  <c r="B614" i="4" s="1"/>
  <c r="D25" i="4"/>
  <c r="B615" i="4" s="1"/>
  <c r="D24" i="4"/>
  <c r="D23" i="4"/>
  <c r="B613" i="4" s="1"/>
  <c r="C762" i="4" s="1"/>
  <c r="D22" i="4"/>
  <c r="B612" i="4" s="1"/>
  <c r="F631" i="4" s="1"/>
  <c r="D20" i="4"/>
  <c r="M1" i="4"/>
  <c r="M389" i="4" s="1"/>
  <c r="L1" i="4"/>
  <c r="L389" i="4" s="1"/>
  <c r="K1" i="4"/>
  <c r="K336" i="4" s="1"/>
  <c r="J1" i="4"/>
  <c r="J347" i="4" s="1"/>
  <c r="I1" i="4"/>
  <c r="I360" i="4" s="1"/>
  <c r="H1" i="4"/>
  <c r="H345" i="4" s="1"/>
  <c r="G1" i="4"/>
  <c r="G375" i="4" s="1"/>
  <c r="F1" i="4"/>
  <c r="F262" i="4" s="1"/>
  <c r="E1" i="4"/>
  <c r="E400" i="4" s="1"/>
  <c r="B56" i="4" l="1"/>
  <c r="K762" i="4"/>
  <c r="I762" i="4"/>
  <c r="F148" i="4"/>
  <c r="E151" i="4"/>
  <c r="G171" i="4"/>
  <c r="E176" i="4"/>
  <c r="G184" i="4"/>
  <c r="H186" i="4"/>
  <c r="F189" i="4"/>
  <c r="E192" i="4"/>
  <c r="L201" i="4"/>
  <c r="F221" i="4"/>
  <c r="E228" i="4"/>
  <c r="F231" i="4"/>
  <c r="F237" i="4"/>
  <c r="G240" i="4"/>
  <c r="H243" i="4"/>
  <c r="I247" i="4"/>
  <c r="F259" i="4"/>
  <c r="K263" i="4"/>
  <c r="H268" i="4"/>
  <c r="J273" i="4"/>
  <c r="J282" i="4"/>
  <c r="H288" i="4"/>
  <c r="H295" i="4"/>
  <c r="L302" i="4"/>
  <c r="F310" i="4"/>
  <c r="K320" i="4"/>
  <c r="J330" i="4"/>
  <c r="J341" i="4"/>
  <c r="K353" i="4"/>
  <c r="F378" i="4"/>
  <c r="K414" i="4"/>
  <c r="F151" i="4"/>
  <c r="E154" i="4"/>
  <c r="E164" i="4"/>
  <c r="E166" i="4"/>
  <c r="E174" i="4"/>
  <c r="F176" i="4"/>
  <c r="E187" i="4"/>
  <c r="E208" i="4"/>
  <c r="E218" i="4"/>
  <c r="E225" i="4"/>
  <c r="F228" i="4"/>
  <c r="H231" i="4"/>
  <c r="G237" i="4"/>
  <c r="H240" i="4"/>
  <c r="I243" i="4"/>
  <c r="J247" i="4"/>
  <c r="L251" i="4"/>
  <c r="E255" i="4"/>
  <c r="G259" i="4"/>
  <c r="F269" i="4"/>
  <c r="K273" i="4"/>
  <c r="E278" i="4"/>
  <c r="L288" i="4"/>
  <c r="I295" i="4"/>
  <c r="I311" i="4"/>
  <c r="L320" i="4"/>
  <c r="L330" i="4"/>
  <c r="F343" i="4"/>
  <c r="L353" i="4"/>
  <c r="F365" i="4"/>
  <c r="M380" i="4"/>
  <c r="M396" i="4"/>
  <c r="H812" i="4"/>
  <c r="P811" i="4"/>
  <c r="U810" i="4"/>
  <c r="D800" i="4"/>
  <c r="Q798" i="4"/>
  <c r="C797" i="4"/>
  <c r="H796" i="4"/>
  <c r="P795" i="4"/>
  <c r="U794" i="4"/>
  <c r="D784" i="4"/>
  <c r="Q782" i="4"/>
  <c r="C781" i="4"/>
  <c r="H780" i="4"/>
  <c r="P779" i="4"/>
  <c r="U778" i="4"/>
  <c r="D768" i="4"/>
  <c r="Q766" i="4"/>
  <c r="C765" i="4"/>
  <c r="H764" i="4"/>
  <c r="P763" i="4"/>
  <c r="U762" i="4"/>
  <c r="D752" i="4"/>
  <c r="Q750" i="4"/>
  <c r="C749" i="4"/>
  <c r="H748" i="4"/>
  <c r="P747" i="4"/>
  <c r="U746" i="4"/>
  <c r="D736" i="4"/>
  <c r="Q734" i="4"/>
  <c r="C733" i="4"/>
  <c r="H732" i="4"/>
  <c r="P731" i="4"/>
  <c r="U730" i="4"/>
  <c r="D803" i="4"/>
  <c r="Q801" i="4"/>
  <c r="C800" i="4"/>
  <c r="H799" i="4"/>
  <c r="P798" i="4"/>
  <c r="U797" i="4"/>
  <c r="D787" i="4"/>
  <c r="Q785" i="4"/>
  <c r="C784" i="4"/>
  <c r="H783" i="4"/>
  <c r="P782" i="4"/>
  <c r="U781" i="4"/>
  <c r="D771" i="4"/>
  <c r="Q769" i="4"/>
  <c r="C768" i="4"/>
  <c r="H767" i="4"/>
  <c r="P766" i="4"/>
  <c r="U765" i="4"/>
  <c r="D755" i="4"/>
  <c r="Q753" i="4"/>
  <c r="C752" i="4"/>
  <c r="H751" i="4"/>
  <c r="P750" i="4"/>
  <c r="U749" i="4"/>
  <c r="D806" i="4"/>
  <c r="Q804" i="4"/>
  <c r="C803" i="4"/>
  <c r="H802" i="4"/>
  <c r="P801" i="4"/>
  <c r="U800" i="4"/>
  <c r="D790" i="4"/>
  <c r="Q788" i="4"/>
  <c r="C787" i="4"/>
  <c r="H786" i="4"/>
  <c r="P785" i="4"/>
  <c r="U784" i="4"/>
  <c r="D774" i="4"/>
  <c r="Q772" i="4"/>
  <c r="C771" i="4"/>
  <c r="H770" i="4"/>
  <c r="P769" i="4"/>
  <c r="U768" i="4"/>
  <c r="D758" i="4"/>
  <c r="Q756" i="4"/>
  <c r="C755" i="4"/>
  <c r="H754" i="4"/>
  <c r="P753" i="4"/>
  <c r="U752" i="4"/>
  <c r="D742" i="4"/>
  <c r="Q740" i="4"/>
  <c r="C739" i="4"/>
  <c r="H738" i="4"/>
  <c r="P737" i="4"/>
  <c r="U736" i="4"/>
  <c r="D726" i="4"/>
  <c r="D809" i="4"/>
  <c r="Q807" i="4"/>
  <c r="C806" i="4"/>
  <c r="H805" i="4"/>
  <c r="P804" i="4"/>
  <c r="U803" i="4"/>
  <c r="D793" i="4"/>
  <c r="Q791" i="4"/>
  <c r="C790" i="4"/>
  <c r="H789" i="4"/>
  <c r="P788" i="4"/>
  <c r="U787" i="4"/>
  <c r="D777" i="4"/>
  <c r="Q775" i="4"/>
  <c r="C774" i="4"/>
  <c r="H773" i="4"/>
  <c r="P772" i="4"/>
  <c r="U771" i="4"/>
  <c r="D761" i="4"/>
  <c r="Q759" i="4"/>
  <c r="C758" i="4"/>
  <c r="H757" i="4"/>
  <c r="P756" i="4"/>
  <c r="U755" i="4"/>
  <c r="D745" i="4"/>
  <c r="Q743" i="4"/>
  <c r="C742" i="4"/>
  <c r="H741" i="4"/>
  <c r="P740" i="4"/>
  <c r="U739" i="4"/>
  <c r="D729" i="4"/>
  <c r="Q727" i="4"/>
  <c r="C726" i="4"/>
  <c r="D812" i="4"/>
  <c r="Q810" i="4"/>
  <c r="C809" i="4"/>
  <c r="H808" i="4"/>
  <c r="P807" i="4"/>
  <c r="U806" i="4"/>
  <c r="D796" i="4"/>
  <c r="Q794" i="4"/>
  <c r="C793" i="4"/>
  <c r="H792" i="4"/>
  <c r="P791" i="4"/>
  <c r="U790" i="4"/>
  <c r="D780" i="4"/>
  <c r="Q778" i="4"/>
  <c r="C777" i="4"/>
  <c r="H776" i="4"/>
  <c r="P775" i="4"/>
  <c r="U774" i="4"/>
  <c r="D764" i="4"/>
  <c r="Q762" i="4"/>
  <c r="C761" i="4"/>
  <c r="H760" i="4"/>
  <c r="P759" i="4"/>
  <c r="U758" i="4"/>
  <c r="D748" i="4"/>
  <c r="Q746" i="4"/>
  <c r="C745" i="4"/>
  <c r="H744" i="4"/>
  <c r="P743" i="4"/>
  <c r="U742" i="4"/>
  <c r="D732" i="4"/>
  <c r="Q730" i="4"/>
  <c r="C729" i="4"/>
  <c r="H728" i="4"/>
  <c r="P727" i="4"/>
  <c r="U726" i="4"/>
  <c r="C812" i="4"/>
  <c r="H811" i="4"/>
  <c r="P810" i="4"/>
  <c r="U809" i="4"/>
  <c r="D799" i="4"/>
  <c r="Q797" i="4"/>
  <c r="C796" i="4"/>
  <c r="H795" i="4"/>
  <c r="P794" i="4"/>
  <c r="U793" i="4"/>
  <c r="D783" i="4"/>
  <c r="Q781" i="4"/>
  <c r="C780" i="4"/>
  <c r="H779" i="4"/>
  <c r="P778" i="4"/>
  <c r="U777" i="4"/>
  <c r="D767" i="4"/>
  <c r="Q765" i="4"/>
  <c r="C764" i="4"/>
  <c r="H763" i="4"/>
  <c r="P762" i="4"/>
  <c r="U761" i="4"/>
  <c r="D751" i="4"/>
  <c r="Q749" i="4"/>
  <c r="C748" i="4"/>
  <c r="U812" i="4"/>
  <c r="D802" i="4"/>
  <c r="Q800" i="4"/>
  <c r="C799" i="4"/>
  <c r="H798" i="4"/>
  <c r="P797" i="4"/>
  <c r="U796" i="4"/>
  <c r="D786" i="4"/>
  <c r="Q784" i="4"/>
  <c r="C783" i="4"/>
  <c r="H782" i="4"/>
  <c r="P781" i="4"/>
  <c r="U780" i="4"/>
  <c r="D770" i="4"/>
  <c r="Q768" i="4"/>
  <c r="C767" i="4"/>
  <c r="H766" i="4"/>
  <c r="P765" i="4"/>
  <c r="U764" i="4"/>
  <c r="D808" i="4"/>
  <c r="Q806" i="4"/>
  <c r="C805" i="4"/>
  <c r="H804" i="4"/>
  <c r="P803" i="4"/>
  <c r="U802" i="4"/>
  <c r="D811" i="4"/>
  <c r="Q809" i="4"/>
  <c r="C808" i="4"/>
  <c r="H807" i="4"/>
  <c r="P806" i="4"/>
  <c r="U805" i="4"/>
  <c r="Q812" i="4"/>
  <c r="C811" i="4"/>
  <c r="H810" i="4"/>
  <c r="P809" i="4"/>
  <c r="U808" i="4"/>
  <c r="D798" i="4"/>
  <c r="Q808" i="4"/>
  <c r="C802" i="4"/>
  <c r="H790" i="4"/>
  <c r="C782" i="4"/>
  <c r="D778" i="4"/>
  <c r="H771" i="4"/>
  <c r="C763" i="4"/>
  <c r="P760" i="4"/>
  <c r="D759" i="4"/>
  <c r="D750" i="4"/>
  <c r="U748" i="4"/>
  <c r="Q742" i="4"/>
  <c r="P739" i="4"/>
  <c r="Q738" i="4"/>
  <c r="Q737" i="4"/>
  <c r="P735" i="4"/>
  <c r="P734" i="4"/>
  <c r="D717" i="4"/>
  <c r="Q715" i="4"/>
  <c r="C714" i="4"/>
  <c r="H713" i="4"/>
  <c r="P712" i="4"/>
  <c r="U711" i="4"/>
  <c r="D701" i="4"/>
  <c r="Q699" i="4"/>
  <c r="C698" i="4"/>
  <c r="H697" i="4"/>
  <c r="P696" i="4"/>
  <c r="U695" i="4"/>
  <c r="D685" i="4"/>
  <c r="Q683" i="4"/>
  <c r="C682" i="4"/>
  <c r="H681" i="4"/>
  <c r="P680" i="4"/>
  <c r="U679" i="4"/>
  <c r="D669" i="4"/>
  <c r="Q667" i="4"/>
  <c r="C666" i="4"/>
  <c r="P664" i="4"/>
  <c r="P808" i="4"/>
  <c r="H800" i="4"/>
  <c r="D797" i="4"/>
  <c r="U792" i="4"/>
  <c r="P784" i="4"/>
  <c r="Q780" i="4"/>
  <c r="C778" i="4"/>
  <c r="U773" i="4"/>
  <c r="Q761" i="4"/>
  <c r="C759" i="4"/>
  <c r="U753" i="4"/>
  <c r="C750" i="4"/>
  <c r="P746" i="4"/>
  <c r="Q745" i="4"/>
  <c r="P742" i="4"/>
  <c r="Q741" i="4"/>
  <c r="P738" i="4"/>
  <c r="H731" i="4"/>
  <c r="H727" i="4"/>
  <c r="D720" i="4"/>
  <c r="Q718" i="4"/>
  <c r="C717" i="4"/>
  <c r="H716" i="4"/>
  <c r="P715" i="4"/>
  <c r="U714" i="4"/>
  <c r="D704" i="4"/>
  <c r="Q702" i="4"/>
  <c r="C701" i="4"/>
  <c r="H700" i="4"/>
  <c r="P699" i="4"/>
  <c r="U698" i="4"/>
  <c r="D688" i="4"/>
  <c r="Q686" i="4"/>
  <c r="C685" i="4"/>
  <c r="H684" i="4"/>
  <c r="P683" i="4"/>
  <c r="U682" i="4"/>
  <c r="D672" i="4"/>
  <c r="Q670" i="4"/>
  <c r="C669" i="4"/>
  <c r="H668" i="4"/>
  <c r="P667" i="4"/>
  <c r="C653" i="4"/>
  <c r="P651" i="4"/>
  <c r="Q803" i="4"/>
  <c r="Q795" i="4"/>
  <c r="H791" i="4"/>
  <c r="U788" i="4"/>
  <c r="P780" i="4"/>
  <c r="D779" i="4"/>
  <c r="Q776" i="4"/>
  <c r="H772" i="4"/>
  <c r="U769" i="4"/>
  <c r="P761" i="4"/>
  <c r="D760" i="4"/>
  <c r="Q757" i="4"/>
  <c r="U754" i="4"/>
  <c r="C751" i="4"/>
  <c r="P745" i="4"/>
  <c r="Q744" i="4"/>
  <c r="P741" i="4"/>
  <c r="H734" i="4"/>
  <c r="H730" i="4"/>
  <c r="H726" i="4"/>
  <c r="D723" i="4"/>
  <c r="Q721" i="4"/>
  <c r="C720" i="4"/>
  <c r="H719" i="4"/>
  <c r="P718" i="4"/>
  <c r="U717" i="4"/>
  <c r="D707" i="4"/>
  <c r="Q705" i="4"/>
  <c r="C704" i="4"/>
  <c r="H703" i="4"/>
  <c r="P702" i="4"/>
  <c r="U701" i="4"/>
  <c r="D691" i="4"/>
  <c r="Q689" i="4"/>
  <c r="C688" i="4"/>
  <c r="H687" i="4"/>
  <c r="P686" i="4"/>
  <c r="U685" i="4"/>
  <c r="D675" i="4"/>
  <c r="Q673" i="4"/>
  <c r="C672" i="4"/>
  <c r="H671" i="4"/>
  <c r="P670" i="4"/>
  <c r="U669" i="4"/>
  <c r="C656" i="4"/>
  <c r="P654" i="4"/>
  <c r="Q805" i="4"/>
  <c r="D794" i="4"/>
  <c r="H787" i="4"/>
  <c r="C779" i="4"/>
  <c r="P776" i="4"/>
  <c r="D775" i="4"/>
  <c r="H768" i="4"/>
  <c r="C760" i="4"/>
  <c r="P757" i="4"/>
  <c r="D756" i="4"/>
  <c r="Q747" i="4"/>
  <c r="P744" i="4"/>
  <c r="H737" i="4"/>
  <c r="H733" i="4"/>
  <c r="H729" i="4"/>
  <c r="Q724" i="4"/>
  <c r="C723" i="4"/>
  <c r="H722" i="4"/>
  <c r="P721" i="4"/>
  <c r="U720" i="4"/>
  <c r="D710" i="4"/>
  <c r="Q708" i="4"/>
  <c r="C707" i="4"/>
  <c r="H706" i="4"/>
  <c r="P705" i="4"/>
  <c r="U704" i="4"/>
  <c r="D694" i="4"/>
  <c r="Q692" i="4"/>
  <c r="C691" i="4"/>
  <c r="H690" i="4"/>
  <c r="P689" i="4"/>
  <c r="U688" i="4"/>
  <c r="D678" i="4"/>
  <c r="P812" i="4"/>
  <c r="P805" i="4"/>
  <c r="U801" i="4"/>
  <c r="Q796" i="4"/>
  <c r="C794" i="4"/>
  <c r="U789" i="4"/>
  <c r="Q777" i="4"/>
  <c r="C775" i="4"/>
  <c r="U770" i="4"/>
  <c r="Q758" i="4"/>
  <c r="C756" i="4"/>
  <c r="H752" i="4"/>
  <c r="Q748" i="4"/>
  <c r="H740" i="4"/>
  <c r="H736" i="4"/>
  <c r="H735" i="4"/>
  <c r="D728" i="4"/>
  <c r="H725" i="4"/>
  <c r="P724" i="4"/>
  <c r="U723" i="4"/>
  <c r="D713" i="4"/>
  <c r="Q711" i="4"/>
  <c r="C710" i="4"/>
  <c r="H709" i="4"/>
  <c r="P708" i="4"/>
  <c r="U707" i="4"/>
  <c r="D697" i="4"/>
  <c r="Q695" i="4"/>
  <c r="C694" i="4"/>
  <c r="H693" i="4"/>
  <c r="P692" i="4"/>
  <c r="U691" i="4"/>
  <c r="D681" i="4"/>
  <c r="Q679" i="4"/>
  <c r="C678" i="4"/>
  <c r="H677" i="4"/>
  <c r="P676" i="4"/>
  <c r="U675" i="4"/>
  <c r="C662" i="4"/>
  <c r="P660" i="4"/>
  <c r="U799" i="4"/>
  <c r="C798" i="4"/>
  <c r="P796" i="4"/>
  <c r="D795" i="4"/>
  <c r="Q792" i="4"/>
  <c r="H788" i="4"/>
  <c r="U785" i="4"/>
  <c r="P777" i="4"/>
  <c r="D776" i="4"/>
  <c r="Q773" i="4"/>
  <c r="H769" i="4"/>
  <c r="U766" i="4"/>
  <c r="P758" i="4"/>
  <c r="D757" i="4"/>
  <c r="H753" i="4"/>
  <c r="P748" i="4"/>
  <c r="H747" i="4"/>
  <c r="H743" i="4"/>
  <c r="H739" i="4"/>
  <c r="D735" i="4"/>
  <c r="C732" i="4"/>
  <c r="D731" i="4"/>
  <c r="C728" i="4"/>
  <c r="D727" i="4"/>
  <c r="D716" i="4"/>
  <c r="Q714" i="4"/>
  <c r="C713" i="4"/>
  <c r="H712" i="4"/>
  <c r="P711" i="4"/>
  <c r="U710" i="4"/>
  <c r="D700" i="4"/>
  <c r="Q698" i="4"/>
  <c r="C697" i="4"/>
  <c r="H696" i="4"/>
  <c r="P695" i="4"/>
  <c r="U694" i="4"/>
  <c r="D684" i="4"/>
  <c r="Q682" i="4"/>
  <c r="C681" i="4"/>
  <c r="H680" i="4"/>
  <c r="P679" i="4"/>
  <c r="U678" i="4"/>
  <c r="D810" i="4"/>
  <c r="U807" i="4"/>
  <c r="D805" i="4"/>
  <c r="H803" i="4"/>
  <c r="C795" i="4"/>
  <c r="P792" i="4"/>
  <c r="D791" i="4"/>
  <c r="H784" i="4"/>
  <c r="C776" i="4"/>
  <c r="P773" i="4"/>
  <c r="D772" i="4"/>
  <c r="H765" i="4"/>
  <c r="C757" i="4"/>
  <c r="Q754" i="4"/>
  <c r="P749" i="4"/>
  <c r="H746" i="4"/>
  <c r="H742" i="4"/>
  <c r="D738" i="4"/>
  <c r="C735" i="4"/>
  <c r="D734" i="4"/>
  <c r="C731" i="4"/>
  <c r="D730" i="4"/>
  <c r="C727" i="4"/>
  <c r="D719" i="4"/>
  <c r="Q717" i="4"/>
  <c r="C716" i="4"/>
  <c r="H715" i="4"/>
  <c r="P714" i="4"/>
  <c r="U713" i="4"/>
  <c r="D703" i="4"/>
  <c r="Q701" i="4"/>
  <c r="C700" i="4"/>
  <c r="H699" i="4"/>
  <c r="P698" i="4"/>
  <c r="U697" i="4"/>
  <c r="D687" i="4"/>
  <c r="Q685" i="4"/>
  <c r="C684" i="4"/>
  <c r="H683" i="4"/>
  <c r="P682" i="4"/>
  <c r="U681" i="4"/>
  <c r="C810" i="4"/>
  <c r="H801" i="4"/>
  <c r="Q799" i="4"/>
  <c r="Q793" i="4"/>
  <c r="C791" i="4"/>
  <c r="U786" i="4"/>
  <c r="Q774" i="4"/>
  <c r="C772" i="4"/>
  <c r="U767" i="4"/>
  <c r="H761" i="4"/>
  <c r="Q755" i="4"/>
  <c r="P754" i="4"/>
  <c r="H745" i="4"/>
  <c r="D741" i="4"/>
  <c r="C738" i="4"/>
  <c r="D737" i="4"/>
  <c r="C734" i="4"/>
  <c r="D733" i="4"/>
  <c r="C730" i="4"/>
  <c r="D722" i="4"/>
  <c r="Q720" i="4"/>
  <c r="C719" i="4"/>
  <c r="H718" i="4"/>
  <c r="P717" i="4"/>
  <c r="U716" i="4"/>
  <c r="D706" i="4"/>
  <c r="Q704" i="4"/>
  <c r="C703" i="4"/>
  <c r="H702" i="4"/>
  <c r="P701" i="4"/>
  <c r="U700" i="4"/>
  <c r="D690" i="4"/>
  <c r="Q688" i="4"/>
  <c r="U811" i="4"/>
  <c r="D807" i="4"/>
  <c r="D801" i="4"/>
  <c r="C792" i="4"/>
  <c r="P789" i="4"/>
  <c r="D788" i="4"/>
  <c r="H781" i="4"/>
  <c r="C773" i="4"/>
  <c r="P770" i="4"/>
  <c r="D769" i="4"/>
  <c r="H762" i="4"/>
  <c r="U759" i="4"/>
  <c r="D753" i="4"/>
  <c r="U751" i="4"/>
  <c r="D747" i="4"/>
  <c r="C744" i="4"/>
  <c r="D743" i="4"/>
  <c r="C740" i="4"/>
  <c r="U729" i="4"/>
  <c r="C725" i="4"/>
  <c r="H724" i="4"/>
  <c r="P723" i="4"/>
  <c r="U722" i="4"/>
  <c r="D712" i="4"/>
  <c r="Q710" i="4"/>
  <c r="C709" i="4"/>
  <c r="H708" i="4"/>
  <c r="P707" i="4"/>
  <c r="U706" i="4"/>
  <c r="D696" i="4"/>
  <c r="Q694" i="4"/>
  <c r="C693" i="4"/>
  <c r="H692" i="4"/>
  <c r="P691" i="4"/>
  <c r="C807" i="4"/>
  <c r="U804" i="4"/>
  <c r="C801" i="4"/>
  <c r="Q790" i="4"/>
  <c r="C788" i="4"/>
  <c r="U783" i="4"/>
  <c r="H777" i="4"/>
  <c r="Q771" i="4"/>
  <c r="C769" i="4"/>
  <c r="D765" i="4"/>
  <c r="H758" i="4"/>
  <c r="D754" i="4"/>
  <c r="C753" i="4"/>
  <c r="C747" i="4"/>
  <c r="D746" i="4"/>
  <c r="C743" i="4"/>
  <c r="U732" i="4"/>
  <c r="U728" i="4"/>
  <c r="U725" i="4"/>
  <c r="D715" i="4"/>
  <c r="Q713" i="4"/>
  <c r="C712" i="4"/>
  <c r="H711" i="4"/>
  <c r="P710" i="4"/>
  <c r="U709" i="4"/>
  <c r="P790" i="4"/>
  <c r="D789" i="4"/>
  <c r="Q786" i="4"/>
  <c r="U779" i="4"/>
  <c r="P771" i="4"/>
  <c r="Q767" i="4"/>
  <c r="U760" i="4"/>
  <c r="C754" i="4"/>
  <c r="H749" i="4"/>
  <c r="C746" i="4"/>
  <c r="U735" i="4"/>
  <c r="U731" i="4"/>
  <c r="U727" i="4"/>
  <c r="D718" i="4"/>
  <c r="H809" i="4"/>
  <c r="Q802" i="4"/>
  <c r="C789" i="4"/>
  <c r="P786" i="4"/>
  <c r="D785" i="4"/>
  <c r="Q811" i="4"/>
  <c r="P802" i="4"/>
  <c r="H797" i="4"/>
  <c r="H793" i="4"/>
  <c r="Q787" i="4"/>
  <c r="C785" i="4"/>
  <c r="D781" i="4"/>
  <c r="H774" i="4"/>
  <c r="C766" i="4"/>
  <c r="D762" i="4"/>
  <c r="E762" i="4" s="1"/>
  <c r="H755" i="4"/>
  <c r="U791" i="4"/>
  <c r="P755" i="4"/>
  <c r="P722" i="4"/>
  <c r="P709" i="4"/>
  <c r="Q696" i="4"/>
  <c r="P694" i="4"/>
  <c r="H691" i="4"/>
  <c r="U689" i="4"/>
  <c r="U686" i="4"/>
  <c r="P678" i="4"/>
  <c r="D677" i="4"/>
  <c r="D676" i="4"/>
  <c r="U668" i="4"/>
  <c r="P653" i="4"/>
  <c r="C649" i="4"/>
  <c r="P647" i="4"/>
  <c r="C633" i="4"/>
  <c r="E623" i="4"/>
  <c r="F624" i="4" s="1"/>
  <c r="U798" i="4"/>
  <c r="Q783" i="4"/>
  <c r="D766" i="4"/>
  <c r="U750" i="4"/>
  <c r="U740" i="4"/>
  <c r="U719" i="4"/>
  <c r="H717" i="4"/>
  <c r="D709" i="4"/>
  <c r="H707" i="4"/>
  <c r="D705" i="4"/>
  <c r="U699" i="4"/>
  <c r="H685" i="4"/>
  <c r="C677" i="4"/>
  <c r="C676" i="4"/>
  <c r="U672" i="4"/>
  <c r="U671" i="4"/>
  <c r="U667" i="4"/>
  <c r="P657" i="4"/>
  <c r="P656" i="4"/>
  <c r="P652" i="4"/>
  <c r="P650" i="4"/>
  <c r="C636" i="4"/>
  <c r="P634" i="4"/>
  <c r="P783" i="4"/>
  <c r="U776" i="4"/>
  <c r="H750" i="4"/>
  <c r="C737" i="4"/>
  <c r="U733" i="4"/>
  <c r="P730" i="4"/>
  <c r="U724" i="4"/>
  <c r="C722" i="4"/>
  <c r="Q719" i="4"/>
  <c r="C715" i="4"/>
  <c r="C705" i="4"/>
  <c r="D698" i="4"/>
  <c r="C696" i="4"/>
  <c r="H689" i="4"/>
  <c r="U687" i="4"/>
  <c r="U674" i="4"/>
  <c r="U670" i="4"/>
  <c r="P663" i="4"/>
  <c r="P659" i="4"/>
  <c r="P655" i="4"/>
  <c r="C639" i="4"/>
  <c r="P637" i="4"/>
  <c r="U782" i="4"/>
  <c r="Q760" i="4"/>
  <c r="U743" i="4"/>
  <c r="D740" i="4"/>
  <c r="Q733" i="4"/>
  <c r="P719" i="4"/>
  <c r="D711" i="4"/>
  <c r="H701" i="4"/>
  <c r="U692" i="4"/>
  <c r="U690" i="4"/>
  <c r="H686" i="4"/>
  <c r="U683" i="4"/>
  <c r="U673" i="4"/>
  <c r="Q669" i="4"/>
  <c r="P666" i="4"/>
  <c r="P662" i="4"/>
  <c r="P658" i="4"/>
  <c r="C642" i="4"/>
  <c r="P640" i="4"/>
  <c r="Q789" i="4"/>
  <c r="Q770" i="4"/>
  <c r="P733" i="4"/>
  <c r="U712" i="4"/>
  <c r="C711" i="4"/>
  <c r="Q697" i="4"/>
  <c r="H682" i="4"/>
  <c r="Q672" i="4"/>
  <c r="P669" i="4"/>
  <c r="Q668" i="4"/>
  <c r="P665" i="4"/>
  <c r="P661" i="4"/>
  <c r="C645" i="4"/>
  <c r="P643" i="4"/>
  <c r="D632" i="4"/>
  <c r="H806" i="4"/>
  <c r="D782" i="4"/>
  <c r="U775" i="4"/>
  <c r="C770" i="4"/>
  <c r="H759" i="4"/>
  <c r="Q736" i="4"/>
  <c r="Q726" i="4"/>
  <c r="D724" i="4"/>
  <c r="U721" i="4"/>
  <c r="P704" i="4"/>
  <c r="P697" i="4"/>
  <c r="H694" i="4"/>
  <c r="U684" i="4"/>
  <c r="H678" i="4"/>
  <c r="P673" i="4"/>
  <c r="P672" i="4"/>
  <c r="Q671" i="4"/>
  <c r="P668" i="4"/>
  <c r="C648" i="4"/>
  <c r="P646" i="4"/>
  <c r="C632" i="4"/>
  <c r="U795" i="4"/>
  <c r="Q764" i="4"/>
  <c r="P736" i="4"/>
  <c r="P726" i="4"/>
  <c r="C724" i="4"/>
  <c r="Q716" i="4"/>
  <c r="U708" i="4"/>
  <c r="Q706" i="4"/>
  <c r="U702" i="4"/>
  <c r="D699" i="4"/>
  <c r="D689" i="4"/>
  <c r="Q687" i="4"/>
  <c r="U680" i="4"/>
  <c r="Q675" i="4"/>
  <c r="Q674" i="4"/>
  <c r="P671" i="4"/>
  <c r="P649" i="4"/>
  <c r="C635" i="4"/>
  <c r="P633" i="4"/>
  <c r="D804" i="4"/>
  <c r="H775" i="4"/>
  <c r="P764" i="4"/>
  <c r="U745" i="4"/>
  <c r="Q739" i="4"/>
  <c r="C736" i="4"/>
  <c r="Q729" i="4"/>
  <c r="H721" i="4"/>
  <c r="P716" i="4"/>
  <c r="P706" i="4"/>
  <c r="C699" i="4"/>
  <c r="U693" i="4"/>
  <c r="Q690" i="4"/>
  <c r="C689" i="4"/>
  <c r="P687" i="4"/>
  <c r="D686" i="4"/>
  <c r="H679" i="4"/>
  <c r="U676" i="4"/>
  <c r="P675" i="4"/>
  <c r="P674" i="4"/>
  <c r="H667" i="4"/>
  <c r="C652" i="4"/>
  <c r="C638" i="4"/>
  <c r="P636" i="4"/>
  <c r="C804" i="4"/>
  <c r="P787" i="4"/>
  <c r="P774" i="4"/>
  <c r="U763" i="4"/>
  <c r="D739" i="4"/>
  <c r="P729" i="4"/>
  <c r="Q723" i="4"/>
  <c r="D721" i="4"/>
  <c r="U718" i="4"/>
  <c r="H714" i="4"/>
  <c r="Q712" i="4"/>
  <c r="H704" i="4"/>
  <c r="D692" i="4"/>
  <c r="P690" i="4"/>
  <c r="C686" i="4"/>
  <c r="D682" i="4"/>
  <c r="Q676" i="4"/>
  <c r="H670" i="4"/>
  <c r="C655" i="4"/>
  <c r="C651" i="4"/>
  <c r="C641" i="4"/>
  <c r="P639" i="4"/>
  <c r="Q763" i="4"/>
  <c r="U738" i="4"/>
  <c r="Q732" i="4"/>
  <c r="C721" i="4"/>
  <c r="C706" i="4"/>
  <c r="Q700" i="4"/>
  <c r="H695" i="4"/>
  <c r="C692" i="4"/>
  <c r="Q684" i="4"/>
  <c r="U677" i="4"/>
  <c r="H674" i="4"/>
  <c r="H673" i="4"/>
  <c r="H669" i="4"/>
  <c r="C659" i="4"/>
  <c r="C658" i="4"/>
  <c r="C654" i="4"/>
  <c r="C644" i="4"/>
  <c r="P642" i="4"/>
  <c r="H794" i="4"/>
  <c r="P768" i="4"/>
  <c r="U757" i="4"/>
  <c r="Q752" i="4"/>
  <c r="D749" i="4"/>
  <c r="P732" i="4"/>
  <c r="H710" i="4"/>
  <c r="D708" i="4"/>
  <c r="P700" i="4"/>
  <c r="C690" i="4"/>
  <c r="P688" i="4"/>
  <c r="C687" i="4"/>
  <c r="P684" i="4"/>
  <c r="D683" i="4"/>
  <c r="Q680" i="4"/>
  <c r="H672" i="4"/>
  <c r="D668" i="4"/>
  <c r="C665" i="4"/>
  <c r="C661" i="4"/>
  <c r="C657" i="4"/>
  <c r="C647" i="4"/>
  <c r="P645" i="4"/>
  <c r="R624" i="4"/>
  <c r="S624" i="4" s="1"/>
  <c r="P793" i="4"/>
  <c r="Q779" i="4"/>
  <c r="D763" i="4"/>
  <c r="P752" i="4"/>
  <c r="U741" i="4"/>
  <c r="Q735" i="4"/>
  <c r="H723" i="4"/>
  <c r="C708" i="4"/>
  <c r="U703" i="4"/>
  <c r="D702" i="4"/>
  <c r="Q693" i="4"/>
  <c r="Q691" i="4"/>
  <c r="C683" i="4"/>
  <c r="D679" i="4"/>
  <c r="D671" i="4"/>
  <c r="C668" i="4"/>
  <c r="D667" i="4"/>
  <c r="C664" i="4"/>
  <c r="C660" i="4"/>
  <c r="P800" i="4"/>
  <c r="H785" i="4"/>
  <c r="H778" i="4"/>
  <c r="P767" i="4"/>
  <c r="U756" i="4"/>
  <c r="U744" i="4"/>
  <c r="U734" i="4"/>
  <c r="Q728" i="4"/>
  <c r="P725" i="4"/>
  <c r="U715" i="4"/>
  <c r="Q707" i="4"/>
  <c r="U705" i="4"/>
  <c r="D695" i="4"/>
  <c r="D693" i="4"/>
  <c r="P681" i="4"/>
  <c r="D680" i="4"/>
  <c r="Q677" i="4"/>
  <c r="C674" i="4"/>
  <c r="D673" i="4"/>
  <c r="C670" i="4"/>
  <c r="Q722" i="4"/>
  <c r="C650" i="4"/>
  <c r="C643" i="4"/>
  <c r="P635" i="4"/>
  <c r="C786" i="4"/>
  <c r="U737" i="4"/>
  <c r="P720" i="4"/>
  <c r="D670" i="4"/>
  <c r="H756" i="4"/>
  <c r="H720" i="4"/>
  <c r="Q709" i="4"/>
  <c r="H675" i="4"/>
  <c r="H698" i="4"/>
  <c r="Q681" i="4"/>
  <c r="C675" i="4"/>
  <c r="C640" i="4"/>
  <c r="P632" i="4"/>
  <c r="E624" i="4"/>
  <c r="Q751" i="4"/>
  <c r="C718" i="4"/>
  <c r="P751" i="4"/>
  <c r="U696" i="4"/>
  <c r="D674" i="4"/>
  <c r="H688" i="4"/>
  <c r="C663" i="4"/>
  <c r="C637" i="4"/>
  <c r="R623" i="4"/>
  <c r="D773" i="4"/>
  <c r="Q731" i="4"/>
  <c r="C680" i="4"/>
  <c r="P644" i="4"/>
  <c r="U747" i="4"/>
  <c r="H705" i="4"/>
  <c r="U772" i="4"/>
  <c r="P728" i="4"/>
  <c r="C695" i="4"/>
  <c r="C679" i="4"/>
  <c r="C673" i="4"/>
  <c r="C634" i="4"/>
  <c r="D714" i="4"/>
  <c r="Q703" i="4"/>
  <c r="P685" i="4"/>
  <c r="C667" i="4"/>
  <c r="P648" i="4"/>
  <c r="P641" i="4"/>
  <c r="D744" i="4"/>
  <c r="Q725" i="4"/>
  <c r="P713" i="4"/>
  <c r="P703" i="4"/>
  <c r="P693" i="4"/>
  <c r="Q678" i="4"/>
  <c r="P799" i="4"/>
  <c r="C741" i="4"/>
  <c r="P677" i="4"/>
  <c r="C646" i="4"/>
  <c r="P638" i="4"/>
  <c r="F125" i="4"/>
  <c r="E128" i="4"/>
  <c r="G138" i="4"/>
  <c r="F141" i="4"/>
  <c r="E144" i="4"/>
  <c r="I148" i="4"/>
  <c r="H151" i="4"/>
  <c r="G154" i="4"/>
  <c r="F157" i="4"/>
  <c r="L159" i="4"/>
  <c r="L161" i="4"/>
  <c r="G164" i="4"/>
  <c r="J171" i="4"/>
  <c r="G174" i="4"/>
  <c r="E179" i="4"/>
  <c r="M181" i="4"/>
  <c r="J184" i="4"/>
  <c r="G187" i="4"/>
  <c r="F190" i="4"/>
  <c r="E193" i="4"/>
  <c r="F205" i="4"/>
  <c r="E212" i="4"/>
  <c r="F215" i="4"/>
  <c r="E219" i="4"/>
  <c r="F222" i="4"/>
  <c r="G225" i="4"/>
  <c r="I228" i="4"/>
  <c r="G232" i="4"/>
  <c r="I237" i="4"/>
  <c r="J240" i="4"/>
  <c r="I244" i="4"/>
  <c r="M247" i="4"/>
  <c r="E256" i="4"/>
  <c r="I260" i="4"/>
  <c r="H269" i="4"/>
  <c r="M273" i="4"/>
  <c r="J278" i="4"/>
  <c r="M283" i="4"/>
  <c r="K289" i="4"/>
  <c r="M296" i="4"/>
  <c r="F304" i="4"/>
  <c r="L311" i="4"/>
  <c r="M322" i="4"/>
  <c r="M332" i="4"/>
  <c r="I343" i="4"/>
  <c r="J355" i="4"/>
  <c r="E381" i="4"/>
  <c r="M399" i="4"/>
  <c r="D792" i="4"/>
  <c r="F64" i="4"/>
  <c r="E67" i="4"/>
  <c r="G77" i="4"/>
  <c r="F80" i="4"/>
  <c r="K81" i="4"/>
  <c r="E83" i="4"/>
  <c r="J84" i="4"/>
  <c r="I87" i="4"/>
  <c r="H90" i="4"/>
  <c r="G93" i="4"/>
  <c r="L94" i="4"/>
  <c r="F96" i="4"/>
  <c r="K97" i="4"/>
  <c r="E99" i="4"/>
  <c r="J100" i="4"/>
  <c r="I103" i="4"/>
  <c r="H106" i="4"/>
  <c r="M107" i="4"/>
  <c r="G109" i="4"/>
  <c r="L110" i="4"/>
  <c r="F112" i="4"/>
  <c r="K113" i="4"/>
  <c r="E115" i="4"/>
  <c r="J116" i="4"/>
  <c r="I119" i="4"/>
  <c r="H122" i="4"/>
  <c r="M123" i="4"/>
  <c r="G125" i="4"/>
  <c r="L126" i="4"/>
  <c r="F128" i="4"/>
  <c r="K129" i="4"/>
  <c r="E131" i="4"/>
  <c r="J132" i="4"/>
  <c r="I135" i="4"/>
  <c r="H138" i="4"/>
  <c r="M139" i="4"/>
  <c r="G141" i="4"/>
  <c r="L142" i="4"/>
  <c r="F144" i="4"/>
  <c r="K145" i="4"/>
  <c r="E147" i="4"/>
  <c r="J148" i="4"/>
  <c r="I151" i="4"/>
  <c r="H154" i="4"/>
  <c r="M155" i="4"/>
  <c r="G157" i="4"/>
  <c r="M159" i="4"/>
  <c r="H162" i="4"/>
  <c r="H164" i="4"/>
  <c r="K171" i="4"/>
  <c r="H174" i="4"/>
  <c r="E177" i="4"/>
  <c r="M179" i="4"/>
  <c r="K184" i="4"/>
  <c r="H187" i="4"/>
  <c r="G190" i="4"/>
  <c r="F193" i="4"/>
  <c r="E196" i="4"/>
  <c r="E202" i="4"/>
  <c r="E209" i="4"/>
  <c r="F212" i="4"/>
  <c r="H215" i="4"/>
  <c r="F219" i="4"/>
  <c r="G222" i="4"/>
  <c r="H225" i="4"/>
  <c r="G229" i="4"/>
  <c r="H232" i="4"/>
  <c r="J237" i="4"/>
  <c r="L240" i="4"/>
  <c r="J244" i="4"/>
  <c r="F256" i="4"/>
  <c r="J260" i="4"/>
  <c r="I269" i="4"/>
  <c r="F274" i="4"/>
  <c r="H279" i="4"/>
  <c r="M289" i="4"/>
  <c r="H304" i="4"/>
  <c r="E313" i="4"/>
  <c r="E345" i="4"/>
  <c r="E356" i="4"/>
  <c r="L367" i="4"/>
  <c r="L383" i="4"/>
  <c r="G112" i="4"/>
  <c r="E118" i="4"/>
  <c r="I122" i="4"/>
  <c r="H125" i="4"/>
  <c r="G128" i="4"/>
  <c r="L129" i="4"/>
  <c r="F131" i="4"/>
  <c r="K132" i="4"/>
  <c r="E134" i="4"/>
  <c r="J135" i="4"/>
  <c r="I138" i="4"/>
  <c r="H141" i="4"/>
  <c r="M142" i="4"/>
  <c r="G144" i="4"/>
  <c r="L145" i="4"/>
  <c r="F147" i="4"/>
  <c r="K148" i="4"/>
  <c r="E150" i="4"/>
  <c r="J151" i="4"/>
  <c r="I154" i="4"/>
  <c r="H157" i="4"/>
  <c r="I162" i="4"/>
  <c r="I164" i="4"/>
  <c r="K169" i="4"/>
  <c r="L171" i="4"/>
  <c r="I174" i="4"/>
  <c r="F177" i="4"/>
  <c r="L184" i="4"/>
  <c r="I187" i="4"/>
  <c r="H190" i="4"/>
  <c r="G193" i="4"/>
  <c r="F196" i="4"/>
  <c r="E199" i="4"/>
  <c r="G202" i="4"/>
  <c r="E206" i="4"/>
  <c r="F209" i="4"/>
  <c r="G212" i="4"/>
  <c r="F216" i="4"/>
  <c r="G219" i="4"/>
  <c r="H222" i="4"/>
  <c r="J225" i="4"/>
  <c r="H229" i="4"/>
  <c r="I232" i="4"/>
  <c r="K237" i="4"/>
  <c r="J241" i="4"/>
  <c r="K244" i="4"/>
  <c r="M248" i="4"/>
  <c r="F252" i="4"/>
  <c r="G256" i="4"/>
  <c r="K260" i="4"/>
  <c r="E265" i="4"/>
  <c r="M269" i="4"/>
  <c r="I279" i="4"/>
  <c r="H284" i="4"/>
  <c r="F290" i="4"/>
  <c r="E297" i="4"/>
  <c r="J305" i="4"/>
  <c r="F313" i="4"/>
  <c r="E323" i="4"/>
  <c r="K334" i="4"/>
  <c r="F345" i="4"/>
  <c r="G356" i="4"/>
  <c r="I369" i="4"/>
  <c r="M383" i="4"/>
  <c r="E401" i="4"/>
  <c r="E385" i="4"/>
  <c r="E369" i="4"/>
  <c r="E353" i="4"/>
  <c r="E337" i="4"/>
  <c r="E321" i="4"/>
  <c r="E414" i="4"/>
  <c r="E398" i="4"/>
  <c r="E382" i="4"/>
  <c r="E366" i="4"/>
  <c r="E350" i="4"/>
  <c r="E334" i="4"/>
  <c r="E318" i="4"/>
  <c r="E411" i="4"/>
  <c r="E395" i="4"/>
  <c r="E379" i="4"/>
  <c r="E363" i="4"/>
  <c r="E347" i="4"/>
  <c r="E331" i="4"/>
  <c r="E315" i="4"/>
  <c r="E408" i="4"/>
  <c r="E392" i="4"/>
  <c r="E376" i="4"/>
  <c r="E360" i="4"/>
  <c r="E344" i="4"/>
  <c r="E328" i="4"/>
  <c r="E405" i="4"/>
  <c r="E389" i="4"/>
  <c r="E373" i="4"/>
  <c r="E357" i="4"/>
  <c r="E341" i="4"/>
  <c r="E402" i="4"/>
  <c r="E386" i="4"/>
  <c r="E370" i="4"/>
  <c r="E399" i="4"/>
  <c r="E383" i="4"/>
  <c r="E412" i="4"/>
  <c r="E396" i="4"/>
  <c r="E380" i="4"/>
  <c r="E409" i="4"/>
  <c r="E393" i="4"/>
  <c r="E406" i="4"/>
  <c r="E377" i="4"/>
  <c r="E343" i="4"/>
  <c r="E301" i="4"/>
  <c r="E285" i="4"/>
  <c r="E269" i="4"/>
  <c r="E253" i="4"/>
  <c r="E237" i="4"/>
  <c r="E232" i="4"/>
  <c r="E216" i="4"/>
  <c r="E200" i="4"/>
  <c r="E184" i="4"/>
  <c r="E168" i="4"/>
  <c r="E374" i="4"/>
  <c r="E351" i="4"/>
  <c r="E332" i="4"/>
  <c r="E298" i="4"/>
  <c r="E282" i="4"/>
  <c r="E266" i="4"/>
  <c r="E250" i="4"/>
  <c r="E229" i="4"/>
  <c r="E213" i="4"/>
  <c r="E197" i="4"/>
  <c r="E181" i="4"/>
  <c r="E165" i="4"/>
  <c r="E410" i="4"/>
  <c r="E364" i="4"/>
  <c r="E362" i="4"/>
  <c r="E349" i="4"/>
  <c r="E295" i="4"/>
  <c r="E279" i="4"/>
  <c r="E263" i="4"/>
  <c r="E247" i="4"/>
  <c r="E226" i="4"/>
  <c r="E210" i="4"/>
  <c r="E194" i="4"/>
  <c r="E178" i="4"/>
  <c r="E162" i="4"/>
  <c r="E371" i="4"/>
  <c r="E338" i="4"/>
  <c r="E330" i="4"/>
  <c r="E326" i="4"/>
  <c r="E322" i="4"/>
  <c r="E311" i="4"/>
  <c r="E308" i="4"/>
  <c r="E292" i="4"/>
  <c r="E276" i="4"/>
  <c r="E260" i="4"/>
  <c r="E244" i="4"/>
  <c r="E223" i="4"/>
  <c r="E207" i="4"/>
  <c r="E191" i="4"/>
  <c r="E175" i="4"/>
  <c r="E159" i="4"/>
  <c r="E355" i="4"/>
  <c r="E336" i="4"/>
  <c r="E305" i="4"/>
  <c r="E289" i="4"/>
  <c r="E273" i="4"/>
  <c r="E257" i="4"/>
  <c r="E241" i="4"/>
  <c r="E220" i="4"/>
  <c r="E204" i="4"/>
  <c r="E188" i="4"/>
  <c r="E172" i="4"/>
  <c r="E413" i="4"/>
  <c r="E324" i="4"/>
  <c r="E320" i="4"/>
  <c r="E316" i="4"/>
  <c r="E302" i="4"/>
  <c r="E286" i="4"/>
  <c r="E270" i="4"/>
  <c r="E254" i="4"/>
  <c r="E238" i="4"/>
  <c r="E217" i="4"/>
  <c r="E201" i="4"/>
  <c r="E185" i="4"/>
  <c r="E169" i="4"/>
  <c r="E342" i="4"/>
  <c r="E299" i="4"/>
  <c r="E283" i="4"/>
  <c r="E267" i="4"/>
  <c r="E251" i="4"/>
  <c r="E235" i="4"/>
  <c r="E230" i="4"/>
  <c r="E214" i="4"/>
  <c r="E198" i="4"/>
  <c r="E182" i="4"/>
  <c r="E361" i="4"/>
  <c r="E359" i="4"/>
  <c r="E340" i="4"/>
  <c r="E314" i="4"/>
  <c r="E296" i="4"/>
  <c r="E280" i="4"/>
  <c r="E264" i="4"/>
  <c r="E248" i="4"/>
  <c r="E227" i="4"/>
  <c r="E211" i="4"/>
  <c r="E195" i="4"/>
  <c r="E388" i="4"/>
  <c r="E368" i="4"/>
  <c r="E348" i="4"/>
  <c r="E312" i="4"/>
  <c r="E309" i="4"/>
  <c r="E293" i="4"/>
  <c r="E391" i="4"/>
  <c r="E346" i="4"/>
  <c r="E306" i="4"/>
  <c r="E290" i="4"/>
  <c r="E274" i="4"/>
  <c r="E258" i="4"/>
  <c r="E242" i="4"/>
  <c r="E221" i="4"/>
  <c r="E205" i="4"/>
  <c r="E394" i="4"/>
  <c r="E387" i="4"/>
  <c r="E354" i="4"/>
  <c r="E335" i="4"/>
  <c r="E329" i="4"/>
  <c r="E325" i="4"/>
  <c r="E303" i="4"/>
  <c r="E287" i="4"/>
  <c r="E271" i="4"/>
  <c r="E397" i="4"/>
  <c r="E390" i="4"/>
  <c r="E384" i="4"/>
  <c r="E352" i="4"/>
  <c r="E333" i="4"/>
  <c r="E300" i="4"/>
  <c r="E284" i="4"/>
  <c r="E268" i="4"/>
  <c r="E252" i="4"/>
  <c r="E403" i="4"/>
  <c r="E378" i="4"/>
  <c r="E367" i="4"/>
  <c r="E365" i="4"/>
  <c r="E358" i="4"/>
  <c r="E339" i="4"/>
  <c r="E310" i="4"/>
  <c r="E294" i="4"/>
  <c r="N38" i="4"/>
  <c r="F54" i="4"/>
  <c r="K55" i="4"/>
  <c r="E57" i="4"/>
  <c r="J58" i="4"/>
  <c r="I61" i="4"/>
  <c r="H64" i="4"/>
  <c r="G67" i="4"/>
  <c r="L68" i="4"/>
  <c r="F70" i="4"/>
  <c r="K71" i="4"/>
  <c r="E73" i="4"/>
  <c r="J74" i="4"/>
  <c r="I77" i="4"/>
  <c r="H80" i="4"/>
  <c r="M81" i="4"/>
  <c r="G83" i="4"/>
  <c r="L84" i="4"/>
  <c r="F86" i="4"/>
  <c r="K87" i="4"/>
  <c r="E89" i="4"/>
  <c r="J90" i="4"/>
  <c r="I93" i="4"/>
  <c r="H96" i="4"/>
  <c r="M97" i="4"/>
  <c r="G99" i="4"/>
  <c r="L100" i="4"/>
  <c r="F102" i="4"/>
  <c r="K103" i="4"/>
  <c r="E105" i="4"/>
  <c r="J106" i="4"/>
  <c r="I109" i="4"/>
  <c r="H112" i="4"/>
  <c r="M113" i="4"/>
  <c r="G115" i="4"/>
  <c r="L116" i="4"/>
  <c r="F118" i="4"/>
  <c r="K119" i="4"/>
  <c r="E121" i="4"/>
  <c r="J122" i="4"/>
  <c r="I125" i="4"/>
  <c r="H128" i="4"/>
  <c r="M129" i="4"/>
  <c r="G131" i="4"/>
  <c r="L132" i="4"/>
  <c r="F134" i="4"/>
  <c r="K135" i="4"/>
  <c r="E137" i="4"/>
  <c r="J138" i="4"/>
  <c r="I141" i="4"/>
  <c r="H144" i="4"/>
  <c r="M145" i="4"/>
  <c r="G147" i="4"/>
  <c r="L148" i="4"/>
  <c r="F150" i="4"/>
  <c r="K151" i="4"/>
  <c r="E153" i="4"/>
  <c r="J154" i="4"/>
  <c r="J162" i="4"/>
  <c r="J164" i="4"/>
  <c r="E167" i="4"/>
  <c r="L169" i="4"/>
  <c r="M171" i="4"/>
  <c r="J174" i="4"/>
  <c r="G177" i="4"/>
  <c r="L182" i="4"/>
  <c r="M184" i="4"/>
  <c r="J187" i="4"/>
  <c r="I190" i="4"/>
  <c r="H193" i="4"/>
  <c r="G196" i="4"/>
  <c r="F199" i="4"/>
  <c r="E203" i="4"/>
  <c r="F206" i="4"/>
  <c r="G209" i="4"/>
  <c r="I212" i="4"/>
  <c r="G216" i="4"/>
  <c r="H219" i="4"/>
  <c r="I222" i="4"/>
  <c r="H226" i="4"/>
  <c r="I229" i="4"/>
  <c r="J232" i="4"/>
  <c r="M237" i="4"/>
  <c r="K241" i="4"/>
  <c r="L244" i="4"/>
  <c r="H252" i="4"/>
  <c r="H256" i="4"/>
  <c r="L260" i="4"/>
  <c r="I265" i="4"/>
  <c r="K270" i="4"/>
  <c r="E275" i="4"/>
  <c r="J279" i="4"/>
  <c r="F285" i="4"/>
  <c r="G298" i="4"/>
  <c r="K305" i="4"/>
  <c r="H313" i="4"/>
  <c r="K324" i="4"/>
  <c r="L334" i="4"/>
  <c r="J369" i="4"/>
  <c r="C702" i="4"/>
  <c r="D1" i="4"/>
  <c r="F83" i="4"/>
  <c r="H408" i="4"/>
  <c r="H392" i="4"/>
  <c r="H376" i="4"/>
  <c r="H360" i="4"/>
  <c r="H344" i="4"/>
  <c r="H328" i="4"/>
  <c r="H405" i="4"/>
  <c r="H389" i="4"/>
  <c r="H373" i="4"/>
  <c r="H357" i="4"/>
  <c r="H341" i="4"/>
  <c r="H325" i="4"/>
  <c r="H402" i="4"/>
  <c r="H386" i="4"/>
  <c r="H370" i="4"/>
  <c r="H354" i="4"/>
  <c r="H338" i="4"/>
  <c r="H322" i="4"/>
  <c r="H399" i="4"/>
  <c r="H383" i="4"/>
  <c r="H367" i="4"/>
  <c r="H351" i="4"/>
  <c r="H335" i="4"/>
  <c r="H319" i="4"/>
  <c r="H412" i="4"/>
  <c r="H396" i="4"/>
  <c r="H380" i="4"/>
  <c r="H364" i="4"/>
  <c r="H348" i="4"/>
  <c r="H332" i="4"/>
  <c r="H409" i="4"/>
  <c r="H393" i="4"/>
  <c r="H377" i="4"/>
  <c r="H361" i="4"/>
  <c r="H406" i="4"/>
  <c r="H390" i="4"/>
  <c r="H374" i="4"/>
  <c r="H403" i="4"/>
  <c r="H387" i="4"/>
  <c r="H371" i="4"/>
  <c r="H400" i="4"/>
  <c r="H413" i="4"/>
  <c r="H369" i="4"/>
  <c r="H347" i="4"/>
  <c r="H330" i="4"/>
  <c r="H326" i="4"/>
  <c r="H311" i="4"/>
  <c r="H308" i="4"/>
  <c r="H292" i="4"/>
  <c r="H276" i="4"/>
  <c r="H260" i="4"/>
  <c r="H244" i="4"/>
  <c r="H223" i="4"/>
  <c r="H207" i="4"/>
  <c r="H191" i="4"/>
  <c r="H175" i="4"/>
  <c r="H159" i="4"/>
  <c r="H414" i="4"/>
  <c r="H355" i="4"/>
  <c r="H336" i="4"/>
  <c r="H305" i="4"/>
  <c r="H289" i="4"/>
  <c r="H273" i="4"/>
  <c r="H257" i="4"/>
  <c r="H241" i="4"/>
  <c r="H220" i="4"/>
  <c r="H204" i="4"/>
  <c r="H188" i="4"/>
  <c r="H172" i="4"/>
  <c r="H353" i="4"/>
  <c r="H334" i="4"/>
  <c r="H324" i="4"/>
  <c r="H320" i="4"/>
  <c r="H316" i="4"/>
  <c r="H302" i="4"/>
  <c r="H286" i="4"/>
  <c r="H270" i="4"/>
  <c r="H254" i="4"/>
  <c r="H238" i="4"/>
  <c r="H217" i="4"/>
  <c r="H201" i="4"/>
  <c r="H185" i="4"/>
  <c r="H169" i="4"/>
  <c r="H342" i="4"/>
  <c r="H299" i="4"/>
  <c r="H283" i="4"/>
  <c r="H267" i="4"/>
  <c r="H251" i="4"/>
  <c r="H235" i="4"/>
  <c r="H230" i="4"/>
  <c r="H214" i="4"/>
  <c r="H198" i="4"/>
  <c r="H182" i="4"/>
  <c r="H166" i="4"/>
  <c r="H359" i="4"/>
  <c r="H340" i="4"/>
  <c r="H318" i="4"/>
  <c r="H314" i="4"/>
  <c r="H296" i="4"/>
  <c r="H280" i="4"/>
  <c r="H264" i="4"/>
  <c r="H248" i="4"/>
  <c r="H227" i="4"/>
  <c r="H211" i="4"/>
  <c r="H195" i="4"/>
  <c r="H179" i="4"/>
  <c r="H163" i="4"/>
  <c r="H395" i="4"/>
  <c r="H388" i="4"/>
  <c r="H385" i="4"/>
  <c r="H368" i="4"/>
  <c r="H366" i="4"/>
  <c r="H309" i="4"/>
  <c r="H293" i="4"/>
  <c r="H277" i="4"/>
  <c r="H261" i="4"/>
  <c r="H245" i="4"/>
  <c r="H224" i="4"/>
  <c r="H208" i="4"/>
  <c r="H192" i="4"/>
  <c r="H176" i="4"/>
  <c r="H160" i="4"/>
  <c r="H398" i="4"/>
  <c r="H391" i="4"/>
  <c r="H382" i="4"/>
  <c r="H346" i="4"/>
  <c r="H306" i="4"/>
  <c r="H290" i="4"/>
  <c r="H274" i="4"/>
  <c r="H258" i="4"/>
  <c r="H242" i="4"/>
  <c r="H221" i="4"/>
  <c r="H205" i="4"/>
  <c r="H189" i="4"/>
  <c r="H173" i="4"/>
  <c r="H401" i="4"/>
  <c r="H394" i="4"/>
  <c r="H379" i="4"/>
  <c r="H329" i="4"/>
  <c r="H312" i="4"/>
  <c r="H303" i="4"/>
  <c r="H287" i="4"/>
  <c r="H271" i="4"/>
  <c r="H255" i="4"/>
  <c r="H239" i="4"/>
  <c r="H218" i="4"/>
  <c r="H202" i="4"/>
  <c r="H397" i="4"/>
  <c r="H384" i="4"/>
  <c r="H352" i="4"/>
  <c r="H333" i="4"/>
  <c r="H300" i="4"/>
  <c r="H404" i="4"/>
  <c r="H381" i="4"/>
  <c r="H350" i="4"/>
  <c r="H331" i="4"/>
  <c r="H327" i="4"/>
  <c r="H323" i="4"/>
  <c r="H297" i="4"/>
  <c r="H281" i="4"/>
  <c r="H265" i="4"/>
  <c r="H249" i="4"/>
  <c r="H228" i="4"/>
  <c r="H212" i="4"/>
  <c r="H378" i="4"/>
  <c r="H365" i="4"/>
  <c r="H363" i="4"/>
  <c r="H358" i="4"/>
  <c r="H339" i="4"/>
  <c r="H310" i="4"/>
  <c r="H294" i="4"/>
  <c r="H278" i="4"/>
  <c r="H262" i="4"/>
  <c r="H375" i="4"/>
  <c r="H356" i="4"/>
  <c r="H337" i="4"/>
  <c r="H321" i="4"/>
  <c r="H317" i="4"/>
  <c r="H307" i="4"/>
  <c r="H291" i="4"/>
  <c r="H275" i="4"/>
  <c r="H259" i="4"/>
  <c r="H343" i="4"/>
  <c r="H315" i="4"/>
  <c r="H301" i="4"/>
  <c r="H285" i="4"/>
  <c r="G54" i="4"/>
  <c r="L55" i="4"/>
  <c r="F57" i="4"/>
  <c r="K58" i="4"/>
  <c r="E60" i="4"/>
  <c r="J61" i="4"/>
  <c r="I64" i="4"/>
  <c r="H67" i="4"/>
  <c r="M68" i="4"/>
  <c r="G70" i="4"/>
  <c r="L71" i="4"/>
  <c r="F73" i="4"/>
  <c r="K74" i="4"/>
  <c r="E76" i="4"/>
  <c r="J77" i="4"/>
  <c r="I80" i="4"/>
  <c r="H83" i="4"/>
  <c r="M84" i="4"/>
  <c r="G86" i="4"/>
  <c r="L87" i="4"/>
  <c r="F89" i="4"/>
  <c r="K90" i="4"/>
  <c r="E92" i="4"/>
  <c r="J93" i="4"/>
  <c r="I96" i="4"/>
  <c r="H99" i="4"/>
  <c r="M100" i="4"/>
  <c r="G102" i="4"/>
  <c r="L103" i="4"/>
  <c r="F105" i="4"/>
  <c r="K106" i="4"/>
  <c r="E108" i="4"/>
  <c r="J109" i="4"/>
  <c r="I112" i="4"/>
  <c r="H115" i="4"/>
  <c r="M116" i="4"/>
  <c r="G118" i="4"/>
  <c r="L119" i="4"/>
  <c r="F121" i="4"/>
  <c r="K122" i="4"/>
  <c r="E124" i="4"/>
  <c r="J125" i="4"/>
  <c r="I128" i="4"/>
  <c r="H131" i="4"/>
  <c r="M132" i="4"/>
  <c r="G134" i="4"/>
  <c r="L135" i="4"/>
  <c r="F137" i="4"/>
  <c r="K138" i="4"/>
  <c r="E140" i="4"/>
  <c r="J141" i="4"/>
  <c r="I144" i="4"/>
  <c r="H147" i="4"/>
  <c r="M148" i="4"/>
  <c r="G150" i="4"/>
  <c r="L151" i="4"/>
  <c r="F153" i="4"/>
  <c r="K154" i="4"/>
  <c r="E156" i="4"/>
  <c r="E158" i="4"/>
  <c r="E160" i="4"/>
  <c r="K162" i="4"/>
  <c r="K164" i="4"/>
  <c r="F167" i="4"/>
  <c r="M169" i="4"/>
  <c r="J172" i="4"/>
  <c r="K174" i="4"/>
  <c r="H177" i="4"/>
  <c r="E180" i="4"/>
  <c r="M182" i="4"/>
  <c r="K187" i="4"/>
  <c r="J190" i="4"/>
  <c r="I193" i="4"/>
  <c r="H196" i="4"/>
  <c r="H199" i="4"/>
  <c r="F203" i="4"/>
  <c r="G206" i="4"/>
  <c r="H209" i="4"/>
  <c r="G213" i="4"/>
  <c r="H216" i="4"/>
  <c r="I219" i="4"/>
  <c r="K222" i="4"/>
  <c r="I226" i="4"/>
  <c r="J229" i="4"/>
  <c r="K232" i="4"/>
  <c r="K238" i="4"/>
  <c r="L241" i="4"/>
  <c r="F253" i="4"/>
  <c r="J256" i="4"/>
  <c r="E261" i="4"/>
  <c r="G266" i="4"/>
  <c r="L270" i="4"/>
  <c r="F275" i="4"/>
  <c r="K279" i="4"/>
  <c r="G285" i="4"/>
  <c r="E291" i="4"/>
  <c r="H298" i="4"/>
  <c r="M305" i="4"/>
  <c r="M314" i="4"/>
  <c r="L324" i="4"/>
  <c r="I347" i="4"/>
  <c r="L369" i="4"/>
  <c r="K386" i="4"/>
  <c r="F115" i="4"/>
  <c r="E40" i="4"/>
  <c r="E63" i="4"/>
  <c r="H70" i="4"/>
  <c r="G73" i="4"/>
  <c r="L74" i="4"/>
  <c r="F76" i="4"/>
  <c r="K77" i="4"/>
  <c r="E79" i="4"/>
  <c r="J80" i="4"/>
  <c r="I83" i="4"/>
  <c r="H86" i="4"/>
  <c r="M87" i="4"/>
  <c r="G89" i="4"/>
  <c r="L90" i="4"/>
  <c r="F92" i="4"/>
  <c r="K93" i="4"/>
  <c r="E95" i="4"/>
  <c r="J96" i="4"/>
  <c r="I99" i="4"/>
  <c r="H102" i="4"/>
  <c r="M103" i="4"/>
  <c r="G105" i="4"/>
  <c r="L106" i="4"/>
  <c r="F108" i="4"/>
  <c r="K109" i="4"/>
  <c r="E111" i="4"/>
  <c r="J112" i="4"/>
  <c r="I115" i="4"/>
  <c r="H118" i="4"/>
  <c r="M119" i="4"/>
  <c r="G121" i="4"/>
  <c r="L122" i="4"/>
  <c r="F124" i="4"/>
  <c r="K125" i="4"/>
  <c r="E127" i="4"/>
  <c r="J128" i="4"/>
  <c r="I131" i="4"/>
  <c r="H134" i="4"/>
  <c r="M135" i="4"/>
  <c r="G137" i="4"/>
  <c r="L138" i="4"/>
  <c r="F140" i="4"/>
  <c r="K141" i="4"/>
  <c r="E143" i="4"/>
  <c r="J144" i="4"/>
  <c r="I147" i="4"/>
  <c r="H150" i="4"/>
  <c r="M151" i="4"/>
  <c r="G153" i="4"/>
  <c r="L154" i="4"/>
  <c r="F156" i="4"/>
  <c r="F158" i="4"/>
  <c r="F160" i="4"/>
  <c r="L162" i="4"/>
  <c r="G165" i="4"/>
  <c r="G167" i="4"/>
  <c r="K172" i="4"/>
  <c r="L174" i="4"/>
  <c r="I177" i="4"/>
  <c r="F180" i="4"/>
  <c r="K185" i="4"/>
  <c r="L187" i="4"/>
  <c r="K190" i="4"/>
  <c r="J193" i="4"/>
  <c r="I196" i="4"/>
  <c r="F200" i="4"/>
  <c r="G203" i="4"/>
  <c r="H206" i="4"/>
  <c r="J209" i="4"/>
  <c r="H213" i="4"/>
  <c r="I216" i="4"/>
  <c r="J219" i="4"/>
  <c r="I223" i="4"/>
  <c r="J226" i="4"/>
  <c r="K229" i="4"/>
  <c r="M232" i="4"/>
  <c r="L238" i="4"/>
  <c r="M241" i="4"/>
  <c r="E245" i="4"/>
  <c r="E249" i="4"/>
  <c r="G253" i="4"/>
  <c r="L256" i="4"/>
  <c r="H266" i="4"/>
  <c r="M270" i="4"/>
  <c r="G275" i="4"/>
  <c r="I285" i="4"/>
  <c r="G291" i="4"/>
  <c r="J298" i="4"/>
  <c r="J336" i="4"/>
  <c r="F358" i="4"/>
  <c r="E372" i="4"/>
  <c r="L386" i="4"/>
  <c r="E404" i="4"/>
  <c r="E54" i="4"/>
  <c r="H54" i="4"/>
  <c r="J402" i="4"/>
  <c r="J386" i="4"/>
  <c r="J370" i="4"/>
  <c r="J354" i="4"/>
  <c r="J338" i="4"/>
  <c r="J322" i="4"/>
  <c r="J399" i="4"/>
  <c r="J383" i="4"/>
  <c r="J367" i="4"/>
  <c r="J351" i="4"/>
  <c r="J335" i="4"/>
  <c r="J319" i="4"/>
  <c r="J412" i="4"/>
  <c r="J396" i="4"/>
  <c r="J380" i="4"/>
  <c r="J364" i="4"/>
  <c r="J348" i="4"/>
  <c r="J332" i="4"/>
  <c r="J316" i="4"/>
  <c r="J409" i="4"/>
  <c r="J393" i="4"/>
  <c r="J377" i="4"/>
  <c r="J361" i="4"/>
  <c r="J345" i="4"/>
  <c r="J329" i="4"/>
  <c r="J406" i="4"/>
  <c r="J390" i="4"/>
  <c r="J374" i="4"/>
  <c r="J358" i="4"/>
  <c r="J342" i="4"/>
  <c r="J403" i="4"/>
  <c r="J387" i="4"/>
  <c r="J371" i="4"/>
  <c r="J400" i="4"/>
  <c r="J384" i="4"/>
  <c r="J413" i="4"/>
  <c r="J397" i="4"/>
  <c r="J381" i="4"/>
  <c r="J410" i="4"/>
  <c r="J394" i="4"/>
  <c r="J407" i="4"/>
  <c r="J353" i="4"/>
  <c r="J334" i="4"/>
  <c r="J328" i="4"/>
  <c r="J324" i="4"/>
  <c r="J320" i="4"/>
  <c r="J302" i="4"/>
  <c r="J286" i="4"/>
  <c r="J270" i="4"/>
  <c r="J254" i="4"/>
  <c r="J238" i="4"/>
  <c r="J217" i="4"/>
  <c r="J201" i="4"/>
  <c r="J185" i="4"/>
  <c r="J169" i="4"/>
  <c r="J389" i="4"/>
  <c r="J299" i="4"/>
  <c r="J283" i="4"/>
  <c r="J267" i="4"/>
  <c r="J251" i="4"/>
  <c r="J235" i="4"/>
  <c r="J230" i="4"/>
  <c r="J214" i="4"/>
  <c r="J198" i="4"/>
  <c r="J182" i="4"/>
  <c r="J166" i="4"/>
  <c r="J392" i="4"/>
  <c r="J359" i="4"/>
  <c r="J340" i="4"/>
  <c r="J318" i="4"/>
  <c r="J314" i="4"/>
  <c r="J296" i="4"/>
  <c r="J280" i="4"/>
  <c r="J264" i="4"/>
  <c r="J248" i="4"/>
  <c r="J227" i="4"/>
  <c r="J211" i="4"/>
  <c r="J195" i="4"/>
  <c r="J179" i="4"/>
  <c r="J163" i="4"/>
  <c r="J395" i="4"/>
  <c r="J388" i="4"/>
  <c r="J385" i="4"/>
  <c r="J368" i="4"/>
  <c r="J366" i="4"/>
  <c r="J357" i="4"/>
  <c r="J309" i="4"/>
  <c r="J293" i="4"/>
  <c r="J277" i="4"/>
  <c r="J261" i="4"/>
  <c r="J245" i="4"/>
  <c r="J224" i="4"/>
  <c r="J208" i="4"/>
  <c r="J192" i="4"/>
  <c r="J176" i="4"/>
  <c r="J160" i="4"/>
  <c r="J398" i="4"/>
  <c r="J391" i="4"/>
  <c r="J382" i="4"/>
  <c r="J346" i="4"/>
  <c r="J306" i="4"/>
  <c r="J290" i="4"/>
  <c r="J274" i="4"/>
  <c r="J258" i="4"/>
  <c r="J242" i="4"/>
  <c r="J221" i="4"/>
  <c r="J205" i="4"/>
  <c r="J189" i="4"/>
  <c r="J173" i="4"/>
  <c r="J157" i="4"/>
  <c r="J401" i="4"/>
  <c r="J379" i="4"/>
  <c r="J344" i="4"/>
  <c r="J312" i="4"/>
  <c r="J303" i="4"/>
  <c r="J287" i="4"/>
  <c r="J271" i="4"/>
  <c r="J255" i="4"/>
  <c r="J239" i="4"/>
  <c r="J218" i="4"/>
  <c r="J202" i="4"/>
  <c r="J186" i="4"/>
  <c r="J170" i="4"/>
  <c r="J405" i="4"/>
  <c r="J376" i="4"/>
  <c r="J352" i="4"/>
  <c r="J333" i="4"/>
  <c r="J300" i="4"/>
  <c r="J284" i="4"/>
  <c r="J268" i="4"/>
  <c r="J252" i="4"/>
  <c r="J236" i="4"/>
  <c r="J231" i="4"/>
  <c r="J215" i="4"/>
  <c r="J199" i="4"/>
  <c r="J183" i="4"/>
  <c r="J404" i="4"/>
  <c r="J373" i="4"/>
  <c r="J350" i="4"/>
  <c r="J331" i="4"/>
  <c r="J327" i="4"/>
  <c r="J323" i="4"/>
  <c r="J297" i="4"/>
  <c r="J281" i="4"/>
  <c r="J265" i="4"/>
  <c r="J249" i="4"/>
  <c r="J228" i="4"/>
  <c r="J212" i="4"/>
  <c r="J196" i="4"/>
  <c r="J378" i="4"/>
  <c r="J365" i="4"/>
  <c r="J363" i="4"/>
  <c r="J339" i="4"/>
  <c r="J310" i="4"/>
  <c r="J294" i="4"/>
  <c r="J408" i="4"/>
  <c r="J375" i="4"/>
  <c r="J356" i="4"/>
  <c r="J337" i="4"/>
  <c r="J325" i="4"/>
  <c r="J321" i="4"/>
  <c r="J317" i="4"/>
  <c r="J307" i="4"/>
  <c r="J291" i="4"/>
  <c r="J275" i="4"/>
  <c r="J259" i="4"/>
  <c r="J243" i="4"/>
  <c r="J222" i="4"/>
  <c r="J206" i="4"/>
  <c r="J372" i="4"/>
  <c r="J313" i="4"/>
  <c r="J304" i="4"/>
  <c r="J288" i="4"/>
  <c r="J272" i="4"/>
  <c r="J343" i="4"/>
  <c r="J315" i="4"/>
  <c r="J301" i="4"/>
  <c r="J285" i="4"/>
  <c r="J269" i="4"/>
  <c r="J253" i="4"/>
  <c r="J362" i="4"/>
  <c r="J360" i="4"/>
  <c r="J349" i="4"/>
  <c r="J295" i="4"/>
  <c r="F40" i="4"/>
  <c r="I54" i="4"/>
  <c r="H57" i="4"/>
  <c r="M58" i="4"/>
  <c r="G60" i="4"/>
  <c r="L61" i="4"/>
  <c r="F63" i="4"/>
  <c r="K64" i="4"/>
  <c r="E66" i="4"/>
  <c r="J67" i="4"/>
  <c r="I70" i="4"/>
  <c r="H73" i="4"/>
  <c r="M74" i="4"/>
  <c r="G76" i="4"/>
  <c r="L77" i="4"/>
  <c r="F79" i="4"/>
  <c r="K80" i="4"/>
  <c r="E82" i="4"/>
  <c r="J83" i="4"/>
  <c r="I86" i="4"/>
  <c r="H89" i="4"/>
  <c r="M90" i="4"/>
  <c r="G92" i="4"/>
  <c r="L93" i="4"/>
  <c r="F95" i="4"/>
  <c r="K96" i="4"/>
  <c r="E98" i="4"/>
  <c r="J99" i="4"/>
  <c r="I102" i="4"/>
  <c r="H105" i="4"/>
  <c r="M106" i="4"/>
  <c r="G108" i="4"/>
  <c r="L109" i="4"/>
  <c r="F111" i="4"/>
  <c r="K112" i="4"/>
  <c r="E114" i="4"/>
  <c r="J115" i="4"/>
  <c r="I118" i="4"/>
  <c r="H121" i="4"/>
  <c r="M122" i="4"/>
  <c r="G124" i="4"/>
  <c r="L125" i="4"/>
  <c r="F127" i="4"/>
  <c r="K128" i="4"/>
  <c r="E130" i="4"/>
  <c r="J131" i="4"/>
  <c r="I134" i="4"/>
  <c r="H137" i="4"/>
  <c r="M138" i="4"/>
  <c r="G140" i="4"/>
  <c r="L141" i="4"/>
  <c r="F143" i="4"/>
  <c r="K144" i="4"/>
  <c r="E146" i="4"/>
  <c r="J147" i="4"/>
  <c r="I150" i="4"/>
  <c r="H153" i="4"/>
  <c r="M154" i="4"/>
  <c r="G156" i="4"/>
  <c r="G158" i="4"/>
  <c r="G160" i="4"/>
  <c r="M162" i="4"/>
  <c r="H165" i="4"/>
  <c r="H167" i="4"/>
  <c r="L172" i="4"/>
  <c r="I175" i="4"/>
  <c r="J177" i="4"/>
  <c r="G180" i="4"/>
  <c r="L185" i="4"/>
  <c r="J188" i="4"/>
  <c r="I191" i="4"/>
  <c r="H194" i="4"/>
  <c r="G197" i="4"/>
  <c r="G200" i="4"/>
  <c r="H203" i="4"/>
  <c r="I206" i="4"/>
  <c r="H210" i="4"/>
  <c r="I213" i="4"/>
  <c r="J216" i="4"/>
  <c r="L219" i="4"/>
  <c r="J223" i="4"/>
  <c r="K226" i="4"/>
  <c r="L229" i="4"/>
  <c r="L235" i="4"/>
  <c r="M238" i="4"/>
  <c r="G249" i="4"/>
  <c r="H253" i="4"/>
  <c r="J257" i="4"/>
  <c r="I266" i="4"/>
  <c r="K275" i="4"/>
  <c r="M280" i="4"/>
  <c r="M285" i="4"/>
  <c r="K291" i="4"/>
  <c r="L299" i="4"/>
  <c r="E307" i="4"/>
  <c r="I315" i="4"/>
  <c r="I326" i="4"/>
  <c r="L347" i="4"/>
  <c r="M359" i="4"/>
  <c r="F372" i="4"/>
  <c r="E407" i="4"/>
  <c r="C671" i="4"/>
  <c r="F67" i="4"/>
  <c r="E102" i="4"/>
  <c r="K399" i="4"/>
  <c r="K383" i="4"/>
  <c r="K367" i="4"/>
  <c r="K351" i="4"/>
  <c r="K335" i="4"/>
  <c r="K319" i="4"/>
  <c r="K412" i="4"/>
  <c r="K396" i="4"/>
  <c r="K380" i="4"/>
  <c r="K364" i="4"/>
  <c r="K348" i="4"/>
  <c r="K332" i="4"/>
  <c r="K316" i="4"/>
  <c r="K409" i="4"/>
  <c r="K393" i="4"/>
  <c r="K377" i="4"/>
  <c r="K361" i="4"/>
  <c r="K345" i="4"/>
  <c r="K329" i="4"/>
  <c r="K313" i="4"/>
  <c r="K406" i="4"/>
  <c r="K390" i="4"/>
  <c r="K374" i="4"/>
  <c r="K358" i="4"/>
  <c r="K342" i="4"/>
  <c r="K326" i="4"/>
  <c r="K403" i="4"/>
  <c r="K387" i="4"/>
  <c r="K371" i="4"/>
  <c r="K355" i="4"/>
  <c r="K339" i="4"/>
  <c r="K400" i="4"/>
  <c r="K384" i="4"/>
  <c r="K368" i="4"/>
  <c r="K413" i="4"/>
  <c r="K397" i="4"/>
  <c r="K381" i="4"/>
  <c r="K410" i="4"/>
  <c r="K394" i="4"/>
  <c r="K378" i="4"/>
  <c r="K407" i="4"/>
  <c r="K391" i="4"/>
  <c r="K404" i="4"/>
  <c r="K389" i="4"/>
  <c r="K299" i="4"/>
  <c r="K283" i="4"/>
  <c r="K267" i="4"/>
  <c r="K251" i="4"/>
  <c r="K235" i="4"/>
  <c r="K230" i="4"/>
  <c r="K214" i="4"/>
  <c r="K198" i="4"/>
  <c r="K182" i="4"/>
  <c r="K166" i="4"/>
  <c r="K392" i="4"/>
  <c r="K359" i="4"/>
  <c r="K340" i="4"/>
  <c r="K322" i="4"/>
  <c r="K318" i="4"/>
  <c r="K314" i="4"/>
  <c r="K296" i="4"/>
  <c r="K280" i="4"/>
  <c r="K264" i="4"/>
  <c r="K248" i="4"/>
  <c r="K227" i="4"/>
  <c r="K211" i="4"/>
  <c r="K195" i="4"/>
  <c r="K179" i="4"/>
  <c r="K163" i="4"/>
  <c r="K402" i="4"/>
  <c r="K395" i="4"/>
  <c r="K388" i="4"/>
  <c r="K385" i="4"/>
  <c r="K366" i="4"/>
  <c r="K357" i="4"/>
  <c r="K338" i="4"/>
  <c r="K309" i="4"/>
  <c r="K293" i="4"/>
  <c r="K277" i="4"/>
  <c r="K261" i="4"/>
  <c r="K245" i="4"/>
  <c r="K224" i="4"/>
  <c r="K208" i="4"/>
  <c r="K192" i="4"/>
  <c r="K176" i="4"/>
  <c r="K160" i="4"/>
  <c r="K398" i="4"/>
  <c r="K382" i="4"/>
  <c r="K346" i="4"/>
  <c r="K306" i="4"/>
  <c r="K290" i="4"/>
  <c r="K274" i="4"/>
  <c r="K258" i="4"/>
  <c r="K242" i="4"/>
  <c r="K221" i="4"/>
  <c r="K205" i="4"/>
  <c r="K189" i="4"/>
  <c r="K173" i="4"/>
  <c r="K157" i="4"/>
  <c r="K401" i="4"/>
  <c r="K379" i="4"/>
  <c r="K344" i="4"/>
  <c r="K312" i="4"/>
  <c r="K303" i="4"/>
  <c r="K287" i="4"/>
  <c r="K271" i="4"/>
  <c r="K255" i="4"/>
  <c r="K239" i="4"/>
  <c r="K218" i="4"/>
  <c r="K202" i="4"/>
  <c r="K186" i="4"/>
  <c r="K170" i="4"/>
  <c r="K405" i="4"/>
  <c r="K376" i="4"/>
  <c r="K352" i="4"/>
  <c r="K333" i="4"/>
  <c r="K300" i="4"/>
  <c r="K284" i="4"/>
  <c r="K268" i="4"/>
  <c r="K252" i="4"/>
  <c r="K236" i="4"/>
  <c r="K231" i="4"/>
  <c r="K215" i="4"/>
  <c r="K199" i="4"/>
  <c r="K183" i="4"/>
  <c r="K167" i="4"/>
  <c r="K373" i="4"/>
  <c r="K350" i="4"/>
  <c r="K331" i="4"/>
  <c r="K327" i="4"/>
  <c r="K323" i="4"/>
  <c r="K297" i="4"/>
  <c r="K281" i="4"/>
  <c r="K265" i="4"/>
  <c r="K249" i="4"/>
  <c r="K228" i="4"/>
  <c r="K212" i="4"/>
  <c r="K196" i="4"/>
  <c r="K180" i="4"/>
  <c r="K365" i="4"/>
  <c r="K363" i="4"/>
  <c r="K310" i="4"/>
  <c r="K294" i="4"/>
  <c r="K278" i="4"/>
  <c r="K262" i="4"/>
  <c r="K246" i="4"/>
  <c r="K225" i="4"/>
  <c r="K209" i="4"/>
  <c r="K193" i="4"/>
  <c r="K408" i="4"/>
  <c r="K375" i="4"/>
  <c r="K370" i="4"/>
  <c r="K356" i="4"/>
  <c r="K337" i="4"/>
  <c r="K325" i="4"/>
  <c r="K321" i="4"/>
  <c r="K317" i="4"/>
  <c r="K307" i="4"/>
  <c r="K372" i="4"/>
  <c r="K354" i="4"/>
  <c r="K304" i="4"/>
  <c r="K288" i="4"/>
  <c r="K272" i="4"/>
  <c r="K256" i="4"/>
  <c r="K240" i="4"/>
  <c r="K219" i="4"/>
  <c r="K203" i="4"/>
  <c r="K343" i="4"/>
  <c r="K315" i="4"/>
  <c r="K301" i="4"/>
  <c r="K285" i="4"/>
  <c r="K269" i="4"/>
  <c r="K411" i="4"/>
  <c r="K341" i="4"/>
  <c r="K298" i="4"/>
  <c r="K282" i="4"/>
  <c r="K266" i="4"/>
  <c r="K250" i="4"/>
  <c r="K369" i="4"/>
  <c r="K347" i="4"/>
  <c r="K330" i="4"/>
  <c r="K311" i="4"/>
  <c r="K308" i="4"/>
  <c r="K292" i="4"/>
  <c r="G63" i="4"/>
  <c r="L64" i="4"/>
  <c r="F66" i="4"/>
  <c r="K67" i="4"/>
  <c r="E69" i="4"/>
  <c r="J70" i="4"/>
  <c r="I73" i="4"/>
  <c r="H76" i="4"/>
  <c r="M77" i="4"/>
  <c r="G79" i="4"/>
  <c r="L80" i="4"/>
  <c r="F82" i="4"/>
  <c r="K83" i="4"/>
  <c r="E85" i="4"/>
  <c r="J86" i="4"/>
  <c r="I89" i="4"/>
  <c r="H92" i="4"/>
  <c r="M93" i="4"/>
  <c r="G95" i="4"/>
  <c r="L96" i="4"/>
  <c r="F98" i="4"/>
  <c r="K99" i="4"/>
  <c r="E101" i="4"/>
  <c r="J102" i="4"/>
  <c r="I105" i="4"/>
  <c r="H108" i="4"/>
  <c r="M109" i="4"/>
  <c r="G111" i="4"/>
  <c r="L112" i="4"/>
  <c r="F114" i="4"/>
  <c r="K115" i="4"/>
  <c r="E117" i="4"/>
  <c r="J118" i="4"/>
  <c r="I121" i="4"/>
  <c r="H124" i="4"/>
  <c r="M125" i="4"/>
  <c r="G127" i="4"/>
  <c r="L128" i="4"/>
  <c r="F130" i="4"/>
  <c r="K131" i="4"/>
  <c r="E133" i="4"/>
  <c r="J134" i="4"/>
  <c r="I137" i="4"/>
  <c r="H140" i="4"/>
  <c r="M141" i="4"/>
  <c r="G143" i="4"/>
  <c r="L144" i="4"/>
  <c r="F146" i="4"/>
  <c r="K147" i="4"/>
  <c r="E149" i="4"/>
  <c r="J150" i="4"/>
  <c r="I153" i="4"/>
  <c r="H156" i="4"/>
  <c r="H158" i="4"/>
  <c r="I165" i="4"/>
  <c r="I167" i="4"/>
  <c r="E170" i="4"/>
  <c r="M172" i="4"/>
  <c r="J175" i="4"/>
  <c r="K177" i="4"/>
  <c r="H180" i="4"/>
  <c r="E183" i="4"/>
  <c r="M185" i="4"/>
  <c r="K188" i="4"/>
  <c r="J191" i="4"/>
  <c r="I194" i="4"/>
  <c r="H197" i="4"/>
  <c r="H200" i="4"/>
  <c r="I203" i="4"/>
  <c r="K206" i="4"/>
  <c r="I210" i="4"/>
  <c r="J213" i="4"/>
  <c r="K216" i="4"/>
  <c r="J220" i="4"/>
  <c r="K223" i="4"/>
  <c r="L226" i="4"/>
  <c r="M235" i="4"/>
  <c r="I249" i="4"/>
  <c r="I253" i="4"/>
  <c r="K257" i="4"/>
  <c r="E262" i="4"/>
  <c r="J266" i="4"/>
  <c r="G271" i="4"/>
  <c r="I276" i="4"/>
  <c r="K286" i="4"/>
  <c r="I292" i="4"/>
  <c r="M299" i="4"/>
  <c r="G307" i="4"/>
  <c r="J326" i="4"/>
  <c r="G337" i="4"/>
  <c r="H349" i="4"/>
  <c r="H372" i="4"/>
  <c r="F407" i="4"/>
  <c r="E70" i="4"/>
  <c r="I405" i="4"/>
  <c r="I389" i="4"/>
  <c r="I373" i="4"/>
  <c r="I357" i="4"/>
  <c r="I341" i="4"/>
  <c r="I325" i="4"/>
  <c r="I402" i="4"/>
  <c r="I386" i="4"/>
  <c r="I370" i="4"/>
  <c r="I354" i="4"/>
  <c r="I338" i="4"/>
  <c r="I322" i="4"/>
  <c r="I399" i="4"/>
  <c r="I383" i="4"/>
  <c r="I367" i="4"/>
  <c r="I351" i="4"/>
  <c r="I335" i="4"/>
  <c r="I319" i="4"/>
  <c r="I412" i="4"/>
  <c r="I396" i="4"/>
  <c r="I380" i="4"/>
  <c r="I364" i="4"/>
  <c r="I348" i="4"/>
  <c r="I332" i="4"/>
  <c r="I316" i="4"/>
  <c r="I409" i="4"/>
  <c r="I393" i="4"/>
  <c r="I377" i="4"/>
  <c r="I361" i="4"/>
  <c r="I345" i="4"/>
  <c r="I406" i="4"/>
  <c r="I390" i="4"/>
  <c r="I374" i="4"/>
  <c r="I403" i="4"/>
  <c r="I387" i="4"/>
  <c r="I400" i="4"/>
  <c r="I384" i="4"/>
  <c r="I413" i="4"/>
  <c r="I397" i="4"/>
  <c r="I410" i="4"/>
  <c r="I414" i="4"/>
  <c r="I371" i="4"/>
  <c r="I355" i="4"/>
  <c r="I336" i="4"/>
  <c r="I305" i="4"/>
  <c r="I289" i="4"/>
  <c r="I273" i="4"/>
  <c r="I257" i="4"/>
  <c r="I241" i="4"/>
  <c r="I220" i="4"/>
  <c r="I204" i="4"/>
  <c r="I188" i="4"/>
  <c r="I172" i="4"/>
  <c r="I353" i="4"/>
  <c r="I334" i="4"/>
  <c r="I328" i="4"/>
  <c r="I324" i="4"/>
  <c r="I320" i="4"/>
  <c r="I302" i="4"/>
  <c r="I286" i="4"/>
  <c r="I270" i="4"/>
  <c r="I254" i="4"/>
  <c r="I238" i="4"/>
  <c r="I217" i="4"/>
  <c r="I201" i="4"/>
  <c r="I185" i="4"/>
  <c r="I169" i="4"/>
  <c r="I342" i="4"/>
  <c r="I299" i="4"/>
  <c r="I283" i="4"/>
  <c r="I267" i="4"/>
  <c r="I251" i="4"/>
  <c r="I235" i="4"/>
  <c r="I230" i="4"/>
  <c r="I214" i="4"/>
  <c r="I198" i="4"/>
  <c r="I182" i="4"/>
  <c r="I166" i="4"/>
  <c r="I392" i="4"/>
  <c r="I359" i="4"/>
  <c r="I340" i="4"/>
  <c r="I318" i="4"/>
  <c r="I314" i="4"/>
  <c r="I296" i="4"/>
  <c r="I280" i="4"/>
  <c r="I264" i="4"/>
  <c r="I248" i="4"/>
  <c r="I227" i="4"/>
  <c r="I211" i="4"/>
  <c r="I195" i="4"/>
  <c r="I179" i="4"/>
  <c r="I163" i="4"/>
  <c r="I395" i="4"/>
  <c r="I388" i="4"/>
  <c r="I385" i="4"/>
  <c r="I368" i="4"/>
  <c r="I366" i="4"/>
  <c r="I309" i="4"/>
  <c r="I293" i="4"/>
  <c r="I277" i="4"/>
  <c r="I261" i="4"/>
  <c r="I245" i="4"/>
  <c r="I224" i="4"/>
  <c r="I208" i="4"/>
  <c r="I192" i="4"/>
  <c r="I176" i="4"/>
  <c r="I160" i="4"/>
  <c r="I398" i="4"/>
  <c r="I391" i="4"/>
  <c r="I382" i="4"/>
  <c r="I346" i="4"/>
  <c r="I306" i="4"/>
  <c r="I290" i="4"/>
  <c r="I274" i="4"/>
  <c r="I258" i="4"/>
  <c r="I242" i="4"/>
  <c r="I221" i="4"/>
  <c r="I205" i="4"/>
  <c r="I189" i="4"/>
  <c r="I173" i="4"/>
  <c r="I157" i="4"/>
  <c r="I401" i="4"/>
  <c r="I394" i="4"/>
  <c r="I379" i="4"/>
  <c r="I344" i="4"/>
  <c r="I329" i="4"/>
  <c r="I312" i="4"/>
  <c r="I303" i="4"/>
  <c r="I287" i="4"/>
  <c r="I271" i="4"/>
  <c r="I255" i="4"/>
  <c r="I239" i="4"/>
  <c r="I218" i="4"/>
  <c r="I202" i="4"/>
  <c r="I186" i="4"/>
  <c r="I170" i="4"/>
  <c r="I376" i="4"/>
  <c r="I352" i="4"/>
  <c r="I333" i="4"/>
  <c r="I300" i="4"/>
  <c r="I284" i="4"/>
  <c r="I268" i="4"/>
  <c r="I252" i="4"/>
  <c r="I236" i="4"/>
  <c r="I231" i="4"/>
  <c r="I215" i="4"/>
  <c r="I199" i="4"/>
  <c r="I404" i="4"/>
  <c r="I381" i="4"/>
  <c r="I350" i="4"/>
  <c r="I331" i="4"/>
  <c r="I327" i="4"/>
  <c r="I323" i="4"/>
  <c r="I297" i="4"/>
  <c r="I378" i="4"/>
  <c r="I365" i="4"/>
  <c r="I363" i="4"/>
  <c r="I358" i="4"/>
  <c r="I339" i="4"/>
  <c r="I310" i="4"/>
  <c r="I294" i="4"/>
  <c r="I278" i="4"/>
  <c r="I262" i="4"/>
  <c r="I246" i="4"/>
  <c r="I225" i="4"/>
  <c r="I209" i="4"/>
  <c r="I408" i="4"/>
  <c r="I375" i="4"/>
  <c r="I356" i="4"/>
  <c r="I337" i="4"/>
  <c r="I321" i="4"/>
  <c r="I317" i="4"/>
  <c r="I307" i="4"/>
  <c r="I291" i="4"/>
  <c r="I275" i="4"/>
  <c r="I259" i="4"/>
  <c r="I407" i="4"/>
  <c r="I372" i="4"/>
  <c r="I313" i="4"/>
  <c r="I304" i="4"/>
  <c r="I288" i="4"/>
  <c r="I272" i="4"/>
  <c r="I256" i="4"/>
  <c r="I411" i="4"/>
  <c r="I298" i="4"/>
  <c r="I282" i="4"/>
  <c r="F60" i="4"/>
  <c r="L412" i="4"/>
  <c r="L396" i="4"/>
  <c r="L380" i="4"/>
  <c r="L364" i="4"/>
  <c r="L348" i="4"/>
  <c r="L332" i="4"/>
  <c r="L316" i="4"/>
  <c r="L409" i="4"/>
  <c r="L393" i="4"/>
  <c r="L377" i="4"/>
  <c r="L361" i="4"/>
  <c r="L345" i="4"/>
  <c r="L329" i="4"/>
  <c r="L313" i="4"/>
  <c r="L406" i="4"/>
  <c r="L390" i="4"/>
  <c r="L374" i="4"/>
  <c r="L358" i="4"/>
  <c r="L342" i="4"/>
  <c r="L326" i="4"/>
  <c r="L403" i="4"/>
  <c r="L387" i="4"/>
  <c r="L371" i="4"/>
  <c r="L355" i="4"/>
  <c r="L339" i="4"/>
  <c r="L323" i="4"/>
  <c r="L400" i="4"/>
  <c r="L384" i="4"/>
  <c r="L368" i="4"/>
  <c r="L352" i="4"/>
  <c r="L336" i="4"/>
  <c r="L413" i="4"/>
  <c r="L397" i="4"/>
  <c r="L381" i="4"/>
  <c r="L365" i="4"/>
  <c r="L410" i="4"/>
  <c r="L394" i="4"/>
  <c r="L378" i="4"/>
  <c r="L407" i="4"/>
  <c r="L391" i="4"/>
  <c r="L375" i="4"/>
  <c r="L404" i="4"/>
  <c r="L388" i="4"/>
  <c r="L414" i="4"/>
  <c r="L399" i="4"/>
  <c r="L392" i="4"/>
  <c r="L359" i="4"/>
  <c r="L340" i="4"/>
  <c r="L322" i="4"/>
  <c r="L318" i="4"/>
  <c r="L314" i="4"/>
  <c r="L296" i="4"/>
  <c r="L280" i="4"/>
  <c r="L264" i="4"/>
  <c r="L248" i="4"/>
  <c r="L227" i="4"/>
  <c r="L211" i="4"/>
  <c r="L195" i="4"/>
  <c r="L179" i="4"/>
  <c r="L163" i="4"/>
  <c r="L402" i="4"/>
  <c r="L395" i="4"/>
  <c r="L385" i="4"/>
  <c r="L366" i="4"/>
  <c r="L357" i="4"/>
  <c r="L338" i="4"/>
  <c r="L309" i="4"/>
  <c r="L293" i="4"/>
  <c r="L277" i="4"/>
  <c r="L261" i="4"/>
  <c r="L245" i="4"/>
  <c r="L224" i="4"/>
  <c r="L208" i="4"/>
  <c r="L192" i="4"/>
  <c r="L176" i="4"/>
  <c r="L160" i="4"/>
  <c r="L398" i="4"/>
  <c r="L382" i="4"/>
  <c r="L346" i="4"/>
  <c r="L306" i="4"/>
  <c r="L290" i="4"/>
  <c r="L274" i="4"/>
  <c r="L258" i="4"/>
  <c r="L242" i="4"/>
  <c r="L221" i="4"/>
  <c r="L205" i="4"/>
  <c r="L189" i="4"/>
  <c r="L173" i="4"/>
  <c r="L157" i="4"/>
  <c r="L401" i="4"/>
  <c r="L379" i="4"/>
  <c r="L344" i="4"/>
  <c r="L312" i="4"/>
  <c r="L303" i="4"/>
  <c r="L287" i="4"/>
  <c r="L271" i="4"/>
  <c r="L255" i="4"/>
  <c r="L239" i="4"/>
  <c r="L218" i="4"/>
  <c r="L202" i="4"/>
  <c r="L186" i="4"/>
  <c r="L170" i="4"/>
  <c r="L405" i="4"/>
  <c r="L376" i="4"/>
  <c r="L333" i="4"/>
  <c r="L300" i="4"/>
  <c r="L284" i="4"/>
  <c r="L268" i="4"/>
  <c r="L252" i="4"/>
  <c r="L236" i="4"/>
  <c r="L231" i="4"/>
  <c r="L215" i="4"/>
  <c r="L199" i="4"/>
  <c r="L183" i="4"/>
  <c r="L167" i="4"/>
  <c r="L373" i="4"/>
  <c r="L350" i="4"/>
  <c r="L331" i="4"/>
  <c r="L327" i="4"/>
  <c r="L297" i="4"/>
  <c r="L281" i="4"/>
  <c r="L265" i="4"/>
  <c r="L249" i="4"/>
  <c r="L228" i="4"/>
  <c r="L212" i="4"/>
  <c r="L196" i="4"/>
  <c r="L180" i="4"/>
  <c r="L164" i="4"/>
  <c r="L363" i="4"/>
  <c r="L310" i="4"/>
  <c r="L294" i="4"/>
  <c r="L278" i="4"/>
  <c r="L262" i="4"/>
  <c r="L246" i="4"/>
  <c r="L225" i="4"/>
  <c r="L209" i="4"/>
  <c r="L193" i="4"/>
  <c r="L177" i="4"/>
  <c r="L408" i="4"/>
  <c r="L370" i="4"/>
  <c r="L356" i="4"/>
  <c r="L337" i="4"/>
  <c r="L325" i="4"/>
  <c r="L321" i="4"/>
  <c r="L317" i="4"/>
  <c r="L307" i="4"/>
  <c r="L291" i="4"/>
  <c r="L275" i="4"/>
  <c r="L259" i="4"/>
  <c r="L243" i="4"/>
  <c r="L222" i="4"/>
  <c r="L206" i="4"/>
  <c r="L190" i="4"/>
  <c r="L372" i="4"/>
  <c r="L354" i="4"/>
  <c r="L335" i="4"/>
  <c r="L304" i="4"/>
  <c r="L343" i="4"/>
  <c r="L319" i="4"/>
  <c r="L315" i="4"/>
  <c r="L301" i="4"/>
  <c r="L285" i="4"/>
  <c r="L269" i="4"/>
  <c r="L253" i="4"/>
  <c r="L237" i="4"/>
  <c r="L232" i="4"/>
  <c r="L216" i="4"/>
  <c r="L200" i="4"/>
  <c r="L411" i="4"/>
  <c r="L341" i="4"/>
  <c r="L298" i="4"/>
  <c r="L282" i="4"/>
  <c r="L266" i="4"/>
  <c r="L362" i="4"/>
  <c r="L360" i="4"/>
  <c r="L349" i="4"/>
  <c r="L295" i="4"/>
  <c r="L279" i="4"/>
  <c r="L263" i="4"/>
  <c r="L247" i="4"/>
  <c r="L305" i="4"/>
  <c r="L289" i="4"/>
  <c r="F53" i="4"/>
  <c r="K54" i="4"/>
  <c r="E56" i="4"/>
  <c r="J57" i="4"/>
  <c r="I60" i="4"/>
  <c r="H63" i="4"/>
  <c r="M64" i="4"/>
  <c r="G66" i="4"/>
  <c r="L67" i="4"/>
  <c r="F69" i="4"/>
  <c r="K70" i="4"/>
  <c r="E72" i="4"/>
  <c r="J73" i="4"/>
  <c r="I76" i="4"/>
  <c r="H79" i="4"/>
  <c r="M80" i="4"/>
  <c r="G82" i="4"/>
  <c r="L83" i="4"/>
  <c r="F85" i="4"/>
  <c r="K86" i="4"/>
  <c r="E88" i="4"/>
  <c r="J89" i="4"/>
  <c r="I92" i="4"/>
  <c r="H95" i="4"/>
  <c r="M96" i="4"/>
  <c r="G98" i="4"/>
  <c r="L99" i="4"/>
  <c r="F101" i="4"/>
  <c r="K102" i="4"/>
  <c r="E104" i="4"/>
  <c r="J105" i="4"/>
  <c r="I108" i="4"/>
  <c r="H111" i="4"/>
  <c r="M112" i="4"/>
  <c r="G114" i="4"/>
  <c r="L115" i="4"/>
  <c r="F117" i="4"/>
  <c r="K118" i="4"/>
  <c r="E120" i="4"/>
  <c r="J121" i="4"/>
  <c r="I124" i="4"/>
  <c r="H127" i="4"/>
  <c r="M128" i="4"/>
  <c r="G130" i="4"/>
  <c r="L131" i="4"/>
  <c r="F133" i="4"/>
  <c r="K134" i="4"/>
  <c r="E136" i="4"/>
  <c r="J137" i="4"/>
  <c r="I140" i="4"/>
  <c r="H143" i="4"/>
  <c r="M144" i="4"/>
  <c r="G146" i="4"/>
  <c r="L147" i="4"/>
  <c r="F149" i="4"/>
  <c r="K150" i="4"/>
  <c r="E152" i="4"/>
  <c r="J153" i="4"/>
  <c r="I156" i="4"/>
  <c r="I158" i="4"/>
  <c r="J165" i="4"/>
  <c r="J167" i="4"/>
  <c r="F170" i="4"/>
  <c r="K175" i="4"/>
  <c r="H178" i="4"/>
  <c r="I180" i="4"/>
  <c r="F183" i="4"/>
  <c r="L188" i="4"/>
  <c r="K191" i="4"/>
  <c r="J194" i="4"/>
  <c r="I197" i="4"/>
  <c r="I200" i="4"/>
  <c r="J203" i="4"/>
  <c r="I207" i="4"/>
  <c r="J210" i="4"/>
  <c r="K213" i="4"/>
  <c r="M216" i="4"/>
  <c r="K220" i="4"/>
  <c r="L223" i="4"/>
  <c r="M226" i="4"/>
  <c r="L230" i="4"/>
  <c r="B238" i="4"/>
  <c r="F242" i="4"/>
  <c r="E246" i="4"/>
  <c r="G250" i="4"/>
  <c r="K253" i="4"/>
  <c r="L257" i="4"/>
  <c r="E272" i="4"/>
  <c r="J276" i="4"/>
  <c r="L286" i="4"/>
  <c r="J292" i="4"/>
  <c r="I308" i="4"/>
  <c r="E317" i="4"/>
  <c r="E327" i="4"/>
  <c r="I349" i="4"/>
  <c r="K360" i="4"/>
  <c r="H407" i="4"/>
  <c r="H676" i="4"/>
  <c r="F414" i="4"/>
  <c r="F398" i="4"/>
  <c r="F382" i="4"/>
  <c r="F366" i="4"/>
  <c r="F350" i="4"/>
  <c r="F334" i="4"/>
  <c r="F318" i="4"/>
  <c r="F411" i="4"/>
  <c r="F395" i="4"/>
  <c r="F379" i="4"/>
  <c r="F363" i="4"/>
  <c r="F347" i="4"/>
  <c r="F331" i="4"/>
  <c r="F315" i="4"/>
  <c r="F408" i="4"/>
  <c r="F392" i="4"/>
  <c r="F376" i="4"/>
  <c r="F360" i="4"/>
  <c r="F344" i="4"/>
  <c r="F328" i="4"/>
  <c r="F312" i="4"/>
  <c r="F405" i="4"/>
  <c r="F389" i="4"/>
  <c r="F373" i="4"/>
  <c r="F357" i="4"/>
  <c r="F341" i="4"/>
  <c r="F325" i="4"/>
  <c r="F402" i="4"/>
  <c r="F386" i="4"/>
  <c r="F370" i="4"/>
  <c r="F354" i="4"/>
  <c r="F338" i="4"/>
  <c r="F399" i="4"/>
  <c r="F383" i="4"/>
  <c r="F367" i="4"/>
  <c r="F412" i="4"/>
  <c r="F396" i="4"/>
  <c r="F380" i="4"/>
  <c r="F409" i="4"/>
  <c r="F393" i="4"/>
  <c r="F377" i="4"/>
  <c r="F406" i="4"/>
  <c r="F390" i="4"/>
  <c r="F403" i="4"/>
  <c r="F374" i="4"/>
  <c r="F351" i="4"/>
  <c r="F332" i="4"/>
  <c r="F298" i="4"/>
  <c r="F282" i="4"/>
  <c r="F266" i="4"/>
  <c r="F250" i="4"/>
  <c r="F229" i="4"/>
  <c r="F213" i="4"/>
  <c r="F197" i="4"/>
  <c r="F181" i="4"/>
  <c r="F165" i="4"/>
  <c r="F410" i="4"/>
  <c r="F364" i="4"/>
  <c r="F362" i="4"/>
  <c r="F349" i="4"/>
  <c r="F295" i="4"/>
  <c r="F279" i="4"/>
  <c r="F263" i="4"/>
  <c r="F247" i="4"/>
  <c r="F226" i="4"/>
  <c r="F210" i="4"/>
  <c r="F194" i="4"/>
  <c r="F178" i="4"/>
  <c r="F162" i="4"/>
  <c r="F371" i="4"/>
  <c r="F369" i="4"/>
  <c r="F330" i="4"/>
  <c r="F326" i="4"/>
  <c r="F322" i="4"/>
  <c r="F311" i="4"/>
  <c r="F308" i="4"/>
  <c r="F292" i="4"/>
  <c r="F276" i="4"/>
  <c r="F260" i="4"/>
  <c r="F244" i="4"/>
  <c r="F223" i="4"/>
  <c r="F207" i="4"/>
  <c r="F191" i="4"/>
  <c r="F175" i="4"/>
  <c r="F159" i="4"/>
  <c r="F355" i="4"/>
  <c r="F336" i="4"/>
  <c r="F305" i="4"/>
  <c r="F289" i="4"/>
  <c r="F273" i="4"/>
  <c r="F257" i="4"/>
  <c r="F241" i="4"/>
  <c r="F220" i="4"/>
  <c r="F204" i="4"/>
  <c r="F188" i="4"/>
  <c r="F172" i="4"/>
  <c r="F413" i="4"/>
  <c r="F353" i="4"/>
  <c r="F324" i="4"/>
  <c r="F320" i="4"/>
  <c r="F316" i="4"/>
  <c r="F302" i="4"/>
  <c r="F286" i="4"/>
  <c r="F270" i="4"/>
  <c r="F254" i="4"/>
  <c r="F238" i="4"/>
  <c r="F217" i="4"/>
  <c r="F201" i="4"/>
  <c r="F185" i="4"/>
  <c r="F169" i="4"/>
  <c r="F342" i="4"/>
  <c r="F299" i="4"/>
  <c r="F283" i="4"/>
  <c r="F267" i="4"/>
  <c r="F251" i="4"/>
  <c r="F235" i="4"/>
  <c r="F230" i="4"/>
  <c r="F214" i="4"/>
  <c r="F198" i="4"/>
  <c r="F182" i="4"/>
  <c r="F166" i="4"/>
  <c r="F361" i="4"/>
  <c r="F359" i="4"/>
  <c r="F340" i="4"/>
  <c r="F314" i="4"/>
  <c r="F296" i="4"/>
  <c r="F280" i="4"/>
  <c r="F264" i="4"/>
  <c r="F248" i="4"/>
  <c r="F227" i="4"/>
  <c r="F211" i="4"/>
  <c r="F195" i="4"/>
  <c r="F179" i="4"/>
  <c r="F388" i="4"/>
  <c r="F385" i="4"/>
  <c r="F368" i="4"/>
  <c r="F348" i="4"/>
  <c r="F309" i="4"/>
  <c r="F293" i="4"/>
  <c r="F277" i="4"/>
  <c r="F261" i="4"/>
  <c r="F245" i="4"/>
  <c r="F224" i="4"/>
  <c r="F208" i="4"/>
  <c r="F192" i="4"/>
  <c r="F391" i="4"/>
  <c r="F346" i="4"/>
  <c r="F306" i="4"/>
  <c r="F401" i="4"/>
  <c r="F394" i="4"/>
  <c r="F387" i="4"/>
  <c r="F335" i="4"/>
  <c r="F329" i="4"/>
  <c r="F303" i="4"/>
  <c r="F287" i="4"/>
  <c r="F271" i="4"/>
  <c r="F255" i="4"/>
  <c r="F239" i="4"/>
  <c r="F218" i="4"/>
  <c r="F202" i="4"/>
  <c r="F397" i="4"/>
  <c r="F384" i="4"/>
  <c r="F352" i="4"/>
  <c r="F333" i="4"/>
  <c r="F300" i="4"/>
  <c r="F284" i="4"/>
  <c r="F268" i="4"/>
  <c r="F404" i="4"/>
  <c r="F400" i="4"/>
  <c r="F381" i="4"/>
  <c r="F327" i="4"/>
  <c r="F323" i="4"/>
  <c r="F319" i="4"/>
  <c r="F297" i="4"/>
  <c r="F281" i="4"/>
  <c r="F265" i="4"/>
  <c r="F249" i="4"/>
  <c r="F375" i="4"/>
  <c r="F356" i="4"/>
  <c r="F337" i="4"/>
  <c r="F321" i="4"/>
  <c r="F317" i="4"/>
  <c r="F307" i="4"/>
  <c r="F291" i="4"/>
  <c r="K61" i="4"/>
  <c r="I67" i="4"/>
  <c r="G40" i="4"/>
  <c r="J54" i="4"/>
  <c r="H60" i="4"/>
  <c r="F36" i="4"/>
  <c r="M409" i="4"/>
  <c r="M393" i="4"/>
  <c r="M377" i="4"/>
  <c r="M361" i="4"/>
  <c r="M345" i="4"/>
  <c r="M329" i="4"/>
  <c r="M313" i="4"/>
  <c r="M406" i="4"/>
  <c r="M390" i="4"/>
  <c r="M374" i="4"/>
  <c r="M358" i="4"/>
  <c r="M342" i="4"/>
  <c r="M326" i="4"/>
  <c r="M310" i="4"/>
  <c r="M403" i="4"/>
  <c r="M387" i="4"/>
  <c r="M371" i="4"/>
  <c r="M355" i="4"/>
  <c r="M339" i="4"/>
  <c r="M323" i="4"/>
  <c r="M400" i="4"/>
  <c r="M384" i="4"/>
  <c r="M368" i="4"/>
  <c r="M352" i="4"/>
  <c r="M336" i="4"/>
  <c r="M320" i="4"/>
  <c r="M413" i="4"/>
  <c r="M397" i="4"/>
  <c r="M381" i="4"/>
  <c r="M365" i="4"/>
  <c r="M349" i="4"/>
  <c r="M333" i="4"/>
  <c r="M410" i="4"/>
  <c r="M394" i="4"/>
  <c r="M378" i="4"/>
  <c r="M362" i="4"/>
  <c r="M407" i="4"/>
  <c r="M391" i="4"/>
  <c r="M375" i="4"/>
  <c r="M404" i="4"/>
  <c r="M388" i="4"/>
  <c r="M372" i="4"/>
  <c r="M401" i="4"/>
  <c r="M414" i="4"/>
  <c r="M402" i="4"/>
  <c r="M395" i="4"/>
  <c r="M385" i="4"/>
  <c r="M366" i="4"/>
  <c r="M364" i="4"/>
  <c r="M357" i="4"/>
  <c r="M338" i="4"/>
  <c r="M309" i="4"/>
  <c r="M293" i="4"/>
  <c r="M277" i="4"/>
  <c r="M261" i="4"/>
  <c r="M245" i="4"/>
  <c r="M224" i="4"/>
  <c r="M208" i="4"/>
  <c r="M192" i="4"/>
  <c r="M176" i="4"/>
  <c r="M160" i="4"/>
  <c r="M398" i="4"/>
  <c r="M382" i="4"/>
  <c r="M346" i="4"/>
  <c r="M316" i="4"/>
  <c r="M306" i="4"/>
  <c r="M290" i="4"/>
  <c r="M274" i="4"/>
  <c r="M258" i="4"/>
  <c r="M242" i="4"/>
  <c r="M221" i="4"/>
  <c r="M205" i="4"/>
  <c r="M189" i="4"/>
  <c r="M173" i="4"/>
  <c r="M157" i="4"/>
  <c r="M379" i="4"/>
  <c r="M344" i="4"/>
  <c r="M312" i="4"/>
  <c r="M303" i="4"/>
  <c r="M287" i="4"/>
  <c r="M271" i="4"/>
  <c r="M255" i="4"/>
  <c r="M239" i="4"/>
  <c r="M218" i="4"/>
  <c r="M202" i="4"/>
  <c r="M186" i="4"/>
  <c r="M170" i="4"/>
  <c r="M405" i="4"/>
  <c r="M376" i="4"/>
  <c r="M300" i="4"/>
  <c r="M284" i="4"/>
  <c r="M268" i="4"/>
  <c r="M252" i="4"/>
  <c r="M236" i="4"/>
  <c r="M231" i="4"/>
  <c r="M215" i="4"/>
  <c r="M199" i="4"/>
  <c r="M183" i="4"/>
  <c r="M167" i="4"/>
  <c r="M373" i="4"/>
  <c r="M350" i="4"/>
  <c r="M331" i="4"/>
  <c r="M327" i="4"/>
  <c r="M297" i="4"/>
  <c r="M281" i="4"/>
  <c r="M265" i="4"/>
  <c r="M249" i="4"/>
  <c r="M228" i="4"/>
  <c r="M212" i="4"/>
  <c r="M196" i="4"/>
  <c r="M180" i="4"/>
  <c r="M164" i="4"/>
  <c r="M363" i="4"/>
  <c r="M348" i="4"/>
  <c r="M294" i="4"/>
  <c r="M278" i="4"/>
  <c r="M262" i="4"/>
  <c r="M246" i="4"/>
  <c r="M225" i="4"/>
  <c r="M209" i="4"/>
  <c r="M193" i="4"/>
  <c r="M177" i="4"/>
  <c r="M161" i="4"/>
  <c r="M408" i="4"/>
  <c r="M370" i="4"/>
  <c r="M356" i="4"/>
  <c r="M337" i="4"/>
  <c r="M325" i="4"/>
  <c r="M321" i="4"/>
  <c r="M317" i="4"/>
  <c r="M307" i="4"/>
  <c r="M291" i="4"/>
  <c r="M275" i="4"/>
  <c r="M259" i="4"/>
  <c r="M243" i="4"/>
  <c r="M222" i="4"/>
  <c r="M206" i="4"/>
  <c r="M190" i="4"/>
  <c r="M174" i="4"/>
  <c r="M354" i="4"/>
  <c r="M335" i="4"/>
  <c r="M304" i="4"/>
  <c r="M288" i="4"/>
  <c r="M272" i="4"/>
  <c r="M256" i="4"/>
  <c r="M240" i="4"/>
  <c r="M219" i="4"/>
  <c r="M203" i="4"/>
  <c r="M187" i="4"/>
  <c r="M412" i="4"/>
  <c r="M343" i="4"/>
  <c r="M319" i="4"/>
  <c r="M315" i="4"/>
  <c r="M301" i="4"/>
  <c r="M411" i="4"/>
  <c r="M341" i="4"/>
  <c r="M298" i="4"/>
  <c r="M282" i="4"/>
  <c r="M266" i="4"/>
  <c r="M250" i="4"/>
  <c r="M229" i="4"/>
  <c r="M213" i="4"/>
  <c r="M360" i="4"/>
  <c r="M295" i="4"/>
  <c r="M279" i="4"/>
  <c r="M263" i="4"/>
  <c r="M369" i="4"/>
  <c r="M367" i="4"/>
  <c r="M347" i="4"/>
  <c r="M330" i="4"/>
  <c r="M311" i="4"/>
  <c r="M308" i="4"/>
  <c r="M292" i="4"/>
  <c r="M276" i="4"/>
  <c r="M260" i="4"/>
  <c r="M244" i="4"/>
  <c r="M386" i="4"/>
  <c r="M353" i="4"/>
  <c r="M334" i="4"/>
  <c r="M328" i="4"/>
  <c r="M324" i="4"/>
  <c r="M302" i="4"/>
  <c r="M286" i="4"/>
  <c r="G36" i="4"/>
  <c r="I40" i="4"/>
  <c r="G53" i="4"/>
  <c r="L54" i="4"/>
  <c r="F56" i="4"/>
  <c r="K57" i="4"/>
  <c r="E59" i="4"/>
  <c r="J60" i="4"/>
  <c r="I63" i="4"/>
  <c r="H66" i="4"/>
  <c r="M67" i="4"/>
  <c r="G69" i="4"/>
  <c r="L70" i="4"/>
  <c r="F72" i="4"/>
  <c r="K73" i="4"/>
  <c r="E75" i="4"/>
  <c r="J76" i="4"/>
  <c r="I79" i="4"/>
  <c r="H82" i="4"/>
  <c r="M83" i="4"/>
  <c r="G85" i="4"/>
  <c r="L86" i="4"/>
  <c r="F88" i="4"/>
  <c r="K89" i="4"/>
  <c r="E91" i="4"/>
  <c r="J92" i="4"/>
  <c r="I95" i="4"/>
  <c r="H98" i="4"/>
  <c r="M99" i="4"/>
  <c r="G101" i="4"/>
  <c r="L102" i="4"/>
  <c r="F104" i="4"/>
  <c r="K105" i="4"/>
  <c r="E107" i="4"/>
  <c r="J108" i="4"/>
  <c r="I111" i="4"/>
  <c r="H114" i="4"/>
  <c r="M115" i="4"/>
  <c r="G117" i="4"/>
  <c r="L118" i="4"/>
  <c r="F120" i="4"/>
  <c r="K121" i="4"/>
  <c r="E123" i="4"/>
  <c r="J124" i="4"/>
  <c r="I127" i="4"/>
  <c r="H130" i="4"/>
  <c r="M131" i="4"/>
  <c r="G133" i="4"/>
  <c r="L134" i="4"/>
  <c r="F136" i="4"/>
  <c r="K137" i="4"/>
  <c r="E139" i="4"/>
  <c r="J140" i="4"/>
  <c r="I143" i="4"/>
  <c r="H146" i="4"/>
  <c r="M147" i="4"/>
  <c r="G149" i="4"/>
  <c r="L150" i="4"/>
  <c r="F152" i="4"/>
  <c r="K153" i="4"/>
  <c r="E155" i="4"/>
  <c r="J156" i="4"/>
  <c r="J158" i="4"/>
  <c r="E161" i="4"/>
  <c r="E163" i="4"/>
  <c r="K165" i="4"/>
  <c r="F168" i="4"/>
  <c r="G170" i="4"/>
  <c r="L175" i="4"/>
  <c r="I178" i="4"/>
  <c r="J180" i="4"/>
  <c r="G183" i="4"/>
  <c r="M188" i="4"/>
  <c r="L191" i="4"/>
  <c r="K194" i="4"/>
  <c r="J197" i="4"/>
  <c r="J200" i="4"/>
  <c r="L203" i="4"/>
  <c r="J207" i="4"/>
  <c r="K210" i="4"/>
  <c r="L213" i="4"/>
  <c r="K217" i="4"/>
  <c r="L220" i="4"/>
  <c r="M223" i="4"/>
  <c r="M230" i="4"/>
  <c r="E239" i="4"/>
  <c r="F246" i="4"/>
  <c r="H250" i="4"/>
  <c r="M253" i="4"/>
  <c r="M257" i="4"/>
  <c r="J262" i="4"/>
  <c r="L267" i="4"/>
  <c r="F272" i="4"/>
  <c r="K276" i="4"/>
  <c r="E281" i="4"/>
  <c r="L292" i="4"/>
  <c r="F301" i="4"/>
  <c r="J308" i="4"/>
  <c r="G317" i="4"/>
  <c r="K328" i="4"/>
  <c r="K349" i="4"/>
  <c r="H362" i="4"/>
  <c r="E375" i="4"/>
  <c r="H410" i="4"/>
  <c r="D725" i="4"/>
  <c r="H613" i="4"/>
  <c r="H612" i="4"/>
  <c r="E86" i="4"/>
  <c r="E53" i="4"/>
  <c r="I57" i="4"/>
  <c r="H40" i="4"/>
  <c r="E610" i="4"/>
  <c r="H36" i="4"/>
  <c r="J40" i="4"/>
  <c r="E43" i="4"/>
  <c r="H53" i="4"/>
  <c r="M54" i="4"/>
  <c r="G56" i="4"/>
  <c r="L57" i="4"/>
  <c r="F59" i="4"/>
  <c r="K60" i="4"/>
  <c r="E62" i="4"/>
  <c r="J63" i="4"/>
  <c r="I66" i="4"/>
  <c r="H69" i="4"/>
  <c r="M70" i="4"/>
  <c r="G72" i="4"/>
  <c r="L73" i="4"/>
  <c r="F75" i="4"/>
  <c r="K76" i="4"/>
  <c r="E78" i="4"/>
  <c r="J79" i="4"/>
  <c r="I82" i="4"/>
  <c r="H85" i="4"/>
  <c r="M86" i="4"/>
  <c r="G88" i="4"/>
  <c r="L89" i="4"/>
  <c r="F91" i="4"/>
  <c r="K92" i="4"/>
  <c r="E94" i="4"/>
  <c r="J95" i="4"/>
  <c r="I98" i="4"/>
  <c r="H101" i="4"/>
  <c r="M102" i="4"/>
  <c r="G104" i="4"/>
  <c r="L105" i="4"/>
  <c r="F107" i="4"/>
  <c r="K108" i="4"/>
  <c r="E110" i="4"/>
  <c r="J111" i="4"/>
  <c r="I114" i="4"/>
  <c r="H117" i="4"/>
  <c r="M118" i="4"/>
  <c r="G120" i="4"/>
  <c r="L121" i="4"/>
  <c r="F123" i="4"/>
  <c r="K124" i="4"/>
  <c r="E126" i="4"/>
  <c r="J127" i="4"/>
  <c r="I130" i="4"/>
  <c r="H133" i="4"/>
  <c r="M134" i="4"/>
  <c r="G136" i="4"/>
  <c r="L137" i="4"/>
  <c r="F139" i="4"/>
  <c r="K140" i="4"/>
  <c r="E142" i="4"/>
  <c r="J143" i="4"/>
  <c r="I146" i="4"/>
  <c r="H149" i="4"/>
  <c r="M150" i="4"/>
  <c r="G152" i="4"/>
  <c r="L153" i="4"/>
  <c r="F155" i="4"/>
  <c r="K156" i="4"/>
  <c r="K158" i="4"/>
  <c r="F161" i="4"/>
  <c r="F163" i="4"/>
  <c r="L165" i="4"/>
  <c r="G168" i="4"/>
  <c r="H170" i="4"/>
  <c r="E173" i="4"/>
  <c r="M175" i="4"/>
  <c r="J178" i="4"/>
  <c r="G181" i="4"/>
  <c r="H183" i="4"/>
  <c r="E186" i="4"/>
  <c r="M191" i="4"/>
  <c r="L194" i="4"/>
  <c r="K197" i="4"/>
  <c r="K200" i="4"/>
  <c r="J204" i="4"/>
  <c r="K207" i="4"/>
  <c r="L210" i="4"/>
  <c r="L217" i="4"/>
  <c r="M220" i="4"/>
  <c r="M227" i="4"/>
  <c r="E236" i="4"/>
  <c r="G239" i="4"/>
  <c r="E243" i="4"/>
  <c r="H246" i="4"/>
  <c r="I250" i="4"/>
  <c r="K254" i="4"/>
  <c r="F258" i="4"/>
  <c r="H263" i="4"/>
  <c r="M267" i="4"/>
  <c r="G272" i="4"/>
  <c r="L276" i="4"/>
  <c r="I281" i="4"/>
  <c r="G287" i="4"/>
  <c r="G301" i="4"/>
  <c r="L308" i="4"/>
  <c r="M318" i="4"/>
  <c r="L328" i="4"/>
  <c r="F339" i="4"/>
  <c r="L351" i="4"/>
  <c r="I362" i="4"/>
  <c r="M392" i="4"/>
  <c r="H411" i="4"/>
  <c r="F99" i="4"/>
  <c r="G411" i="4"/>
  <c r="G395" i="4"/>
  <c r="G379" i="4"/>
  <c r="G363" i="4"/>
  <c r="G347" i="4"/>
  <c r="G331" i="4"/>
  <c r="G315" i="4"/>
  <c r="G408" i="4"/>
  <c r="G392" i="4"/>
  <c r="G376" i="4"/>
  <c r="G360" i="4"/>
  <c r="G344" i="4"/>
  <c r="G328" i="4"/>
  <c r="G312" i="4"/>
  <c r="G405" i="4"/>
  <c r="G389" i="4"/>
  <c r="G373" i="4"/>
  <c r="G357" i="4"/>
  <c r="G341" i="4"/>
  <c r="G325" i="4"/>
  <c r="G402" i="4"/>
  <c r="G386" i="4"/>
  <c r="G370" i="4"/>
  <c r="G354" i="4"/>
  <c r="G338" i="4"/>
  <c r="G322" i="4"/>
  <c r="G399" i="4"/>
  <c r="G383" i="4"/>
  <c r="G367" i="4"/>
  <c r="G351" i="4"/>
  <c r="G335" i="4"/>
  <c r="G412" i="4"/>
  <c r="G396" i="4"/>
  <c r="G380" i="4"/>
  <c r="G364" i="4"/>
  <c r="G409" i="4"/>
  <c r="G393" i="4"/>
  <c r="G377" i="4"/>
  <c r="G406" i="4"/>
  <c r="G390" i="4"/>
  <c r="G374" i="4"/>
  <c r="G403" i="4"/>
  <c r="G387" i="4"/>
  <c r="G410" i="4"/>
  <c r="G362" i="4"/>
  <c r="G349" i="4"/>
  <c r="G295" i="4"/>
  <c r="G279" i="4"/>
  <c r="G263" i="4"/>
  <c r="G247" i="4"/>
  <c r="G226" i="4"/>
  <c r="G210" i="4"/>
  <c r="G194" i="4"/>
  <c r="G178" i="4"/>
  <c r="G162" i="4"/>
  <c r="G371" i="4"/>
  <c r="G369" i="4"/>
  <c r="G330" i="4"/>
  <c r="G326" i="4"/>
  <c r="G311" i="4"/>
  <c r="G308" i="4"/>
  <c r="G292" i="4"/>
  <c r="G276" i="4"/>
  <c r="G260" i="4"/>
  <c r="G244" i="4"/>
  <c r="G223" i="4"/>
  <c r="G207" i="4"/>
  <c r="G191" i="4"/>
  <c r="G175" i="4"/>
  <c r="G159" i="4"/>
  <c r="G414" i="4"/>
  <c r="G355" i="4"/>
  <c r="G336" i="4"/>
  <c r="G305" i="4"/>
  <c r="G289" i="4"/>
  <c r="G273" i="4"/>
  <c r="G257" i="4"/>
  <c r="G241" i="4"/>
  <c r="G220" i="4"/>
  <c r="G204" i="4"/>
  <c r="G188" i="4"/>
  <c r="G172" i="4"/>
  <c r="G413" i="4"/>
  <c r="G353" i="4"/>
  <c r="G334" i="4"/>
  <c r="G324" i="4"/>
  <c r="G320" i="4"/>
  <c r="G316" i="4"/>
  <c r="G302" i="4"/>
  <c r="G286" i="4"/>
  <c r="G270" i="4"/>
  <c r="G254" i="4"/>
  <c r="G238" i="4"/>
  <c r="G217" i="4"/>
  <c r="G201" i="4"/>
  <c r="G185" i="4"/>
  <c r="G169" i="4"/>
  <c r="G342" i="4"/>
  <c r="G299" i="4"/>
  <c r="G283" i="4"/>
  <c r="G267" i="4"/>
  <c r="G251" i="4"/>
  <c r="G235" i="4"/>
  <c r="G230" i="4"/>
  <c r="G214" i="4"/>
  <c r="G198" i="4"/>
  <c r="G182" i="4"/>
  <c r="G166" i="4"/>
  <c r="G361" i="4"/>
  <c r="G359" i="4"/>
  <c r="G340" i="4"/>
  <c r="G318" i="4"/>
  <c r="G314" i="4"/>
  <c r="G296" i="4"/>
  <c r="G280" i="4"/>
  <c r="G264" i="4"/>
  <c r="G248" i="4"/>
  <c r="G227" i="4"/>
  <c r="G211" i="4"/>
  <c r="G195" i="4"/>
  <c r="G179" i="4"/>
  <c r="G163" i="4"/>
  <c r="G388" i="4"/>
  <c r="G385" i="4"/>
  <c r="G368" i="4"/>
  <c r="G366" i="4"/>
  <c r="G348" i="4"/>
  <c r="G309" i="4"/>
  <c r="G293" i="4"/>
  <c r="G277" i="4"/>
  <c r="G261" i="4"/>
  <c r="G245" i="4"/>
  <c r="G224" i="4"/>
  <c r="G208" i="4"/>
  <c r="G192" i="4"/>
  <c r="G176" i="4"/>
  <c r="G398" i="4"/>
  <c r="G391" i="4"/>
  <c r="G382" i="4"/>
  <c r="G346" i="4"/>
  <c r="G306" i="4"/>
  <c r="G290" i="4"/>
  <c r="G274" i="4"/>
  <c r="G258" i="4"/>
  <c r="G242" i="4"/>
  <c r="G221" i="4"/>
  <c r="G205" i="4"/>
  <c r="G189" i="4"/>
  <c r="G401" i="4"/>
  <c r="G394" i="4"/>
  <c r="G329" i="4"/>
  <c r="G303" i="4"/>
  <c r="G397" i="4"/>
  <c r="G384" i="4"/>
  <c r="G352" i="4"/>
  <c r="G333" i="4"/>
  <c r="G300" i="4"/>
  <c r="G284" i="4"/>
  <c r="G268" i="4"/>
  <c r="G252" i="4"/>
  <c r="G236" i="4"/>
  <c r="G231" i="4"/>
  <c r="G215" i="4"/>
  <c r="G199" i="4"/>
  <c r="G404" i="4"/>
  <c r="G400" i="4"/>
  <c r="G381" i="4"/>
  <c r="G350" i="4"/>
  <c r="G327" i="4"/>
  <c r="G323" i="4"/>
  <c r="G319" i="4"/>
  <c r="G297" i="4"/>
  <c r="G281" i="4"/>
  <c r="G265" i="4"/>
  <c r="G378" i="4"/>
  <c r="G365" i="4"/>
  <c r="G358" i="4"/>
  <c r="G339" i="4"/>
  <c r="G310" i="4"/>
  <c r="G294" i="4"/>
  <c r="G278" i="4"/>
  <c r="G262" i="4"/>
  <c r="G246" i="4"/>
  <c r="G407" i="4"/>
  <c r="G372" i="4"/>
  <c r="G345" i="4"/>
  <c r="G313" i="4"/>
  <c r="G304" i="4"/>
  <c r="G288" i="4"/>
  <c r="G57" i="4"/>
  <c r="J64" i="4"/>
  <c r="E36" i="4"/>
  <c r="I613" i="4"/>
  <c r="I612" i="4"/>
  <c r="B632" i="4"/>
  <c r="V631" i="4"/>
  <c r="O632" i="4"/>
  <c r="Q632" i="4" s="1"/>
  <c r="S631" i="4"/>
  <c r="J631" i="4"/>
  <c r="J629" i="4" s="1"/>
  <c r="I631" i="4"/>
  <c r="I36" i="4"/>
  <c r="K40" i="4"/>
  <c r="F43" i="4"/>
  <c r="I53" i="4"/>
  <c r="H56" i="4"/>
  <c r="M57" i="4"/>
  <c r="G59" i="4"/>
  <c r="L60" i="4"/>
  <c r="F62" i="4"/>
  <c r="K63" i="4"/>
  <c r="E65" i="4"/>
  <c r="J66" i="4"/>
  <c r="I69" i="4"/>
  <c r="H72" i="4"/>
  <c r="M73" i="4"/>
  <c r="G75" i="4"/>
  <c r="L76" i="4"/>
  <c r="F78" i="4"/>
  <c r="K79" i="4"/>
  <c r="E81" i="4"/>
  <c r="J82" i="4"/>
  <c r="I85" i="4"/>
  <c r="H88" i="4"/>
  <c r="M89" i="4"/>
  <c r="G91" i="4"/>
  <c r="L92" i="4"/>
  <c r="F94" i="4"/>
  <c r="K95" i="4"/>
  <c r="E97" i="4"/>
  <c r="J98" i="4"/>
  <c r="I101" i="4"/>
  <c r="H104" i="4"/>
  <c r="M105" i="4"/>
  <c r="G107" i="4"/>
  <c r="L108" i="4"/>
  <c r="F110" i="4"/>
  <c r="K111" i="4"/>
  <c r="E113" i="4"/>
  <c r="J114" i="4"/>
  <c r="I117" i="4"/>
  <c r="H120" i="4"/>
  <c r="M121" i="4"/>
  <c r="G123" i="4"/>
  <c r="L124" i="4"/>
  <c r="F126" i="4"/>
  <c r="K127" i="4"/>
  <c r="E129" i="4"/>
  <c r="J130" i="4"/>
  <c r="I133" i="4"/>
  <c r="H136" i="4"/>
  <c r="M137" i="4"/>
  <c r="G139" i="4"/>
  <c r="L140" i="4"/>
  <c r="F142" i="4"/>
  <c r="K143" i="4"/>
  <c r="E145" i="4"/>
  <c r="J146" i="4"/>
  <c r="I149" i="4"/>
  <c r="H152" i="4"/>
  <c r="M153" i="4"/>
  <c r="G155" i="4"/>
  <c r="L156" i="4"/>
  <c r="L158" i="4"/>
  <c r="G161" i="4"/>
  <c r="M163" i="4"/>
  <c r="M165" i="4"/>
  <c r="H168" i="4"/>
  <c r="E171" i="4"/>
  <c r="F173" i="4"/>
  <c r="K178" i="4"/>
  <c r="H181" i="4"/>
  <c r="I183" i="4"/>
  <c r="F186" i="4"/>
  <c r="M194" i="4"/>
  <c r="L197" i="4"/>
  <c r="M200" i="4"/>
  <c r="K204" i="4"/>
  <c r="L207" i="4"/>
  <c r="M210" i="4"/>
  <c r="L214" i="4"/>
  <c r="M217" i="4"/>
  <c r="E224" i="4"/>
  <c r="F236" i="4"/>
  <c r="E240" i="4"/>
  <c r="F243" i="4"/>
  <c r="J246" i="4"/>
  <c r="J250" i="4"/>
  <c r="L254" i="4"/>
  <c r="I263" i="4"/>
  <c r="H272" i="4"/>
  <c r="E277" i="4"/>
  <c r="G282" i="4"/>
  <c r="E288" i="4"/>
  <c r="I301" i="4"/>
  <c r="M340" i="4"/>
  <c r="M351" i="4"/>
  <c r="K362" i="4"/>
  <c r="J411" i="4"/>
  <c r="W631" i="4"/>
  <c r="W629" i="4" s="1"/>
  <c r="B623" i="4" s="1"/>
  <c r="D27" i="3"/>
  <c r="B616" i="3" s="1"/>
  <c r="N29" i="3"/>
  <c r="B612" i="3"/>
  <c r="D49" i="3"/>
  <c r="D47" i="3"/>
  <c r="D48" i="3"/>
  <c r="F101" i="3"/>
  <c r="F409" i="3"/>
  <c r="F393" i="3"/>
  <c r="F377" i="3"/>
  <c r="F361" i="3"/>
  <c r="F345" i="3"/>
  <c r="F329" i="3"/>
  <c r="F313" i="3"/>
  <c r="F297" i="3"/>
  <c r="F403" i="3"/>
  <c r="F387" i="3"/>
  <c r="F371" i="3"/>
  <c r="F355" i="3"/>
  <c r="F339" i="3"/>
  <c r="F323" i="3"/>
  <c r="F307" i="3"/>
  <c r="F400" i="3"/>
  <c r="F384" i="3"/>
  <c r="F368" i="3"/>
  <c r="F352" i="3"/>
  <c r="F336" i="3"/>
  <c r="F320" i="3"/>
  <c r="F304" i="3"/>
  <c r="F413" i="3"/>
  <c r="F397" i="3"/>
  <c r="F381" i="3"/>
  <c r="F365" i="3"/>
  <c r="F349" i="3"/>
  <c r="F333" i="3"/>
  <c r="F317" i="3"/>
  <c r="F301" i="3"/>
  <c r="F410" i="3"/>
  <c r="F394" i="3"/>
  <c r="F378" i="3"/>
  <c r="F362" i="3"/>
  <c r="F346" i="3"/>
  <c r="F330" i="3"/>
  <c r="F407" i="3"/>
  <c r="F391" i="3"/>
  <c r="F375" i="3"/>
  <c r="F359" i="3"/>
  <c r="F404" i="3"/>
  <c r="F388" i="3"/>
  <c r="F372" i="3"/>
  <c r="F356" i="3"/>
  <c r="F401" i="3"/>
  <c r="F385" i="3"/>
  <c r="F369" i="3"/>
  <c r="F353" i="3"/>
  <c r="F414" i="3"/>
  <c r="F398" i="3"/>
  <c r="F382" i="3"/>
  <c r="F411" i="3"/>
  <c r="F395" i="3"/>
  <c r="F379" i="3"/>
  <c r="F351" i="3"/>
  <c r="F303" i="3"/>
  <c r="F299" i="3"/>
  <c r="F272" i="3"/>
  <c r="F256" i="3"/>
  <c r="F240" i="3"/>
  <c r="F219" i="3"/>
  <c r="F203" i="3"/>
  <c r="F187" i="3"/>
  <c r="F171" i="3"/>
  <c r="F155" i="3"/>
  <c r="F389" i="3"/>
  <c r="F348" i="3"/>
  <c r="F337" i="3"/>
  <c r="F290" i="3"/>
  <c r="F285" i="3"/>
  <c r="F269" i="3"/>
  <c r="F253" i="3"/>
  <c r="F237" i="3"/>
  <c r="F232" i="3"/>
  <c r="F216" i="3"/>
  <c r="F200" i="3"/>
  <c r="F184" i="3"/>
  <c r="F168" i="3"/>
  <c r="F152" i="3"/>
  <c r="F408" i="3"/>
  <c r="F335" i="3"/>
  <c r="F282" i="3"/>
  <c r="F266" i="3"/>
  <c r="F250" i="3"/>
  <c r="F229" i="3"/>
  <c r="F213" i="3"/>
  <c r="F197" i="3"/>
  <c r="F181" i="3"/>
  <c r="F165" i="3"/>
  <c r="F149" i="3"/>
  <c r="F350" i="3"/>
  <c r="F343" i="3"/>
  <c r="F324" i="3"/>
  <c r="F318" i="3"/>
  <c r="F314" i="3"/>
  <c r="F295" i="3"/>
  <c r="F288" i="3"/>
  <c r="F279" i="3"/>
  <c r="F263" i="3"/>
  <c r="F247" i="3"/>
  <c r="F226" i="3"/>
  <c r="F210" i="3"/>
  <c r="F194" i="3"/>
  <c r="F178" i="3"/>
  <c r="F162" i="3"/>
  <c r="F146" i="3"/>
  <c r="F392" i="3"/>
  <c r="F374" i="3"/>
  <c r="F341" i="3"/>
  <c r="F322" i="3"/>
  <c r="F276" i="3"/>
  <c r="F260" i="3"/>
  <c r="F412" i="3"/>
  <c r="F316" i="3"/>
  <c r="F312" i="3"/>
  <c r="F308" i="3"/>
  <c r="F273" i="3"/>
  <c r="F257" i="3"/>
  <c r="F241" i="3"/>
  <c r="F220" i="3"/>
  <c r="F204" i="3"/>
  <c r="F188" i="3"/>
  <c r="F396" i="3"/>
  <c r="F347" i="3"/>
  <c r="F328" i="3"/>
  <c r="F326" i="3"/>
  <c r="F310" i="3"/>
  <c r="F293" i="3"/>
  <c r="F286" i="3"/>
  <c r="F270" i="3"/>
  <c r="F254" i="3"/>
  <c r="F238" i="3"/>
  <c r="F217" i="3"/>
  <c r="F201" i="3"/>
  <c r="F373" i="3"/>
  <c r="F370" i="3"/>
  <c r="F306" i="3"/>
  <c r="F302" i="3"/>
  <c r="F283" i="3"/>
  <c r="F267" i="3"/>
  <c r="F251" i="3"/>
  <c r="F235" i="3"/>
  <c r="F230" i="3"/>
  <c r="F214" i="3"/>
  <c r="F198" i="3"/>
  <c r="F380" i="3"/>
  <c r="F376" i="3"/>
  <c r="F367" i="3"/>
  <c r="F334" i="3"/>
  <c r="F298" i="3"/>
  <c r="F291" i="3"/>
  <c r="F280" i="3"/>
  <c r="F264" i="3"/>
  <c r="F248" i="3"/>
  <c r="F227" i="3"/>
  <c r="F399" i="3"/>
  <c r="F364" i="3"/>
  <c r="F332" i="3"/>
  <c r="F300" i="3"/>
  <c r="F289" i="3"/>
  <c r="F277" i="3"/>
  <c r="F261" i="3"/>
  <c r="F358" i="3"/>
  <c r="F340" i="3"/>
  <c r="F321" i="3"/>
  <c r="F274" i="3"/>
  <c r="F383" i="3"/>
  <c r="F406" i="3"/>
  <c r="F360" i="3"/>
  <c r="F344" i="3"/>
  <c r="F342" i="3"/>
  <c r="F325" i="3"/>
  <c r="F294" i="3"/>
  <c r="F218" i="3"/>
  <c r="F205" i="3"/>
  <c r="F143" i="3"/>
  <c r="F405" i="3"/>
  <c r="F366" i="3"/>
  <c r="F296" i="3"/>
  <c r="F271" i="3"/>
  <c r="F246" i="3"/>
  <c r="F192" i="3"/>
  <c r="F190" i="3"/>
  <c r="F164" i="3"/>
  <c r="F160" i="3"/>
  <c r="F156" i="3"/>
  <c r="F140" i="3"/>
  <c r="F124" i="3"/>
  <c r="F108" i="3"/>
  <c r="F92" i="3"/>
  <c r="F76" i="3"/>
  <c r="F60" i="3"/>
  <c r="F402" i="3"/>
  <c r="F327" i="3"/>
  <c r="F319" i="3"/>
  <c r="F311" i="3"/>
  <c r="F249" i="3"/>
  <c r="F243" i="3"/>
  <c r="F137" i="3"/>
  <c r="F121" i="3"/>
  <c r="F105" i="3"/>
  <c r="F89" i="3"/>
  <c r="F73" i="3"/>
  <c r="F57" i="3"/>
  <c r="F284" i="3"/>
  <c r="F252" i="3"/>
  <c r="F223" i="3"/>
  <c r="F215" i="3"/>
  <c r="F202" i="3"/>
  <c r="F185" i="3"/>
  <c r="F158" i="3"/>
  <c r="F154" i="3"/>
  <c r="F150" i="3"/>
  <c r="F134" i="3"/>
  <c r="F118" i="3"/>
  <c r="F102" i="3"/>
  <c r="F86" i="3"/>
  <c r="F70" i="3"/>
  <c r="F54" i="3"/>
  <c r="F354" i="3"/>
  <c r="F275" i="3"/>
  <c r="F255" i="3"/>
  <c r="F245" i="3"/>
  <c r="F207" i="3"/>
  <c r="F183" i="3"/>
  <c r="F179" i="3"/>
  <c r="F175" i="3"/>
  <c r="F131" i="3"/>
  <c r="F115" i="3"/>
  <c r="F99" i="3"/>
  <c r="F83" i="3"/>
  <c r="F67" i="3"/>
  <c r="F259" i="3"/>
  <c r="F242" i="3"/>
  <c r="F148" i="3"/>
  <c r="F128" i="3"/>
  <c r="F112" i="3"/>
  <c r="F96" i="3"/>
  <c r="F80" i="3"/>
  <c r="F64" i="3"/>
  <c r="F363" i="3"/>
  <c r="F258" i="3"/>
  <c r="F239" i="3"/>
  <c r="F212" i="3"/>
  <c r="F199" i="3"/>
  <c r="F189" i="3"/>
  <c r="F177" i="3"/>
  <c r="F173" i="3"/>
  <c r="F169" i="3"/>
  <c r="F144" i="3"/>
  <c r="F141" i="3"/>
  <c r="F125" i="3"/>
  <c r="F109" i="3"/>
  <c r="F93" i="3"/>
  <c r="F77" i="3"/>
  <c r="F61" i="3"/>
  <c r="F309" i="3"/>
  <c r="F236" i="3"/>
  <c r="F231" i="3"/>
  <c r="F138" i="3"/>
  <c r="F122" i="3"/>
  <c r="F106" i="3"/>
  <c r="F90" i="3"/>
  <c r="F74" i="3"/>
  <c r="F58" i="3"/>
  <c r="F262" i="3"/>
  <c r="F228" i="3"/>
  <c r="F191" i="3"/>
  <c r="F167" i="3"/>
  <c r="F163" i="3"/>
  <c r="F159" i="3"/>
  <c r="F135" i="3"/>
  <c r="F119" i="3"/>
  <c r="F103" i="3"/>
  <c r="F87" i="3"/>
  <c r="F71" i="3"/>
  <c r="F278" i="3"/>
  <c r="F225" i="3"/>
  <c r="F209" i="3"/>
  <c r="F196" i="3"/>
  <c r="F132" i="3"/>
  <c r="F116" i="3"/>
  <c r="F100" i="3"/>
  <c r="F84" i="3"/>
  <c r="F315" i="3"/>
  <c r="F287" i="3"/>
  <c r="F222" i="3"/>
  <c r="F211" i="3"/>
  <c r="F161" i="3"/>
  <c r="F157" i="3"/>
  <c r="F153" i="3"/>
  <c r="F129" i="3"/>
  <c r="F113" i="3"/>
  <c r="F265" i="3"/>
  <c r="F244" i="3"/>
  <c r="F182" i="3"/>
  <c r="F142" i="3"/>
  <c r="F126" i="3"/>
  <c r="F331" i="3"/>
  <c r="F292" i="3"/>
  <c r="F224" i="3"/>
  <c r="F206" i="3"/>
  <c r="F193" i="3"/>
  <c r="F151" i="3"/>
  <c r="F147" i="3"/>
  <c r="F139" i="3"/>
  <c r="F281" i="3"/>
  <c r="F136" i="3"/>
  <c r="F127" i="3"/>
  <c r="F114" i="3"/>
  <c r="F110" i="3"/>
  <c r="F195" i="3"/>
  <c r="F174" i="3"/>
  <c r="F59" i="3"/>
  <c r="F208" i="3"/>
  <c r="F172" i="3"/>
  <c r="F357" i="3"/>
  <c r="F221" i="3"/>
  <c r="F117" i="3"/>
  <c r="F56" i="3"/>
  <c r="F305" i="3"/>
  <c r="F130" i="3"/>
  <c r="F43" i="3"/>
  <c r="F180" i="3"/>
  <c r="F120" i="3"/>
  <c r="F338" i="3"/>
  <c r="F170" i="3"/>
  <c r="F69" i="3"/>
  <c r="F79" i="3"/>
  <c r="F72" i="3"/>
  <c r="F66" i="3"/>
  <c r="F55" i="3"/>
  <c r="F53" i="3"/>
  <c r="F36" i="3"/>
  <c r="F268" i="3"/>
  <c r="F82" i="3"/>
  <c r="F75" i="3"/>
  <c r="F133" i="3"/>
  <c r="F85" i="3"/>
  <c r="F78" i="3"/>
  <c r="F68" i="3"/>
  <c r="F63" i="3"/>
  <c r="F40" i="3"/>
  <c r="F390" i="3"/>
  <c r="F123" i="3"/>
  <c r="F95" i="3"/>
  <c r="F88" i="3"/>
  <c r="F81" i="3"/>
  <c r="F65" i="3"/>
  <c r="F107" i="3"/>
  <c r="F386" i="3"/>
  <c r="G406" i="3"/>
  <c r="G390" i="3"/>
  <c r="G374" i="3"/>
  <c r="G358" i="3"/>
  <c r="G342" i="3"/>
  <c r="G326" i="3"/>
  <c r="G310" i="3"/>
  <c r="G294" i="3"/>
  <c r="G400" i="3"/>
  <c r="G384" i="3"/>
  <c r="G368" i="3"/>
  <c r="G352" i="3"/>
  <c r="G336" i="3"/>
  <c r="G320" i="3"/>
  <c r="G304" i="3"/>
  <c r="G413" i="3"/>
  <c r="G397" i="3"/>
  <c r="G381" i="3"/>
  <c r="G365" i="3"/>
  <c r="G349" i="3"/>
  <c r="G333" i="3"/>
  <c r="G317" i="3"/>
  <c r="G301" i="3"/>
  <c r="G410" i="3"/>
  <c r="G394" i="3"/>
  <c r="G378" i="3"/>
  <c r="G362" i="3"/>
  <c r="G346" i="3"/>
  <c r="G330" i="3"/>
  <c r="G314" i="3"/>
  <c r="G298" i="3"/>
  <c r="G407" i="3"/>
  <c r="G391" i="3"/>
  <c r="G375" i="3"/>
  <c r="G359" i="3"/>
  <c r="G343" i="3"/>
  <c r="G327" i="3"/>
  <c r="G404" i="3"/>
  <c r="G388" i="3"/>
  <c r="G372" i="3"/>
  <c r="G356" i="3"/>
  <c r="G401" i="3"/>
  <c r="G385" i="3"/>
  <c r="G369" i="3"/>
  <c r="G353" i="3"/>
  <c r="G414" i="3"/>
  <c r="G398" i="3"/>
  <c r="G382" i="3"/>
  <c r="G366" i="3"/>
  <c r="G350" i="3"/>
  <c r="G411" i="3"/>
  <c r="G395" i="3"/>
  <c r="G379" i="3"/>
  <c r="G408" i="3"/>
  <c r="G392" i="3"/>
  <c r="G376" i="3"/>
  <c r="G409" i="3"/>
  <c r="G389" i="3"/>
  <c r="G348" i="3"/>
  <c r="G337" i="3"/>
  <c r="G290" i="3"/>
  <c r="G285" i="3"/>
  <c r="G269" i="3"/>
  <c r="G253" i="3"/>
  <c r="G237" i="3"/>
  <c r="G232" i="3"/>
  <c r="G216" i="3"/>
  <c r="G200" i="3"/>
  <c r="G184" i="3"/>
  <c r="G168" i="3"/>
  <c r="G152" i="3"/>
  <c r="G335" i="3"/>
  <c r="G282" i="3"/>
  <c r="G266" i="3"/>
  <c r="G250" i="3"/>
  <c r="G229" i="3"/>
  <c r="G213" i="3"/>
  <c r="G197" i="3"/>
  <c r="G181" i="3"/>
  <c r="G165" i="3"/>
  <c r="G149" i="3"/>
  <c r="G393" i="3"/>
  <c r="G371" i="3"/>
  <c r="G324" i="3"/>
  <c r="G318" i="3"/>
  <c r="G297" i="3"/>
  <c r="G295" i="3"/>
  <c r="G288" i="3"/>
  <c r="G279" i="3"/>
  <c r="G263" i="3"/>
  <c r="G247" i="3"/>
  <c r="G226" i="3"/>
  <c r="G210" i="3"/>
  <c r="G194" i="3"/>
  <c r="G178" i="3"/>
  <c r="G162" i="3"/>
  <c r="G146" i="3"/>
  <c r="G341" i="3"/>
  <c r="G339" i="3"/>
  <c r="G322" i="3"/>
  <c r="G276" i="3"/>
  <c r="G260" i="3"/>
  <c r="G244" i="3"/>
  <c r="G223" i="3"/>
  <c r="G207" i="3"/>
  <c r="G191" i="3"/>
  <c r="G175" i="3"/>
  <c r="G159" i="3"/>
  <c r="G412" i="3"/>
  <c r="G316" i="3"/>
  <c r="G312" i="3"/>
  <c r="G308" i="3"/>
  <c r="G273" i="3"/>
  <c r="G257" i="3"/>
  <c r="G396" i="3"/>
  <c r="G377" i="3"/>
  <c r="G347" i="3"/>
  <c r="G328" i="3"/>
  <c r="G293" i="3"/>
  <c r="G286" i="3"/>
  <c r="G270" i="3"/>
  <c r="G254" i="3"/>
  <c r="G238" i="3"/>
  <c r="G217" i="3"/>
  <c r="G201" i="3"/>
  <c r="G185" i="3"/>
  <c r="G373" i="3"/>
  <c r="G370" i="3"/>
  <c r="G345" i="3"/>
  <c r="G306" i="3"/>
  <c r="G302" i="3"/>
  <c r="G283" i="3"/>
  <c r="G267" i="3"/>
  <c r="G251" i="3"/>
  <c r="G235" i="3"/>
  <c r="G230" i="3"/>
  <c r="G214" i="3"/>
  <c r="G198" i="3"/>
  <c r="G380" i="3"/>
  <c r="G367" i="3"/>
  <c r="G334" i="3"/>
  <c r="G291" i="3"/>
  <c r="G280" i="3"/>
  <c r="G264" i="3"/>
  <c r="G248" i="3"/>
  <c r="G227" i="3"/>
  <c r="G211" i="3"/>
  <c r="G195" i="3"/>
  <c r="G399" i="3"/>
  <c r="G364" i="3"/>
  <c r="G332" i="3"/>
  <c r="G300" i="3"/>
  <c r="G289" i="3"/>
  <c r="G277" i="3"/>
  <c r="G261" i="3"/>
  <c r="G245" i="3"/>
  <c r="G224" i="3"/>
  <c r="G403" i="3"/>
  <c r="G361" i="3"/>
  <c r="G340" i="3"/>
  <c r="G321" i="3"/>
  <c r="G274" i="3"/>
  <c r="G258" i="3"/>
  <c r="G383" i="3"/>
  <c r="G355" i="3"/>
  <c r="G338" i="3"/>
  <c r="G296" i="3"/>
  <c r="G402" i="3"/>
  <c r="G387" i="3"/>
  <c r="G386" i="3"/>
  <c r="G357" i="3"/>
  <c r="G313" i="3"/>
  <c r="G309" i="3"/>
  <c r="G305" i="3"/>
  <c r="G405" i="3"/>
  <c r="G329" i="3"/>
  <c r="G271" i="3"/>
  <c r="G246" i="3"/>
  <c r="G192" i="3"/>
  <c r="G190" i="3"/>
  <c r="G164" i="3"/>
  <c r="G160" i="3"/>
  <c r="G156" i="3"/>
  <c r="G140" i="3"/>
  <c r="G319" i="3"/>
  <c r="G311" i="3"/>
  <c r="G256" i="3"/>
  <c r="G249" i="3"/>
  <c r="G243" i="3"/>
  <c r="G137" i="3"/>
  <c r="G121" i="3"/>
  <c r="G105" i="3"/>
  <c r="G89" i="3"/>
  <c r="G73" i="3"/>
  <c r="G57" i="3"/>
  <c r="G344" i="3"/>
  <c r="G284" i="3"/>
  <c r="G252" i="3"/>
  <c r="G240" i="3"/>
  <c r="G215" i="3"/>
  <c r="G202" i="3"/>
  <c r="G158" i="3"/>
  <c r="G154" i="3"/>
  <c r="G150" i="3"/>
  <c r="G134" i="3"/>
  <c r="G118" i="3"/>
  <c r="G102" i="3"/>
  <c r="G86" i="3"/>
  <c r="G70" i="3"/>
  <c r="G54" i="3"/>
  <c r="G354" i="3"/>
  <c r="G275" i="3"/>
  <c r="G255" i="3"/>
  <c r="G220" i="3"/>
  <c r="G183" i="3"/>
  <c r="G179" i="3"/>
  <c r="G131" i="3"/>
  <c r="G115" i="3"/>
  <c r="G99" i="3"/>
  <c r="G83" i="3"/>
  <c r="G67" i="3"/>
  <c r="G303" i="3"/>
  <c r="G259" i="3"/>
  <c r="G242" i="3"/>
  <c r="G148" i="3"/>
  <c r="G128" i="3"/>
  <c r="G112" i="3"/>
  <c r="G96" i="3"/>
  <c r="G80" i="3"/>
  <c r="G64" i="3"/>
  <c r="G363" i="3"/>
  <c r="G239" i="3"/>
  <c r="G212" i="3"/>
  <c r="G199" i="3"/>
  <c r="G189" i="3"/>
  <c r="G177" i="3"/>
  <c r="G173" i="3"/>
  <c r="G169" i="3"/>
  <c r="G144" i="3"/>
  <c r="G141" i="3"/>
  <c r="G125" i="3"/>
  <c r="G109" i="3"/>
  <c r="G93" i="3"/>
  <c r="G77" i="3"/>
  <c r="G61" i="3"/>
  <c r="G325" i="3"/>
  <c r="G236" i="3"/>
  <c r="G231" i="3"/>
  <c r="G204" i="3"/>
  <c r="G187" i="3"/>
  <c r="G138" i="3"/>
  <c r="G122" i="3"/>
  <c r="G106" i="3"/>
  <c r="G90" i="3"/>
  <c r="G74" i="3"/>
  <c r="G58" i="3"/>
  <c r="G262" i="3"/>
  <c r="G228" i="3"/>
  <c r="G171" i="3"/>
  <c r="G167" i="3"/>
  <c r="G163" i="3"/>
  <c r="G135" i="3"/>
  <c r="G119" i="3"/>
  <c r="G103" i="3"/>
  <c r="G87" i="3"/>
  <c r="G71" i="3"/>
  <c r="G55" i="3"/>
  <c r="G351" i="3"/>
  <c r="G278" i="3"/>
  <c r="G225" i="3"/>
  <c r="G209" i="3"/>
  <c r="G196" i="3"/>
  <c r="G132" i="3"/>
  <c r="G116" i="3"/>
  <c r="G100" i="3"/>
  <c r="G84" i="3"/>
  <c r="G68" i="3"/>
  <c r="G315" i="3"/>
  <c r="G287" i="3"/>
  <c r="G222" i="3"/>
  <c r="G161" i="3"/>
  <c r="G157" i="3"/>
  <c r="G153" i="3"/>
  <c r="G129" i="3"/>
  <c r="G113" i="3"/>
  <c r="G97" i="3"/>
  <c r="G81" i="3"/>
  <c r="G360" i="3"/>
  <c r="G323" i="3"/>
  <c r="G265" i="3"/>
  <c r="G182" i="3"/>
  <c r="G142" i="3"/>
  <c r="G126" i="3"/>
  <c r="G331" i="3"/>
  <c r="G307" i="3"/>
  <c r="G292" i="3"/>
  <c r="G241" i="3"/>
  <c r="G219" i="3"/>
  <c r="G206" i="3"/>
  <c r="G193" i="3"/>
  <c r="G155" i="3"/>
  <c r="G151" i="3"/>
  <c r="G147" i="3"/>
  <c r="G139" i="3"/>
  <c r="G123" i="3"/>
  <c r="G299" i="3"/>
  <c r="G221" i="3"/>
  <c r="G208" i="3"/>
  <c r="G188" i="3"/>
  <c r="G186" i="3"/>
  <c r="G180" i="3"/>
  <c r="G176" i="3"/>
  <c r="G172" i="3"/>
  <c r="G174" i="3"/>
  <c r="G59" i="3"/>
  <c r="G143" i="3"/>
  <c r="G117" i="3"/>
  <c r="G56" i="3"/>
  <c r="G130" i="3"/>
  <c r="G43" i="3"/>
  <c r="G120" i="3"/>
  <c r="G170" i="3"/>
  <c r="G76" i="3"/>
  <c r="G69" i="3"/>
  <c r="G272" i="3"/>
  <c r="G205" i="3"/>
  <c r="G79" i="3"/>
  <c r="G72" i="3"/>
  <c r="G66" i="3"/>
  <c r="G53" i="3"/>
  <c r="G36" i="3"/>
  <c r="G268" i="3"/>
  <c r="G218" i="3"/>
  <c r="G82" i="3"/>
  <c r="G75" i="3"/>
  <c r="G203" i="3"/>
  <c r="G133" i="3"/>
  <c r="G92" i="3"/>
  <c r="G85" i="3"/>
  <c r="G78" i="3"/>
  <c r="G63" i="3"/>
  <c r="G40" i="3"/>
  <c r="G124" i="3"/>
  <c r="G95" i="3"/>
  <c r="G88" i="3"/>
  <c r="G65" i="3"/>
  <c r="G98" i="3"/>
  <c r="G91" i="3"/>
  <c r="G281" i="3"/>
  <c r="G136" i="3"/>
  <c r="G127" i="3"/>
  <c r="G114" i="3"/>
  <c r="G110" i="3"/>
  <c r="B57" i="3"/>
  <c r="H104" i="3"/>
  <c r="H127" i="3"/>
  <c r="F166" i="3"/>
  <c r="H403" i="3"/>
  <c r="H387" i="3"/>
  <c r="H371" i="3"/>
  <c r="H355" i="3"/>
  <c r="H339" i="3"/>
  <c r="H323" i="3"/>
  <c r="H307" i="3"/>
  <c r="H291" i="3"/>
  <c r="H413" i="3"/>
  <c r="H397" i="3"/>
  <c r="H381" i="3"/>
  <c r="H365" i="3"/>
  <c r="H349" i="3"/>
  <c r="H333" i="3"/>
  <c r="H317" i="3"/>
  <c r="H301" i="3"/>
  <c r="H410" i="3"/>
  <c r="H394" i="3"/>
  <c r="H378" i="3"/>
  <c r="H362" i="3"/>
  <c r="H346" i="3"/>
  <c r="H330" i="3"/>
  <c r="H314" i="3"/>
  <c r="H298" i="3"/>
  <c r="H407" i="3"/>
  <c r="H391" i="3"/>
  <c r="H375" i="3"/>
  <c r="H359" i="3"/>
  <c r="H343" i="3"/>
  <c r="H327" i="3"/>
  <c r="H311" i="3"/>
  <c r="H295" i="3"/>
  <c r="H404" i="3"/>
  <c r="H388" i="3"/>
  <c r="H372" i="3"/>
  <c r="H356" i="3"/>
  <c r="H340" i="3"/>
  <c r="H324" i="3"/>
  <c r="H401" i="3"/>
  <c r="H385" i="3"/>
  <c r="H369" i="3"/>
  <c r="H353" i="3"/>
  <c r="H414" i="3"/>
  <c r="H398" i="3"/>
  <c r="H382" i="3"/>
  <c r="H366" i="3"/>
  <c r="H350" i="3"/>
  <c r="H411" i="3"/>
  <c r="H395" i="3"/>
  <c r="H379" i="3"/>
  <c r="H363" i="3"/>
  <c r="H347" i="3"/>
  <c r="H408" i="3"/>
  <c r="H392" i="3"/>
  <c r="H405" i="3"/>
  <c r="H389" i="3"/>
  <c r="H373" i="3"/>
  <c r="H412" i="3"/>
  <c r="H335" i="3"/>
  <c r="H282" i="3"/>
  <c r="H266" i="3"/>
  <c r="H250" i="3"/>
  <c r="H229" i="3"/>
  <c r="H213" i="3"/>
  <c r="H197" i="3"/>
  <c r="H181" i="3"/>
  <c r="H165" i="3"/>
  <c r="H149" i="3"/>
  <c r="H393" i="3"/>
  <c r="H318" i="3"/>
  <c r="H297" i="3"/>
  <c r="H288" i="3"/>
  <c r="H279" i="3"/>
  <c r="H263" i="3"/>
  <c r="H247" i="3"/>
  <c r="H226" i="3"/>
  <c r="H210" i="3"/>
  <c r="H194" i="3"/>
  <c r="H178" i="3"/>
  <c r="H162" i="3"/>
  <c r="H146" i="3"/>
  <c r="H368" i="3"/>
  <c r="H341" i="3"/>
  <c r="H322" i="3"/>
  <c r="H320" i="3"/>
  <c r="H276" i="3"/>
  <c r="H260" i="3"/>
  <c r="H244" i="3"/>
  <c r="H223" i="3"/>
  <c r="H207" i="3"/>
  <c r="H191" i="3"/>
  <c r="H175" i="3"/>
  <c r="H159" i="3"/>
  <c r="H374" i="3"/>
  <c r="H316" i="3"/>
  <c r="H312" i="3"/>
  <c r="H308" i="3"/>
  <c r="H273" i="3"/>
  <c r="H257" i="3"/>
  <c r="H241" i="3"/>
  <c r="H220" i="3"/>
  <c r="H204" i="3"/>
  <c r="H188" i="3"/>
  <c r="H172" i="3"/>
  <c r="H156" i="3"/>
  <c r="H396" i="3"/>
  <c r="H377" i="3"/>
  <c r="H328" i="3"/>
  <c r="H293" i="3"/>
  <c r="H286" i="3"/>
  <c r="H270" i="3"/>
  <c r="H254" i="3"/>
  <c r="H400" i="3"/>
  <c r="H370" i="3"/>
  <c r="H345" i="3"/>
  <c r="H326" i="3"/>
  <c r="H310" i="3"/>
  <c r="H306" i="3"/>
  <c r="H302" i="3"/>
  <c r="H283" i="3"/>
  <c r="H267" i="3"/>
  <c r="H251" i="3"/>
  <c r="H235" i="3"/>
  <c r="H230" i="3"/>
  <c r="H214" i="3"/>
  <c r="H198" i="3"/>
  <c r="H380" i="3"/>
  <c r="H367" i="3"/>
  <c r="H334" i="3"/>
  <c r="H304" i="3"/>
  <c r="H280" i="3"/>
  <c r="H264" i="3"/>
  <c r="H248" i="3"/>
  <c r="H227" i="3"/>
  <c r="H211" i="3"/>
  <c r="H195" i="3"/>
  <c r="H399" i="3"/>
  <c r="H384" i="3"/>
  <c r="H376" i="3"/>
  <c r="H364" i="3"/>
  <c r="H332" i="3"/>
  <c r="H300" i="3"/>
  <c r="H289" i="3"/>
  <c r="H277" i="3"/>
  <c r="H261" i="3"/>
  <c r="H245" i="3"/>
  <c r="H224" i="3"/>
  <c r="H208" i="3"/>
  <c r="H361" i="3"/>
  <c r="H321" i="3"/>
  <c r="H274" i="3"/>
  <c r="H258" i="3"/>
  <c r="H242" i="3"/>
  <c r="H221" i="3"/>
  <c r="H383" i="3"/>
  <c r="H358" i="3"/>
  <c r="H338" i="3"/>
  <c r="H336" i="3"/>
  <c r="H296" i="3"/>
  <c r="H271" i="3"/>
  <c r="H402" i="3"/>
  <c r="H352" i="3"/>
  <c r="H319" i="3"/>
  <c r="H315" i="3"/>
  <c r="H284" i="3"/>
  <c r="H354" i="3"/>
  <c r="H331" i="3"/>
  <c r="H337" i="3"/>
  <c r="H256" i="3"/>
  <c r="H249" i="3"/>
  <c r="H243" i="3"/>
  <c r="H200" i="3"/>
  <c r="H137" i="3"/>
  <c r="H344" i="3"/>
  <c r="H285" i="3"/>
  <c r="H252" i="3"/>
  <c r="H240" i="3"/>
  <c r="H215" i="3"/>
  <c r="H202" i="3"/>
  <c r="H158" i="3"/>
  <c r="H154" i="3"/>
  <c r="H150" i="3"/>
  <c r="H134" i="3"/>
  <c r="H118" i="3"/>
  <c r="H102" i="3"/>
  <c r="H86" i="3"/>
  <c r="H70" i="3"/>
  <c r="H54" i="3"/>
  <c r="H290" i="3"/>
  <c r="H275" i="3"/>
  <c r="H255" i="3"/>
  <c r="H237" i="3"/>
  <c r="H232" i="3"/>
  <c r="H185" i="3"/>
  <c r="H183" i="3"/>
  <c r="H179" i="3"/>
  <c r="H131" i="3"/>
  <c r="H115" i="3"/>
  <c r="H99" i="3"/>
  <c r="H83" i="3"/>
  <c r="H67" i="3"/>
  <c r="H303" i="3"/>
  <c r="H259" i="3"/>
  <c r="H152" i="3"/>
  <c r="H148" i="3"/>
  <c r="H128" i="3"/>
  <c r="H112" i="3"/>
  <c r="H96" i="3"/>
  <c r="H80" i="3"/>
  <c r="H64" i="3"/>
  <c r="H239" i="3"/>
  <c r="H212" i="3"/>
  <c r="H199" i="3"/>
  <c r="H189" i="3"/>
  <c r="H177" i="3"/>
  <c r="H173" i="3"/>
  <c r="H169" i="3"/>
  <c r="H144" i="3"/>
  <c r="H141" i="3"/>
  <c r="H125" i="3"/>
  <c r="H109" i="3"/>
  <c r="H93" i="3"/>
  <c r="H77" i="3"/>
  <c r="H61" i="3"/>
  <c r="H325" i="3"/>
  <c r="H236" i="3"/>
  <c r="H231" i="3"/>
  <c r="H217" i="3"/>
  <c r="H187" i="3"/>
  <c r="H138" i="3"/>
  <c r="H122" i="3"/>
  <c r="H106" i="3"/>
  <c r="H90" i="3"/>
  <c r="H74" i="3"/>
  <c r="H58" i="3"/>
  <c r="H342" i="3"/>
  <c r="H309" i="3"/>
  <c r="H294" i="3"/>
  <c r="H262" i="3"/>
  <c r="H228" i="3"/>
  <c r="H171" i="3"/>
  <c r="H167" i="3"/>
  <c r="H163" i="3"/>
  <c r="H135" i="3"/>
  <c r="H119" i="3"/>
  <c r="H103" i="3"/>
  <c r="H87" i="3"/>
  <c r="H71" i="3"/>
  <c r="H55" i="3"/>
  <c r="H351" i="3"/>
  <c r="H278" i="3"/>
  <c r="H225" i="3"/>
  <c r="H209" i="3"/>
  <c r="H196" i="3"/>
  <c r="H132" i="3"/>
  <c r="H116" i="3"/>
  <c r="H100" i="3"/>
  <c r="H84" i="3"/>
  <c r="H68" i="3"/>
  <c r="H287" i="3"/>
  <c r="H222" i="3"/>
  <c r="H201" i="3"/>
  <c r="H161" i="3"/>
  <c r="H157" i="3"/>
  <c r="H153" i="3"/>
  <c r="H129" i="3"/>
  <c r="H113" i="3"/>
  <c r="H97" i="3"/>
  <c r="H81" i="3"/>
  <c r="H65" i="3"/>
  <c r="H360" i="3"/>
  <c r="H265" i="3"/>
  <c r="H182" i="3"/>
  <c r="H142" i="3"/>
  <c r="H126" i="3"/>
  <c r="H110" i="3"/>
  <c r="H94" i="3"/>
  <c r="H78" i="3"/>
  <c r="H292" i="3"/>
  <c r="H219" i="3"/>
  <c r="H206" i="3"/>
  <c r="H193" i="3"/>
  <c r="H155" i="3"/>
  <c r="H151" i="3"/>
  <c r="H147" i="3"/>
  <c r="H139" i="3"/>
  <c r="H123" i="3"/>
  <c r="H299" i="3"/>
  <c r="H269" i="3"/>
  <c r="H238" i="3"/>
  <c r="H186" i="3"/>
  <c r="H180" i="3"/>
  <c r="H176" i="3"/>
  <c r="H136" i="3"/>
  <c r="H120" i="3"/>
  <c r="H390" i="3"/>
  <c r="H348" i="3"/>
  <c r="H281" i="3"/>
  <c r="H268" i="3"/>
  <c r="H184" i="3"/>
  <c r="H145" i="3"/>
  <c r="H164" i="3"/>
  <c r="H143" i="3"/>
  <c r="H313" i="3"/>
  <c r="H117" i="3"/>
  <c r="H357" i="3"/>
  <c r="H56" i="3"/>
  <c r="H130" i="3"/>
  <c r="H43" i="3"/>
  <c r="H305" i="3"/>
  <c r="H121" i="3"/>
  <c r="H73" i="3"/>
  <c r="H170" i="3"/>
  <c r="H76" i="3"/>
  <c r="H69" i="3"/>
  <c r="H272" i="3"/>
  <c r="H253" i="3"/>
  <c r="H205" i="3"/>
  <c r="H192" i="3"/>
  <c r="H160" i="3"/>
  <c r="H79" i="3"/>
  <c r="H72" i="3"/>
  <c r="H66" i="3"/>
  <c r="H53" i="3"/>
  <c r="H36" i="3"/>
  <c r="H218" i="3"/>
  <c r="H140" i="3"/>
  <c r="H89" i="3"/>
  <c r="H82" i="3"/>
  <c r="H75" i="3"/>
  <c r="H203" i="3"/>
  <c r="H133" i="3"/>
  <c r="H92" i="3"/>
  <c r="H85" i="3"/>
  <c r="H63" i="3"/>
  <c r="H40" i="3"/>
  <c r="H409" i="3"/>
  <c r="H216" i="3"/>
  <c r="H190" i="3"/>
  <c r="H124" i="3"/>
  <c r="H95" i="3"/>
  <c r="H88" i="3"/>
  <c r="H406" i="3"/>
  <c r="H168" i="3"/>
  <c r="H105" i="3"/>
  <c r="H98" i="3"/>
  <c r="H91" i="3"/>
  <c r="H166" i="3"/>
  <c r="H108" i="3"/>
  <c r="H101" i="3"/>
  <c r="H60" i="3"/>
  <c r="H174" i="3"/>
  <c r="H59" i="3"/>
  <c r="H57" i="3"/>
  <c r="G107" i="3"/>
  <c r="G166" i="3"/>
  <c r="H107" i="3"/>
  <c r="E412" i="3"/>
  <c r="E396" i="3"/>
  <c r="E380" i="3"/>
  <c r="E364" i="3"/>
  <c r="E348" i="3"/>
  <c r="E332" i="3"/>
  <c r="E316" i="3"/>
  <c r="E300" i="3"/>
  <c r="E406" i="3"/>
  <c r="E390" i="3"/>
  <c r="E374" i="3"/>
  <c r="E358" i="3"/>
  <c r="E342" i="3"/>
  <c r="E326" i="3"/>
  <c r="E310" i="3"/>
  <c r="E403" i="3"/>
  <c r="E387" i="3"/>
  <c r="E371" i="3"/>
  <c r="E355" i="3"/>
  <c r="E339" i="3"/>
  <c r="E323" i="3"/>
  <c r="E307" i="3"/>
  <c r="E291" i="3"/>
  <c r="E400" i="3"/>
  <c r="E384" i="3"/>
  <c r="E368" i="3"/>
  <c r="E352" i="3"/>
  <c r="E336" i="3"/>
  <c r="E320" i="3"/>
  <c r="E304" i="3"/>
  <c r="E288" i="3"/>
  <c r="E413" i="3"/>
  <c r="E397" i="3"/>
  <c r="E381" i="3"/>
  <c r="E365" i="3"/>
  <c r="E349" i="3"/>
  <c r="E333" i="3"/>
  <c r="E410" i="3"/>
  <c r="E394" i="3"/>
  <c r="E378" i="3"/>
  <c r="E362" i="3"/>
  <c r="E407" i="3"/>
  <c r="E391" i="3"/>
  <c r="E375" i="3"/>
  <c r="E359" i="3"/>
  <c r="E404" i="3"/>
  <c r="E388" i="3"/>
  <c r="E372" i="3"/>
  <c r="E356" i="3"/>
  <c r="E401" i="3"/>
  <c r="E385" i="3"/>
  <c r="E414" i="3"/>
  <c r="E398" i="3"/>
  <c r="E382" i="3"/>
  <c r="E405" i="3"/>
  <c r="E354" i="3"/>
  <c r="E331" i="3"/>
  <c r="E329" i="3"/>
  <c r="E275" i="3"/>
  <c r="E259" i="3"/>
  <c r="E243" i="3"/>
  <c r="E222" i="3"/>
  <c r="E206" i="3"/>
  <c r="E190" i="3"/>
  <c r="E174" i="3"/>
  <c r="E158" i="3"/>
  <c r="E409" i="3"/>
  <c r="E351" i="3"/>
  <c r="E303" i="3"/>
  <c r="E299" i="3"/>
  <c r="E272" i="3"/>
  <c r="E256" i="3"/>
  <c r="E240" i="3"/>
  <c r="E219" i="3"/>
  <c r="E203" i="3"/>
  <c r="E187" i="3"/>
  <c r="E171" i="3"/>
  <c r="E155" i="3"/>
  <c r="E389" i="3"/>
  <c r="E337" i="3"/>
  <c r="E290" i="3"/>
  <c r="E285" i="3"/>
  <c r="E269" i="3"/>
  <c r="E253" i="3"/>
  <c r="E237" i="3"/>
  <c r="E232" i="3"/>
  <c r="E216" i="3"/>
  <c r="E200" i="3"/>
  <c r="E184" i="3"/>
  <c r="E168" i="3"/>
  <c r="E152" i="3"/>
  <c r="E408" i="3"/>
  <c r="E393" i="3"/>
  <c r="E353" i="3"/>
  <c r="E335" i="3"/>
  <c r="E297" i="3"/>
  <c r="E282" i="3"/>
  <c r="E266" i="3"/>
  <c r="E250" i="3"/>
  <c r="E229" i="3"/>
  <c r="E213" i="3"/>
  <c r="E197" i="3"/>
  <c r="E181" i="3"/>
  <c r="E165" i="3"/>
  <c r="E149" i="3"/>
  <c r="E350" i="3"/>
  <c r="E343" i="3"/>
  <c r="E324" i="3"/>
  <c r="E318" i="3"/>
  <c r="E314" i="3"/>
  <c r="E295" i="3"/>
  <c r="E279" i="3"/>
  <c r="E263" i="3"/>
  <c r="E247" i="3"/>
  <c r="E392" i="3"/>
  <c r="E341" i="3"/>
  <c r="E322" i="3"/>
  <c r="E276" i="3"/>
  <c r="E260" i="3"/>
  <c r="E244" i="3"/>
  <c r="E223" i="3"/>
  <c r="E207" i="3"/>
  <c r="E191" i="3"/>
  <c r="E377" i="3"/>
  <c r="E330" i="3"/>
  <c r="E312" i="3"/>
  <c r="E308" i="3"/>
  <c r="E273" i="3"/>
  <c r="E257" i="3"/>
  <c r="E241" i="3"/>
  <c r="E220" i="3"/>
  <c r="E204" i="3"/>
  <c r="E411" i="3"/>
  <c r="E347" i="3"/>
  <c r="E345" i="3"/>
  <c r="E328" i="3"/>
  <c r="E293" i="3"/>
  <c r="E286" i="3"/>
  <c r="E270" i="3"/>
  <c r="E254" i="3"/>
  <c r="E238" i="3"/>
  <c r="E217" i="3"/>
  <c r="E201" i="3"/>
  <c r="E395" i="3"/>
  <c r="E373" i="3"/>
  <c r="E370" i="3"/>
  <c r="E306" i="3"/>
  <c r="E302" i="3"/>
  <c r="E283" i="3"/>
  <c r="E267" i="3"/>
  <c r="E251" i="3"/>
  <c r="E235" i="3"/>
  <c r="E230" i="3"/>
  <c r="E376" i="3"/>
  <c r="E367" i="3"/>
  <c r="E334" i="3"/>
  <c r="E298" i="3"/>
  <c r="E280" i="3"/>
  <c r="E264" i="3"/>
  <c r="E399" i="3"/>
  <c r="E379" i="3"/>
  <c r="E361" i="3"/>
  <c r="E289" i="3"/>
  <c r="E277" i="3"/>
  <c r="E402" i="3"/>
  <c r="E363" i="3"/>
  <c r="E346" i="3"/>
  <c r="E327" i="3"/>
  <c r="E319" i="3"/>
  <c r="E315" i="3"/>
  <c r="E311" i="3"/>
  <c r="E386" i="3"/>
  <c r="E357" i="3"/>
  <c r="E305" i="3"/>
  <c r="E170" i="3"/>
  <c r="E166" i="3"/>
  <c r="E162" i="3"/>
  <c r="E383" i="3"/>
  <c r="E218" i="3"/>
  <c r="E205" i="3"/>
  <c r="E143" i="3"/>
  <c r="E127" i="3"/>
  <c r="E111" i="3"/>
  <c r="E95" i="3"/>
  <c r="E79" i="3"/>
  <c r="E63" i="3"/>
  <c r="E366" i="3"/>
  <c r="E296" i="3"/>
  <c r="E271" i="3"/>
  <c r="E246" i="3"/>
  <c r="E210" i="3"/>
  <c r="E192" i="3"/>
  <c r="E164" i="3"/>
  <c r="E160" i="3"/>
  <c r="E156" i="3"/>
  <c r="E140" i="3"/>
  <c r="E124" i="3"/>
  <c r="E108" i="3"/>
  <c r="E92" i="3"/>
  <c r="E76" i="3"/>
  <c r="E60" i="3"/>
  <c r="E344" i="3"/>
  <c r="E249" i="3"/>
  <c r="E226" i="3"/>
  <c r="E137" i="3"/>
  <c r="E121" i="3"/>
  <c r="E105" i="3"/>
  <c r="E89" i="3"/>
  <c r="E73" i="3"/>
  <c r="E57" i="3"/>
  <c r="E284" i="3"/>
  <c r="E252" i="3"/>
  <c r="E215" i="3"/>
  <c r="E202" i="3"/>
  <c r="E185" i="3"/>
  <c r="E154" i="3"/>
  <c r="E150" i="3"/>
  <c r="E146" i="3"/>
  <c r="E134" i="3"/>
  <c r="E118" i="3"/>
  <c r="E102" i="3"/>
  <c r="E86" i="3"/>
  <c r="E70" i="3"/>
  <c r="E54" i="3"/>
  <c r="E317" i="3"/>
  <c r="E274" i="3"/>
  <c r="E255" i="3"/>
  <c r="E248" i="3"/>
  <c r="E245" i="3"/>
  <c r="E194" i="3"/>
  <c r="E183" i="3"/>
  <c r="E179" i="3"/>
  <c r="E175" i="3"/>
  <c r="E131" i="3"/>
  <c r="E115" i="3"/>
  <c r="E99" i="3"/>
  <c r="E83" i="3"/>
  <c r="E67" i="3"/>
  <c r="E242" i="3"/>
  <c r="E148" i="3"/>
  <c r="E128" i="3"/>
  <c r="E112" i="3"/>
  <c r="E96" i="3"/>
  <c r="E80" i="3"/>
  <c r="E64" i="3"/>
  <c r="E325" i="3"/>
  <c r="E294" i="3"/>
  <c r="E258" i="3"/>
  <c r="E239" i="3"/>
  <c r="E212" i="3"/>
  <c r="E199" i="3"/>
  <c r="E189" i="3"/>
  <c r="E177" i="3"/>
  <c r="E173" i="3"/>
  <c r="E169" i="3"/>
  <c r="E144" i="3"/>
  <c r="E141" i="3"/>
  <c r="E125" i="3"/>
  <c r="E109" i="3"/>
  <c r="E93" i="3"/>
  <c r="E77" i="3"/>
  <c r="E61" i="3"/>
  <c r="E309" i="3"/>
  <c r="E301" i="3"/>
  <c r="E236" i="3"/>
  <c r="E231" i="3"/>
  <c r="E214" i="3"/>
  <c r="E138" i="3"/>
  <c r="E122" i="3"/>
  <c r="E106" i="3"/>
  <c r="E90" i="3"/>
  <c r="E74" i="3"/>
  <c r="E340" i="3"/>
  <c r="E262" i="3"/>
  <c r="E228" i="3"/>
  <c r="E167" i="3"/>
  <c r="E163" i="3"/>
  <c r="E159" i="3"/>
  <c r="E135" i="3"/>
  <c r="E119" i="3"/>
  <c r="E103" i="3"/>
  <c r="E87" i="3"/>
  <c r="E71" i="3"/>
  <c r="E278" i="3"/>
  <c r="E261" i="3"/>
  <c r="E225" i="3"/>
  <c r="E209" i="3"/>
  <c r="E196" i="3"/>
  <c r="E132" i="3"/>
  <c r="E116" i="3"/>
  <c r="E360" i="3"/>
  <c r="E287" i="3"/>
  <c r="E211" i="3"/>
  <c r="E198" i="3"/>
  <c r="E161" i="3"/>
  <c r="E157" i="3"/>
  <c r="E153" i="3"/>
  <c r="E129" i="3"/>
  <c r="E265" i="3"/>
  <c r="E227" i="3"/>
  <c r="E182" i="3"/>
  <c r="E178" i="3"/>
  <c r="E142" i="3"/>
  <c r="L43" i="3"/>
  <c r="J54" i="3"/>
  <c r="K56" i="3"/>
  <c r="E62" i="3"/>
  <c r="M64" i="3"/>
  <c r="L67" i="3"/>
  <c r="L70" i="3"/>
  <c r="M73" i="3"/>
  <c r="L77" i="3"/>
  <c r="M80" i="3"/>
  <c r="E97" i="3"/>
  <c r="E104" i="3"/>
  <c r="I118" i="3"/>
  <c r="M122" i="3"/>
  <c r="L131" i="3"/>
  <c r="I143" i="3"/>
  <c r="J154" i="3"/>
  <c r="I164" i="3"/>
  <c r="M197" i="3"/>
  <c r="M226" i="3"/>
  <c r="L260" i="3"/>
  <c r="M320" i="3"/>
  <c r="I400" i="3"/>
  <c r="I384" i="3"/>
  <c r="I368" i="3"/>
  <c r="I352" i="3"/>
  <c r="I336" i="3"/>
  <c r="I320" i="3"/>
  <c r="I304" i="3"/>
  <c r="I288" i="3"/>
  <c r="I410" i="3"/>
  <c r="I394" i="3"/>
  <c r="I378" i="3"/>
  <c r="I362" i="3"/>
  <c r="I346" i="3"/>
  <c r="I330" i="3"/>
  <c r="I314" i="3"/>
  <c r="I407" i="3"/>
  <c r="I391" i="3"/>
  <c r="I375" i="3"/>
  <c r="I359" i="3"/>
  <c r="I343" i="3"/>
  <c r="I327" i="3"/>
  <c r="I311" i="3"/>
  <c r="I295" i="3"/>
  <c r="I404" i="3"/>
  <c r="I388" i="3"/>
  <c r="I372" i="3"/>
  <c r="I356" i="3"/>
  <c r="I340" i="3"/>
  <c r="I324" i="3"/>
  <c r="I308" i="3"/>
  <c r="I292" i="3"/>
  <c r="I401" i="3"/>
  <c r="I385" i="3"/>
  <c r="I369" i="3"/>
  <c r="I353" i="3"/>
  <c r="I337" i="3"/>
  <c r="I321" i="3"/>
  <c r="I414" i="3"/>
  <c r="I398" i="3"/>
  <c r="I382" i="3"/>
  <c r="I366" i="3"/>
  <c r="I350" i="3"/>
  <c r="I411" i="3"/>
  <c r="I395" i="3"/>
  <c r="I379" i="3"/>
  <c r="I363" i="3"/>
  <c r="I408" i="3"/>
  <c r="I392" i="3"/>
  <c r="I376" i="3"/>
  <c r="I360" i="3"/>
  <c r="I405" i="3"/>
  <c r="I389" i="3"/>
  <c r="I402" i="3"/>
  <c r="I386" i="3"/>
  <c r="I393" i="3"/>
  <c r="I318" i="3"/>
  <c r="I297" i="3"/>
  <c r="I279" i="3"/>
  <c r="I263" i="3"/>
  <c r="I247" i="3"/>
  <c r="I226" i="3"/>
  <c r="I210" i="3"/>
  <c r="I194" i="3"/>
  <c r="I178" i="3"/>
  <c r="I162" i="3"/>
  <c r="I146" i="3"/>
  <c r="I413" i="3"/>
  <c r="I397" i="3"/>
  <c r="I371" i="3"/>
  <c r="I341" i="3"/>
  <c r="I322" i="3"/>
  <c r="I276" i="3"/>
  <c r="I260" i="3"/>
  <c r="I244" i="3"/>
  <c r="I223" i="3"/>
  <c r="I207" i="3"/>
  <c r="I191" i="3"/>
  <c r="I175" i="3"/>
  <c r="I159" i="3"/>
  <c r="I374" i="3"/>
  <c r="I365" i="3"/>
  <c r="I339" i="3"/>
  <c r="I316" i="3"/>
  <c r="I312" i="3"/>
  <c r="I273" i="3"/>
  <c r="I257" i="3"/>
  <c r="I241" i="3"/>
  <c r="I220" i="3"/>
  <c r="I204" i="3"/>
  <c r="I188" i="3"/>
  <c r="I172" i="3"/>
  <c r="I156" i="3"/>
  <c r="I412" i="3"/>
  <c r="I396" i="3"/>
  <c r="I381" i="3"/>
  <c r="I377" i="3"/>
  <c r="I328" i="3"/>
  <c r="I293" i="3"/>
  <c r="I286" i="3"/>
  <c r="I270" i="3"/>
  <c r="I254" i="3"/>
  <c r="I238" i="3"/>
  <c r="I217" i="3"/>
  <c r="I201" i="3"/>
  <c r="I185" i="3"/>
  <c r="I169" i="3"/>
  <c r="I153" i="3"/>
  <c r="I370" i="3"/>
  <c r="I347" i="3"/>
  <c r="I345" i="3"/>
  <c r="I326" i="3"/>
  <c r="I310" i="3"/>
  <c r="I306" i="3"/>
  <c r="I302" i="3"/>
  <c r="I283" i="3"/>
  <c r="I267" i="3"/>
  <c r="I251" i="3"/>
  <c r="I380" i="3"/>
  <c r="I373" i="3"/>
  <c r="I367" i="3"/>
  <c r="I334" i="3"/>
  <c r="I280" i="3"/>
  <c r="I264" i="3"/>
  <c r="I248" i="3"/>
  <c r="I227" i="3"/>
  <c r="I211" i="3"/>
  <c r="I195" i="3"/>
  <c r="I399" i="3"/>
  <c r="I364" i="3"/>
  <c r="I332" i="3"/>
  <c r="I300" i="3"/>
  <c r="I291" i="3"/>
  <c r="I289" i="3"/>
  <c r="I277" i="3"/>
  <c r="I261" i="3"/>
  <c r="I245" i="3"/>
  <c r="I224" i="3"/>
  <c r="I208" i="3"/>
  <c r="I192" i="3"/>
  <c r="I361" i="3"/>
  <c r="I298" i="3"/>
  <c r="I274" i="3"/>
  <c r="I258" i="3"/>
  <c r="I242" i="3"/>
  <c r="I221" i="3"/>
  <c r="I205" i="3"/>
  <c r="I403" i="3"/>
  <c r="I383" i="3"/>
  <c r="I358" i="3"/>
  <c r="I338" i="3"/>
  <c r="I296" i="3"/>
  <c r="I271" i="3"/>
  <c r="I255" i="3"/>
  <c r="I239" i="3"/>
  <c r="I355" i="3"/>
  <c r="I319" i="3"/>
  <c r="I315" i="3"/>
  <c r="I284" i="3"/>
  <c r="I268" i="3"/>
  <c r="I387" i="3"/>
  <c r="I349" i="3"/>
  <c r="I344" i="3"/>
  <c r="I325" i="3"/>
  <c r="I317" i="3"/>
  <c r="I287" i="3"/>
  <c r="I281" i="3"/>
  <c r="I406" i="3"/>
  <c r="I390" i="3"/>
  <c r="I351" i="3"/>
  <c r="I329" i="3"/>
  <c r="I307" i="3"/>
  <c r="I303" i="3"/>
  <c r="I299" i="3"/>
  <c r="I285" i="3"/>
  <c r="I252" i="3"/>
  <c r="I240" i="3"/>
  <c r="I215" i="3"/>
  <c r="I202" i="3"/>
  <c r="I158" i="3"/>
  <c r="I154" i="3"/>
  <c r="I150" i="3"/>
  <c r="I290" i="3"/>
  <c r="I275" i="3"/>
  <c r="I237" i="3"/>
  <c r="I232" i="3"/>
  <c r="I183" i="3"/>
  <c r="I179" i="3"/>
  <c r="I131" i="3"/>
  <c r="I115" i="3"/>
  <c r="I99" i="3"/>
  <c r="I83" i="3"/>
  <c r="I67" i="3"/>
  <c r="I354" i="3"/>
  <c r="I259" i="3"/>
  <c r="I229" i="3"/>
  <c r="I197" i="3"/>
  <c r="I152" i="3"/>
  <c r="I148" i="3"/>
  <c r="I128" i="3"/>
  <c r="I112" i="3"/>
  <c r="I96" i="3"/>
  <c r="I80" i="3"/>
  <c r="I64" i="3"/>
  <c r="I212" i="3"/>
  <c r="I199" i="3"/>
  <c r="I189" i="3"/>
  <c r="I181" i="3"/>
  <c r="I177" i="3"/>
  <c r="I173" i="3"/>
  <c r="I144" i="3"/>
  <c r="I141" i="3"/>
  <c r="I125" i="3"/>
  <c r="I109" i="3"/>
  <c r="I93" i="3"/>
  <c r="I77" i="3"/>
  <c r="I61" i="3"/>
  <c r="I335" i="3"/>
  <c r="I236" i="3"/>
  <c r="I231" i="3"/>
  <c r="I187" i="3"/>
  <c r="I138" i="3"/>
  <c r="I122" i="3"/>
  <c r="I106" i="3"/>
  <c r="I90" i="3"/>
  <c r="I74" i="3"/>
  <c r="I58" i="3"/>
  <c r="I342" i="3"/>
  <c r="I309" i="3"/>
  <c r="I294" i="3"/>
  <c r="I262" i="3"/>
  <c r="I228" i="3"/>
  <c r="I171" i="3"/>
  <c r="I167" i="3"/>
  <c r="I163" i="3"/>
  <c r="I135" i="3"/>
  <c r="I119" i="3"/>
  <c r="I103" i="3"/>
  <c r="I87" i="3"/>
  <c r="I71" i="3"/>
  <c r="I55" i="3"/>
  <c r="I278" i="3"/>
  <c r="I225" i="3"/>
  <c r="I209" i="3"/>
  <c r="I196" i="3"/>
  <c r="I132" i="3"/>
  <c r="I116" i="3"/>
  <c r="I100" i="3"/>
  <c r="I84" i="3"/>
  <c r="I68" i="3"/>
  <c r="I301" i="3"/>
  <c r="I266" i="3"/>
  <c r="I222" i="3"/>
  <c r="I214" i="3"/>
  <c r="I165" i="3"/>
  <c r="I161" i="3"/>
  <c r="I157" i="3"/>
  <c r="I129" i="3"/>
  <c r="I113" i="3"/>
  <c r="I97" i="3"/>
  <c r="I81" i="3"/>
  <c r="I65" i="3"/>
  <c r="I333" i="3"/>
  <c r="I265" i="3"/>
  <c r="I182" i="3"/>
  <c r="I142" i="3"/>
  <c r="I126" i="3"/>
  <c r="I110" i="3"/>
  <c r="I94" i="3"/>
  <c r="I78" i="3"/>
  <c r="I323" i="3"/>
  <c r="I219" i="3"/>
  <c r="I206" i="3"/>
  <c r="I193" i="3"/>
  <c r="I155" i="3"/>
  <c r="I151" i="3"/>
  <c r="I147" i="3"/>
  <c r="I139" i="3"/>
  <c r="I123" i="3"/>
  <c r="I107" i="3"/>
  <c r="I91" i="3"/>
  <c r="I75" i="3"/>
  <c r="I331" i="3"/>
  <c r="I269" i="3"/>
  <c r="I198" i="3"/>
  <c r="I186" i="3"/>
  <c r="I180" i="3"/>
  <c r="I176" i="3"/>
  <c r="I136" i="3"/>
  <c r="I120" i="3"/>
  <c r="I348" i="3"/>
  <c r="I282" i="3"/>
  <c r="I235" i="3"/>
  <c r="I230" i="3"/>
  <c r="I184" i="3"/>
  <c r="I149" i="3"/>
  <c r="I145" i="3"/>
  <c r="I133" i="3"/>
  <c r="I216" i="3"/>
  <c r="I203" i="3"/>
  <c r="I174" i="3"/>
  <c r="I170" i="3"/>
  <c r="I166" i="3"/>
  <c r="K57" i="3"/>
  <c r="I62" i="3"/>
  <c r="E68" i="3"/>
  <c r="E78" i="3"/>
  <c r="E85" i="3"/>
  <c r="I104" i="3"/>
  <c r="I111" i="3"/>
  <c r="J115" i="3"/>
  <c r="M118" i="3"/>
  <c r="K128" i="3"/>
  <c r="E133" i="3"/>
  <c r="L137" i="3"/>
  <c r="M156" i="3"/>
  <c r="M177" i="3"/>
  <c r="K200" i="3"/>
  <c r="J215" i="3"/>
  <c r="M229" i="3"/>
  <c r="I246" i="3"/>
  <c r="K290" i="3"/>
  <c r="C5" i="2"/>
  <c r="J413" i="3"/>
  <c r="J397" i="3"/>
  <c r="J381" i="3"/>
  <c r="J365" i="3"/>
  <c r="J349" i="3"/>
  <c r="J333" i="3"/>
  <c r="J317" i="3"/>
  <c r="J301" i="3"/>
  <c r="J407" i="3"/>
  <c r="J391" i="3"/>
  <c r="J375" i="3"/>
  <c r="J359" i="3"/>
  <c r="J343" i="3"/>
  <c r="J327" i="3"/>
  <c r="J311" i="3"/>
  <c r="J404" i="3"/>
  <c r="J388" i="3"/>
  <c r="J372" i="3"/>
  <c r="J356" i="3"/>
  <c r="J340" i="3"/>
  <c r="J324" i="3"/>
  <c r="J308" i="3"/>
  <c r="J292" i="3"/>
  <c r="J401" i="3"/>
  <c r="J385" i="3"/>
  <c r="J369" i="3"/>
  <c r="J353" i="3"/>
  <c r="J337" i="3"/>
  <c r="J321" i="3"/>
  <c r="J305" i="3"/>
  <c r="J289" i="3"/>
  <c r="J414" i="3"/>
  <c r="J398" i="3"/>
  <c r="J382" i="3"/>
  <c r="J366" i="3"/>
  <c r="J350" i="3"/>
  <c r="J334" i="3"/>
  <c r="J411" i="3"/>
  <c r="J395" i="3"/>
  <c r="J379" i="3"/>
  <c r="J363" i="3"/>
  <c r="J408" i="3"/>
  <c r="J392" i="3"/>
  <c r="J376" i="3"/>
  <c r="J360" i="3"/>
  <c r="J405" i="3"/>
  <c r="J389" i="3"/>
  <c r="J373" i="3"/>
  <c r="J357" i="3"/>
  <c r="J402" i="3"/>
  <c r="J386" i="3"/>
  <c r="J399" i="3"/>
  <c r="J383" i="3"/>
  <c r="J371" i="3"/>
  <c r="J341" i="3"/>
  <c r="J322" i="3"/>
  <c r="J288" i="3"/>
  <c r="J276" i="3"/>
  <c r="J260" i="3"/>
  <c r="J244" i="3"/>
  <c r="J223" i="3"/>
  <c r="J207" i="3"/>
  <c r="J191" i="3"/>
  <c r="J175" i="3"/>
  <c r="J159" i="3"/>
  <c r="J143" i="3"/>
  <c r="J374" i="3"/>
  <c r="J368" i="3"/>
  <c r="J339" i="3"/>
  <c r="J320" i="3"/>
  <c r="J316" i="3"/>
  <c r="J312" i="3"/>
  <c r="J295" i="3"/>
  <c r="J273" i="3"/>
  <c r="J257" i="3"/>
  <c r="J241" i="3"/>
  <c r="J220" i="3"/>
  <c r="J204" i="3"/>
  <c r="J188" i="3"/>
  <c r="J172" i="3"/>
  <c r="J156" i="3"/>
  <c r="J412" i="3"/>
  <c r="J396" i="3"/>
  <c r="J377" i="3"/>
  <c r="J362" i="3"/>
  <c r="J328" i="3"/>
  <c r="J314" i="3"/>
  <c r="J293" i="3"/>
  <c r="J286" i="3"/>
  <c r="J270" i="3"/>
  <c r="J254" i="3"/>
  <c r="J238" i="3"/>
  <c r="J217" i="3"/>
  <c r="J201" i="3"/>
  <c r="J185" i="3"/>
  <c r="J169" i="3"/>
  <c r="J153" i="3"/>
  <c r="J370" i="3"/>
  <c r="J347" i="3"/>
  <c r="J345" i="3"/>
  <c r="J326" i="3"/>
  <c r="J310" i="3"/>
  <c r="J306" i="3"/>
  <c r="J302" i="3"/>
  <c r="J283" i="3"/>
  <c r="J267" i="3"/>
  <c r="J251" i="3"/>
  <c r="J235" i="3"/>
  <c r="J230" i="3"/>
  <c r="J214" i="3"/>
  <c r="J198" i="3"/>
  <c r="J182" i="3"/>
  <c r="J166" i="3"/>
  <c r="J150" i="3"/>
  <c r="J400" i="3"/>
  <c r="J380" i="3"/>
  <c r="J367" i="3"/>
  <c r="J280" i="3"/>
  <c r="J264" i="3"/>
  <c r="J248" i="3"/>
  <c r="J364" i="3"/>
  <c r="J332" i="3"/>
  <c r="J330" i="3"/>
  <c r="J304" i="3"/>
  <c r="J300" i="3"/>
  <c r="J291" i="3"/>
  <c r="J277" i="3"/>
  <c r="J261" i="3"/>
  <c r="J245" i="3"/>
  <c r="J224" i="3"/>
  <c r="J208" i="3"/>
  <c r="J192" i="3"/>
  <c r="J384" i="3"/>
  <c r="J361" i="3"/>
  <c r="J298" i="3"/>
  <c r="J274" i="3"/>
  <c r="J258" i="3"/>
  <c r="J242" i="3"/>
  <c r="J221" i="3"/>
  <c r="J205" i="3"/>
  <c r="J189" i="3"/>
  <c r="J403" i="3"/>
  <c r="J358" i="3"/>
  <c r="J338" i="3"/>
  <c r="J296" i="3"/>
  <c r="J271" i="3"/>
  <c r="J255" i="3"/>
  <c r="J239" i="3"/>
  <c r="J218" i="3"/>
  <c r="J202" i="3"/>
  <c r="J355" i="3"/>
  <c r="J336" i="3"/>
  <c r="J319" i="3"/>
  <c r="J315" i="3"/>
  <c r="J284" i="3"/>
  <c r="J268" i="3"/>
  <c r="J252" i="3"/>
  <c r="J236" i="3"/>
  <c r="J231" i="3"/>
  <c r="J387" i="3"/>
  <c r="J352" i="3"/>
  <c r="J344" i="3"/>
  <c r="J325" i="3"/>
  <c r="J287" i="3"/>
  <c r="J281" i="3"/>
  <c r="J265" i="3"/>
  <c r="J406" i="3"/>
  <c r="J342" i="3"/>
  <c r="J323" i="3"/>
  <c r="J313" i="3"/>
  <c r="J309" i="3"/>
  <c r="J294" i="3"/>
  <c r="J278" i="3"/>
  <c r="J410" i="3"/>
  <c r="J409" i="3"/>
  <c r="J394" i="3"/>
  <c r="J348" i="3"/>
  <c r="J297" i="3"/>
  <c r="J290" i="3"/>
  <c r="J275" i="3"/>
  <c r="J237" i="3"/>
  <c r="J232" i="3"/>
  <c r="J183" i="3"/>
  <c r="J179" i="3"/>
  <c r="J354" i="3"/>
  <c r="J259" i="3"/>
  <c r="J229" i="3"/>
  <c r="J210" i="3"/>
  <c r="J197" i="3"/>
  <c r="J152" i="3"/>
  <c r="J148" i="3"/>
  <c r="J128" i="3"/>
  <c r="J112" i="3"/>
  <c r="J96" i="3"/>
  <c r="J80" i="3"/>
  <c r="J64" i="3"/>
  <c r="J303" i="3"/>
  <c r="J226" i="3"/>
  <c r="J212" i="3"/>
  <c r="J199" i="3"/>
  <c r="J181" i="3"/>
  <c r="J177" i="3"/>
  <c r="J173" i="3"/>
  <c r="J144" i="3"/>
  <c r="J141" i="3"/>
  <c r="J125" i="3"/>
  <c r="J109" i="3"/>
  <c r="J93" i="3"/>
  <c r="J77" i="3"/>
  <c r="J61" i="3"/>
  <c r="J335" i="3"/>
  <c r="J263" i="3"/>
  <c r="J187" i="3"/>
  <c r="J146" i="3"/>
  <c r="J138" i="3"/>
  <c r="J122" i="3"/>
  <c r="J106" i="3"/>
  <c r="J90" i="3"/>
  <c r="J74" i="3"/>
  <c r="J58" i="3"/>
  <c r="J318" i="3"/>
  <c r="J262" i="3"/>
  <c r="J228" i="3"/>
  <c r="J194" i="3"/>
  <c r="J171" i="3"/>
  <c r="J167" i="3"/>
  <c r="J163" i="3"/>
  <c r="J135" i="3"/>
  <c r="J119" i="3"/>
  <c r="J103" i="3"/>
  <c r="J87" i="3"/>
  <c r="J71" i="3"/>
  <c r="J55" i="3"/>
  <c r="J279" i="3"/>
  <c r="J225" i="3"/>
  <c r="J209" i="3"/>
  <c r="J196" i="3"/>
  <c r="J132" i="3"/>
  <c r="J116" i="3"/>
  <c r="J100" i="3"/>
  <c r="J84" i="3"/>
  <c r="J68" i="3"/>
  <c r="J378" i="3"/>
  <c r="J351" i="3"/>
  <c r="J266" i="3"/>
  <c r="J222" i="3"/>
  <c r="J165" i="3"/>
  <c r="J161" i="3"/>
  <c r="J157" i="3"/>
  <c r="J129" i="3"/>
  <c r="J113" i="3"/>
  <c r="J97" i="3"/>
  <c r="J81" i="3"/>
  <c r="J65" i="3"/>
  <c r="J142" i="3"/>
  <c r="J126" i="3"/>
  <c r="J110" i="3"/>
  <c r="J94" i="3"/>
  <c r="J78" i="3"/>
  <c r="J62" i="3"/>
  <c r="J219" i="3"/>
  <c r="J206" i="3"/>
  <c r="J193" i="3"/>
  <c r="J155" i="3"/>
  <c r="J151" i="3"/>
  <c r="J147" i="3"/>
  <c r="J139" i="3"/>
  <c r="J123" i="3"/>
  <c r="J107" i="3"/>
  <c r="J91" i="3"/>
  <c r="J75" i="3"/>
  <c r="J331" i="3"/>
  <c r="J269" i="3"/>
  <c r="J211" i="3"/>
  <c r="J186" i="3"/>
  <c r="J180" i="3"/>
  <c r="J176" i="3"/>
  <c r="J136" i="3"/>
  <c r="J120" i="3"/>
  <c r="J104" i="3"/>
  <c r="J88" i="3"/>
  <c r="J72" i="3"/>
  <c r="J393" i="3"/>
  <c r="J307" i="3"/>
  <c r="J299" i="3"/>
  <c r="J282" i="3"/>
  <c r="J184" i="3"/>
  <c r="J149" i="3"/>
  <c r="J145" i="3"/>
  <c r="J133" i="3"/>
  <c r="J117" i="3"/>
  <c r="J390" i="3"/>
  <c r="J247" i="3"/>
  <c r="J227" i="3"/>
  <c r="J216" i="3"/>
  <c r="J203" i="3"/>
  <c r="J178" i="3"/>
  <c r="J174" i="3"/>
  <c r="J170" i="3"/>
  <c r="J130" i="3"/>
  <c r="J272" i="3"/>
  <c r="J250" i="3"/>
  <c r="J195" i="3"/>
  <c r="L57" i="3"/>
  <c r="I60" i="3"/>
  <c r="E75" i="3"/>
  <c r="E82" i="3"/>
  <c r="I101" i="3"/>
  <c r="I108" i="3"/>
  <c r="J111" i="3"/>
  <c r="K115" i="3"/>
  <c r="L128" i="3"/>
  <c r="E188" i="3"/>
  <c r="M202" i="3"/>
  <c r="J246" i="3"/>
  <c r="E268" i="3"/>
  <c r="L290" i="3"/>
  <c r="K410" i="3"/>
  <c r="K394" i="3"/>
  <c r="K378" i="3"/>
  <c r="K362" i="3"/>
  <c r="K346" i="3"/>
  <c r="K330" i="3"/>
  <c r="K314" i="3"/>
  <c r="K298" i="3"/>
  <c r="K404" i="3"/>
  <c r="K388" i="3"/>
  <c r="K372" i="3"/>
  <c r="K356" i="3"/>
  <c r="K340" i="3"/>
  <c r="K324" i="3"/>
  <c r="K308" i="3"/>
  <c r="K401" i="3"/>
  <c r="K385" i="3"/>
  <c r="K369" i="3"/>
  <c r="K353" i="3"/>
  <c r="K337" i="3"/>
  <c r="K321" i="3"/>
  <c r="K305" i="3"/>
  <c r="K289" i="3"/>
  <c r="K414" i="3"/>
  <c r="K398" i="3"/>
  <c r="K382" i="3"/>
  <c r="K366" i="3"/>
  <c r="K350" i="3"/>
  <c r="K334" i="3"/>
  <c r="K318" i="3"/>
  <c r="K302" i="3"/>
  <c r="K286" i="3"/>
  <c r="K411" i="3"/>
  <c r="K395" i="3"/>
  <c r="K379" i="3"/>
  <c r="K363" i="3"/>
  <c r="K347" i="3"/>
  <c r="K331" i="3"/>
  <c r="K408" i="3"/>
  <c r="K392" i="3"/>
  <c r="K376" i="3"/>
  <c r="K360" i="3"/>
  <c r="K405" i="3"/>
  <c r="K389" i="3"/>
  <c r="K373" i="3"/>
  <c r="K357" i="3"/>
  <c r="K402" i="3"/>
  <c r="K386" i="3"/>
  <c r="K370" i="3"/>
  <c r="K354" i="3"/>
  <c r="K399" i="3"/>
  <c r="K383" i="3"/>
  <c r="K412" i="3"/>
  <c r="K396" i="3"/>
  <c r="K380" i="3"/>
  <c r="K413" i="3"/>
  <c r="K397" i="3"/>
  <c r="K374" i="3"/>
  <c r="K368" i="3"/>
  <c r="K339" i="3"/>
  <c r="K320" i="3"/>
  <c r="K316" i="3"/>
  <c r="K312" i="3"/>
  <c r="K295" i="3"/>
  <c r="K273" i="3"/>
  <c r="K257" i="3"/>
  <c r="K241" i="3"/>
  <c r="K220" i="3"/>
  <c r="K204" i="3"/>
  <c r="K188" i="3"/>
  <c r="K172" i="3"/>
  <c r="K156" i="3"/>
  <c r="K377" i="3"/>
  <c r="K365" i="3"/>
  <c r="K328" i="3"/>
  <c r="K293" i="3"/>
  <c r="K270" i="3"/>
  <c r="K254" i="3"/>
  <c r="K238" i="3"/>
  <c r="K217" i="3"/>
  <c r="K201" i="3"/>
  <c r="K185" i="3"/>
  <c r="K169" i="3"/>
  <c r="K153" i="3"/>
  <c r="K381" i="3"/>
  <c r="K359" i="3"/>
  <c r="K345" i="3"/>
  <c r="K343" i="3"/>
  <c r="K326" i="3"/>
  <c r="K310" i="3"/>
  <c r="K306" i="3"/>
  <c r="K283" i="3"/>
  <c r="K267" i="3"/>
  <c r="K251" i="3"/>
  <c r="K235" i="3"/>
  <c r="K230" i="3"/>
  <c r="K214" i="3"/>
  <c r="K198" i="3"/>
  <c r="K182" i="3"/>
  <c r="K166" i="3"/>
  <c r="K150" i="3"/>
  <c r="K400" i="3"/>
  <c r="K367" i="3"/>
  <c r="K280" i="3"/>
  <c r="K264" i="3"/>
  <c r="K248" i="3"/>
  <c r="K227" i="3"/>
  <c r="K211" i="3"/>
  <c r="K195" i="3"/>
  <c r="K179" i="3"/>
  <c r="K163" i="3"/>
  <c r="K147" i="3"/>
  <c r="K364" i="3"/>
  <c r="K332" i="3"/>
  <c r="K304" i="3"/>
  <c r="K300" i="3"/>
  <c r="K291" i="3"/>
  <c r="K277" i="3"/>
  <c r="K261" i="3"/>
  <c r="K384" i="3"/>
  <c r="K361" i="3"/>
  <c r="K274" i="3"/>
  <c r="K258" i="3"/>
  <c r="K242" i="3"/>
  <c r="K221" i="3"/>
  <c r="K205" i="3"/>
  <c r="K189" i="3"/>
  <c r="K403" i="3"/>
  <c r="K358" i="3"/>
  <c r="K338" i="3"/>
  <c r="K296" i="3"/>
  <c r="K271" i="3"/>
  <c r="K255" i="3"/>
  <c r="K239" i="3"/>
  <c r="K218" i="3"/>
  <c r="K202" i="3"/>
  <c r="K407" i="3"/>
  <c r="K355" i="3"/>
  <c r="K336" i="3"/>
  <c r="K319" i="3"/>
  <c r="K315" i="3"/>
  <c r="K284" i="3"/>
  <c r="K268" i="3"/>
  <c r="K252" i="3"/>
  <c r="K236" i="3"/>
  <c r="K231" i="3"/>
  <c r="K215" i="3"/>
  <c r="K199" i="3"/>
  <c r="K387" i="3"/>
  <c r="K352" i="3"/>
  <c r="K344" i="3"/>
  <c r="K325" i="3"/>
  <c r="K287" i="3"/>
  <c r="K281" i="3"/>
  <c r="K265" i="3"/>
  <c r="K249" i="3"/>
  <c r="K228" i="3"/>
  <c r="K406" i="3"/>
  <c r="K391" i="3"/>
  <c r="K349" i="3"/>
  <c r="K342" i="3"/>
  <c r="K323" i="3"/>
  <c r="K317" i="3"/>
  <c r="K313" i="3"/>
  <c r="K309" i="3"/>
  <c r="K294" i="3"/>
  <c r="K278" i="3"/>
  <c r="K262" i="3"/>
  <c r="K311" i="3"/>
  <c r="K275" i="3"/>
  <c r="K390" i="3"/>
  <c r="K375" i="3"/>
  <c r="K335" i="3"/>
  <c r="K301" i="3"/>
  <c r="K259" i="3"/>
  <c r="K229" i="3"/>
  <c r="K210" i="3"/>
  <c r="K197" i="3"/>
  <c r="K152" i="3"/>
  <c r="K148" i="3"/>
  <c r="K327" i="3"/>
  <c r="K303" i="3"/>
  <c r="K226" i="3"/>
  <c r="K212" i="3"/>
  <c r="K181" i="3"/>
  <c r="K177" i="3"/>
  <c r="K173" i="3"/>
  <c r="K144" i="3"/>
  <c r="K141" i="3"/>
  <c r="K125" i="3"/>
  <c r="K109" i="3"/>
  <c r="K93" i="3"/>
  <c r="K77" i="3"/>
  <c r="K61" i="3"/>
  <c r="K263" i="3"/>
  <c r="K223" i="3"/>
  <c r="K187" i="3"/>
  <c r="K146" i="3"/>
  <c r="K138" i="3"/>
  <c r="K122" i="3"/>
  <c r="K106" i="3"/>
  <c r="K90" i="3"/>
  <c r="K74" i="3"/>
  <c r="K58" i="3"/>
  <c r="K245" i="3"/>
  <c r="K207" i="3"/>
  <c r="K194" i="3"/>
  <c r="K175" i="3"/>
  <c r="K171" i="3"/>
  <c r="K167" i="3"/>
  <c r="K135" i="3"/>
  <c r="K119" i="3"/>
  <c r="K103" i="3"/>
  <c r="K87" i="3"/>
  <c r="K71" i="3"/>
  <c r="K55" i="3"/>
  <c r="K279" i="3"/>
  <c r="K225" i="3"/>
  <c r="K209" i="3"/>
  <c r="K196" i="3"/>
  <c r="K132" i="3"/>
  <c r="K116" i="3"/>
  <c r="K100" i="3"/>
  <c r="K84" i="3"/>
  <c r="K68" i="3"/>
  <c r="K351" i="3"/>
  <c r="K266" i="3"/>
  <c r="K222" i="3"/>
  <c r="K165" i="3"/>
  <c r="K161" i="3"/>
  <c r="K157" i="3"/>
  <c r="K129" i="3"/>
  <c r="K113" i="3"/>
  <c r="K97" i="3"/>
  <c r="K81" i="3"/>
  <c r="K65" i="3"/>
  <c r="K142" i="3"/>
  <c r="K126" i="3"/>
  <c r="K110" i="3"/>
  <c r="K94" i="3"/>
  <c r="K78" i="3"/>
  <c r="K62" i="3"/>
  <c r="K333" i="3"/>
  <c r="K288" i="3"/>
  <c r="K219" i="3"/>
  <c r="K206" i="3"/>
  <c r="K193" i="3"/>
  <c r="K191" i="3"/>
  <c r="K159" i="3"/>
  <c r="K155" i="3"/>
  <c r="K151" i="3"/>
  <c r="K139" i="3"/>
  <c r="K123" i="3"/>
  <c r="K107" i="3"/>
  <c r="K91" i="3"/>
  <c r="K75" i="3"/>
  <c r="K59" i="3"/>
  <c r="K341" i="3"/>
  <c r="K269" i="3"/>
  <c r="K186" i="3"/>
  <c r="K180" i="3"/>
  <c r="K176" i="3"/>
  <c r="K136" i="3"/>
  <c r="K120" i="3"/>
  <c r="K104" i="3"/>
  <c r="K88" i="3"/>
  <c r="K72" i="3"/>
  <c r="K393" i="3"/>
  <c r="K307" i="3"/>
  <c r="K299" i="3"/>
  <c r="K292" i="3"/>
  <c r="K282" i="3"/>
  <c r="K184" i="3"/>
  <c r="K149" i="3"/>
  <c r="K145" i="3"/>
  <c r="K133" i="3"/>
  <c r="K117" i="3"/>
  <c r="K101" i="3"/>
  <c r="K85" i="3"/>
  <c r="K69" i="3"/>
  <c r="K348" i="3"/>
  <c r="K247" i="3"/>
  <c r="K244" i="3"/>
  <c r="K216" i="3"/>
  <c r="K203" i="3"/>
  <c r="K178" i="3"/>
  <c r="K174" i="3"/>
  <c r="K170" i="3"/>
  <c r="K130" i="3"/>
  <c r="K114" i="3"/>
  <c r="K272" i="3"/>
  <c r="K250" i="3"/>
  <c r="K224" i="3"/>
  <c r="K208" i="3"/>
  <c r="K127" i="3"/>
  <c r="K409" i="3"/>
  <c r="K371" i="3"/>
  <c r="K322" i="3"/>
  <c r="K253" i="3"/>
  <c r="K246" i="3"/>
  <c r="K190" i="3"/>
  <c r="K168" i="3"/>
  <c r="K164" i="3"/>
  <c r="K160" i="3"/>
  <c r="K143" i="3"/>
  <c r="K140" i="3"/>
  <c r="E36" i="3"/>
  <c r="E53" i="3"/>
  <c r="E55" i="3"/>
  <c r="M57" i="3"/>
  <c r="J60" i="3"/>
  <c r="E66" i="3"/>
  <c r="E72" i="3"/>
  <c r="I98" i="3"/>
  <c r="J101" i="3"/>
  <c r="I105" i="3"/>
  <c r="J108" i="3"/>
  <c r="K111" i="3"/>
  <c r="M128" i="3"/>
  <c r="E147" i="3"/>
  <c r="J158" i="3"/>
  <c r="I168" i="3"/>
  <c r="K232" i="3"/>
  <c r="I249" i="3"/>
  <c r="E292" i="3"/>
  <c r="M337" i="3"/>
  <c r="L407" i="3"/>
  <c r="L391" i="3"/>
  <c r="L375" i="3"/>
  <c r="L359" i="3"/>
  <c r="L343" i="3"/>
  <c r="L327" i="3"/>
  <c r="L311" i="3"/>
  <c r="L295" i="3"/>
  <c r="L401" i="3"/>
  <c r="L385" i="3"/>
  <c r="L369" i="3"/>
  <c r="L353" i="3"/>
  <c r="L337" i="3"/>
  <c r="L321" i="3"/>
  <c r="L305" i="3"/>
  <c r="L414" i="3"/>
  <c r="L398" i="3"/>
  <c r="L382" i="3"/>
  <c r="L366" i="3"/>
  <c r="L350" i="3"/>
  <c r="L334" i="3"/>
  <c r="L318" i="3"/>
  <c r="L302" i="3"/>
  <c r="L411" i="3"/>
  <c r="L395" i="3"/>
  <c r="L379" i="3"/>
  <c r="L363" i="3"/>
  <c r="L347" i="3"/>
  <c r="L331" i="3"/>
  <c r="L315" i="3"/>
  <c r="L299" i="3"/>
  <c r="L408" i="3"/>
  <c r="L392" i="3"/>
  <c r="L376" i="3"/>
  <c r="L360" i="3"/>
  <c r="L344" i="3"/>
  <c r="L328" i="3"/>
  <c r="L405" i="3"/>
  <c r="L389" i="3"/>
  <c r="L373" i="3"/>
  <c r="L357" i="3"/>
  <c r="L402" i="3"/>
  <c r="L386" i="3"/>
  <c r="L370" i="3"/>
  <c r="L354" i="3"/>
  <c r="L399" i="3"/>
  <c r="L383" i="3"/>
  <c r="L367" i="3"/>
  <c r="L351" i="3"/>
  <c r="L412" i="3"/>
  <c r="L396" i="3"/>
  <c r="L380" i="3"/>
  <c r="L409" i="3"/>
  <c r="L393" i="3"/>
  <c r="L377" i="3"/>
  <c r="L365" i="3"/>
  <c r="L293" i="3"/>
  <c r="L270" i="3"/>
  <c r="L254" i="3"/>
  <c r="L238" i="3"/>
  <c r="L217" i="3"/>
  <c r="L201" i="3"/>
  <c r="L185" i="3"/>
  <c r="L169" i="3"/>
  <c r="L153" i="3"/>
  <c r="L381" i="3"/>
  <c r="L362" i="3"/>
  <c r="L345" i="3"/>
  <c r="L326" i="3"/>
  <c r="L324" i="3"/>
  <c r="L314" i="3"/>
  <c r="L310" i="3"/>
  <c r="L306" i="3"/>
  <c r="L286" i="3"/>
  <c r="L283" i="3"/>
  <c r="L267" i="3"/>
  <c r="L251" i="3"/>
  <c r="L235" i="3"/>
  <c r="L230" i="3"/>
  <c r="L214" i="3"/>
  <c r="L198" i="3"/>
  <c r="L182" i="3"/>
  <c r="L166" i="3"/>
  <c r="L150" i="3"/>
  <c r="L400" i="3"/>
  <c r="L356" i="3"/>
  <c r="L308" i="3"/>
  <c r="L280" i="3"/>
  <c r="L264" i="3"/>
  <c r="L248" i="3"/>
  <c r="L227" i="3"/>
  <c r="L211" i="3"/>
  <c r="L195" i="3"/>
  <c r="L179" i="3"/>
  <c r="L163" i="3"/>
  <c r="L147" i="3"/>
  <c r="L404" i="3"/>
  <c r="L364" i="3"/>
  <c r="L332" i="3"/>
  <c r="L304" i="3"/>
  <c r="L300" i="3"/>
  <c r="L291" i="3"/>
  <c r="L277" i="3"/>
  <c r="L261" i="3"/>
  <c r="L245" i="3"/>
  <c r="L224" i="3"/>
  <c r="L208" i="3"/>
  <c r="L192" i="3"/>
  <c r="L176" i="3"/>
  <c r="L160" i="3"/>
  <c r="L384" i="3"/>
  <c r="L361" i="3"/>
  <c r="L330" i="3"/>
  <c r="L274" i="3"/>
  <c r="L258" i="3"/>
  <c r="L403" i="3"/>
  <c r="L388" i="3"/>
  <c r="L358" i="3"/>
  <c r="L338" i="3"/>
  <c r="L298" i="3"/>
  <c r="L296" i="3"/>
  <c r="L289" i="3"/>
  <c r="L271" i="3"/>
  <c r="L255" i="3"/>
  <c r="L239" i="3"/>
  <c r="L218" i="3"/>
  <c r="L202" i="3"/>
  <c r="L186" i="3"/>
  <c r="L355" i="3"/>
  <c r="L336" i="3"/>
  <c r="L319" i="3"/>
  <c r="L284" i="3"/>
  <c r="L268" i="3"/>
  <c r="L252" i="3"/>
  <c r="L236" i="3"/>
  <c r="L231" i="3"/>
  <c r="L215" i="3"/>
  <c r="L199" i="3"/>
  <c r="L387" i="3"/>
  <c r="L352" i="3"/>
  <c r="L325" i="3"/>
  <c r="L287" i="3"/>
  <c r="L281" i="3"/>
  <c r="L265" i="3"/>
  <c r="L249" i="3"/>
  <c r="L228" i="3"/>
  <c r="L212" i="3"/>
  <c r="L196" i="3"/>
  <c r="L406" i="3"/>
  <c r="L349" i="3"/>
  <c r="L342" i="3"/>
  <c r="L340" i="3"/>
  <c r="L323" i="3"/>
  <c r="L317" i="3"/>
  <c r="L313" i="3"/>
  <c r="L309" i="3"/>
  <c r="L294" i="3"/>
  <c r="L278" i="3"/>
  <c r="L262" i="3"/>
  <c r="L246" i="3"/>
  <c r="L225" i="3"/>
  <c r="L275" i="3"/>
  <c r="L259" i="3"/>
  <c r="L410" i="3"/>
  <c r="L390" i="3"/>
  <c r="L329" i="3"/>
  <c r="L307" i="3"/>
  <c r="L303" i="3"/>
  <c r="L292" i="3"/>
  <c r="L372" i="3"/>
  <c r="L333" i="3"/>
  <c r="L297" i="3"/>
  <c r="L368" i="3"/>
  <c r="L320" i="3"/>
  <c r="L312" i="3"/>
  <c r="L226" i="3"/>
  <c r="L181" i="3"/>
  <c r="L177" i="3"/>
  <c r="L173" i="3"/>
  <c r="L144" i="3"/>
  <c r="L141" i="3"/>
  <c r="L263" i="3"/>
  <c r="L223" i="3"/>
  <c r="L187" i="3"/>
  <c r="L146" i="3"/>
  <c r="L138" i="3"/>
  <c r="L122" i="3"/>
  <c r="L106" i="3"/>
  <c r="L90" i="3"/>
  <c r="L74" i="3"/>
  <c r="L58" i="3"/>
  <c r="L335" i="3"/>
  <c r="L220" i="3"/>
  <c r="L207" i="3"/>
  <c r="L194" i="3"/>
  <c r="L189" i="3"/>
  <c r="L175" i="3"/>
  <c r="L171" i="3"/>
  <c r="L167" i="3"/>
  <c r="L135" i="3"/>
  <c r="L119" i="3"/>
  <c r="L103" i="3"/>
  <c r="L87" i="3"/>
  <c r="L71" i="3"/>
  <c r="L55" i="3"/>
  <c r="L279" i="3"/>
  <c r="L242" i="3"/>
  <c r="L209" i="3"/>
  <c r="L132" i="3"/>
  <c r="L116" i="3"/>
  <c r="L100" i="3"/>
  <c r="L84" i="3"/>
  <c r="L68" i="3"/>
  <c r="L266" i="3"/>
  <c r="L222" i="3"/>
  <c r="L165" i="3"/>
  <c r="L161" i="3"/>
  <c r="L157" i="3"/>
  <c r="L129" i="3"/>
  <c r="L113" i="3"/>
  <c r="L97" i="3"/>
  <c r="L81" i="3"/>
  <c r="L65" i="3"/>
  <c r="L378" i="3"/>
  <c r="L204" i="3"/>
  <c r="L142" i="3"/>
  <c r="L126" i="3"/>
  <c r="L110" i="3"/>
  <c r="L94" i="3"/>
  <c r="L78" i="3"/>
  <c r="L62" i="3"/>
  <c r="L301" i="3"/>
  <c r="L288" i="3"/>
  <c r="L219" i="3"/>
  <c r="L206" i="3"/>
  <c r="L193" i="3"/>
  <c r="L191" i="3"/>
  <c r="L159" i="3"/>
  <c r="L155" i="3"/>
  <c r="L151" i="3"/>
  <c r="L139" i="3"/>
  <c r="L123" i="3"/>
  <c r="L107" i="3"/>
  <c r="L91" i="3"/>
  <c r="L75" i="3"/>
  <c r="L59" i="3"/>
  <c r="L397" i="3"/>
  <c r="L341" i="3"/>
  <c r="L269" i="3"/>
  <c r="L180" i="3"/>
  <c r="L136" i="3"/>
  <c r="L120" i="3"/>
  <c r="L104" i="3"/>
  <c r="L88" i="3"/>
  <c r="L72" i="3"/>
  <c r="L56" i="3"/>
  <c r="L394" i="3"/>
  <c r="L316" i="3"/>
  <c r="L282" i="3"/>
  <c r="L184" i="3"/>
  <c r="L149" i="3"/>
  <c r="L145" i="3"/>
  <c r="L133" i="3"/>
  <c r="L117" i="3"/>
  <c r="L101" i="3"/>
  <c r="L85" i="3"/>
  <c r="L69" i="3"/>
  <c r="L374" i="3"/>
  <c r="L348" i="3"/>
  <c r="L273" i="3"/>
  <c r="L247" i="3"/>
  <c r="L244" i="3"/>
  <c r="L216" i="3"/>
  <c r="L203" i="3"/>
  <c r="L178" i="3"/>
  <c r="L174" i="3"/>
  <c r="L170" i="3"/>
  <c r="L130" i="3"/>
  <c r="L114" i="3"/>
  <c r="L98" i="3"/>
  <c r="L82" i="3"/>
  <c r="L272" i="3"/>
  <c r="L250" i="3"/>
  <c r="L241" i="3"/>
  <c r="L127" i="3"/>
  <c r="L413" i="3"/>
  <c r="L371" i="3"/>
  <c r="L322" i="3"/>
  <c r="L257" i="3"/>
  <c r="L253" i="3"/>
  <c r="L221" i="3"/>
  <c r="L190" i="3"/>
  <c r="L188" i="3"/>
  <c r="L172" i="3"/>
  <c r="L168" i="3"/>
  <c r="L164" i="3"/>
  <c r="L143" i="3"/>
  <c r="L140" i="3"/>
  <c r="L124" i="3"/>
  <c r="L339" i="3"/>
  <c r="L256" i="3"/>
  <c r="L243" i="3"/>
  <c r="L213" i="3"/>
  <c r="L200" i="3"/>
  <c r="K60" i="3"/>
  <c r="E69" i="3"/>
  <c r="I88" i="3"/>
  <c r="I95" i="3"/>
  <c r="J98" i="3"/>
  <c r="I102" i="3"/>
  <c r="J105" i="3"/>
  <c r="K108" i="3"/>
  <c r="L111" i="3"/>
  <c r="I124" i="3"/>
  <c r="E139" i="3"/>
  <c r="L148" i="3"/>
  <c r="K158" i="3"/>
  <c r="J168" i="3"/>
  <c r="I190" i="3"/>
  <c r="L232" i="3"/>
  <c r="J249" i="3"/>
  <c r="K297" i="3"/>
  <c r="E338" i="3"/>
  <c r="I409" i="3"/>
  <c r="M404" i="3"/>
  <c r="M388" i="3"/>
  <c r="M372" i="3"/>
  <c r="M356" i="3"/>
  <c r="M340" i="3"/>
  <c r="M324" i="3"/>
  <c r="M308" i="3"/>
  <c r="M292" i="3"/>
  <c r="M414" i="3"/>
  <c r="M398" i="3"/>
  <c r="M382" i="3"/>
  <c r="M366" i="3"/>
  <c r="M350" i="3"/>
  <c r="M334" i="3"/>
  <c r="M318" i="3"/>
  <c r="M302" i="3"/>
  <c r="M411" i="3"/>
  <c r="M395" i="3"/>
  <c r="M379" i="3"/>
  <c r="M363" i="3"/>
  <c r="M347" i="3"/>
  <c r="M331" i="3"/>
  <c r="M315" i="3"/>
  <c r="M299" i="3"/>
  <c r="M408" i="3"/>
  <c r="M392" i="3"/>
  <c r="M376" i="3"/>
  <c r="M360" i="3"/>
  <c r="M344" i="3"/>
  <c r="M328" i="3"/>
  <c r="M312" i="3"/>
  <c r="M296" i="3"/>
  <c r="M405" i="3"/>
  <c r="M389" i="3"/>
  <c r="M373" i="3"/>
  <c r="M357" i="3"/>
  <c r="M341" i="3"/>
  <c r="M325" i="3"/>
  <c r="M402" i="3"/>
  <c r="M386" i="3"/>
  <c r="M370" i="3"/>
  <c r="M354" i="3"/>
  <c r="M399" i="3"/>
  <c r="M383" i="3"/>
  <c r="M367" i="3"/>
  <c r="M351" i="3"/>
  <c r="M412" i="3"/>
  <c r="M396" i="3"/>
  <c r="M380" i="3"/>
  <c r="M364" i="3"/>
  <c r="M348" i="3"/>
  <c r="M409" i="3"/>
  <c r="M393" i="3"/>
  <c r="M406" i="3"/>
  <c r="M390" i="3"/>
  <c r="M374" i="3"/>
  <c r="M413" i="3"/>
  <c r="M381" i="3"/>
  <c r="M377" i="3"/>
  <c r="M362" i="3"/>
  <c r="M345" i="3"/>
  <c r="M326" i="3"/>
  <c r="M314" i="3"/>
  <c r="M310" i="3"/>
  <c r="M306" i="3"/>
  <c r="M286" i="3"/>
  <c r="M283" i="3"/>
  <c r="M267" i="3"/>
  <c r="M251" i="3"/>
  <c r="M235" i="3"/>
  <c r="M230" i="3"/>
  <c r="M214" i="3"/>
  <c r="M198" i="3"/>
  <c r="M182" i="3"/>
  <c r="M166" i="3"/>
  <c r="M150" i="3"/>
  <c r="M400" i="3"/>
  <c r="M385" i="3"/>
  <c r="M359" i="3"/>
  <c r="M343" i="3"/>
  <c r="M280" i="3"/>
  <c r="M264" i="3"/>
  <c r="M248" i="3"/>
  <c r="M227" i="3"/>
  <c r="M211" i="3"/>
  <c r="M195" i="3"/>
  <c r="M179" i="3"/>
  <c r="M163" i="3"/>
  <c r="M147" i="3"/>
  <c r="M353" i="3"/>
  <c r="M332" i="3"/>
  <c r="M304" i="3"/>
  <c r="M300" i="3"/>
  <c r="M291" i="3"/>
  <c r="M277" i="3"/>
  <c r="M261" i="3"/>
  <c r="M245" i="3"/>
  <c r="M224" i="3"/>
  <c r="M208" i="3"/>
  <c r="M192" i="3"/>
  <c r="M176" i="3"/>
  <c r="M160" i="3"/>
  <c r="M144" i="3"/>
  <c r="M384" i="3"/>
  <c r="M361" i="3"/>
  <c r="M330" i="3"/>
  <c r="M274" i="3"/>
  <c r="M258" i="3"/>
  <c r="M242" i="3"/>
  <c r="M221" i="3"/>
  <c r="M205" i="3"/>
  <c r="M189" i="3"/>
  <c r="M173" i="3"/>
  <c r="M157" i="3"/>
  <c r="M403" i="3"/>
  <c r="M358" i="3"/>
  <c r="M338" i="3"/>
  <c r="M298" i="3"/>
  <c r="M289" i="3"/>
  <c r="M271" i="3"/>
  <c r="M255" i="3"/>
  <c r="M355" i="3"/>
  <c r="M336" i="3"/>
  <c r="M319" i="3"/>
  <c r="M284" i="3"/>
  <c r="M268" i="3"/>
  <c r="M252" i="3"/>
  <c r="M236" i="3"/>
  <c r="M231" i="3"/>
  <c r="M215" i="3"/>
  <c r="M199" i="3"/>
  <c r="M183" i="3"/>
  <c r="M407" i="3"/>
  <c r="M387" i="3"/>
  <c r="M352" i="3"/>
  <c r="M287" i="3"/>
  <c r="M281" i="3"/>
  <c r="M265" i="3"/>
  <c r="M249" i="3"/>
  <c r="M228" i="3"/>
  <c r="M212" i="3"/>
  <c r="M196" i="3"/>
  <c r="M349" i="3"/>
  <c r="M342" i="3"/>
  <c r="M323" i="3"/>
  <c r="M321" i="3"/>
  <c r="M317" i="3"/>
  <c r="M313" i="3"/>
  <c r="M309" i="3"/>
  <c r="M294" i="3"/>
  <c r="M278" i="3"/>
  <c r="M262" i="3"/>
  <c r="M246" i="3"/>
  <c r="M225" i="3"/>
  <c r="M209" i="3"/>
  <c r="M193" i="3"/>
  <c r="M391" i="3"/>
  <c r="M275" i="3"/>
  <c r="M259" i="3"/>
  <c r="M243" i="3"/>
  <c r="M222" i="3"/>
  <c r="M410" i="3"/>
  <c r="M329" i="3"/>
  <c r="M311" i="3"/>
  <c r="M307" i="3"/>
  <c r="M303" i="3"/>
  <c r="M272" i="3"/>
  <c r="M256" i="3"/>
  <c r="M369" i="3"/>
  <c r="M346" i="3"/>
  <c r="M327" i="3"/>
  <c r="M305" i="3"/>
  <c r="M290" i="3"/>
  <c r="M285" i="3"/>
  <c r="M394" i="3"/>
  <c r="M378" i="3"/>
  <c r="M371" i="3"/>
  <c r="M322" i="3"/>
  <c r="M263" i="3"/>
  <c r="M223" i="3"/>
  <c r="M187" i="3"/>
  <c r="M146" i="3"/>
  <c r="M138" i="3"/>
  <c r="M335" i="3"/>
  <c r="M220" i="3"/>
  <c r="M207" i="3"/>
  <c r="M194" i="3"/>
  <c r="M185" i="3"/>
  <c r="M175" i="3"/>
  <c r="M171" i="3"/>
  <c r="M167" i="3"/>
  <c r="M135" i="3"/>
  <c r="M119" i="3"/>
  <c r="M103" i="3"/>
  <c r="M87" i="3"/>
  <c r="M71" i="3"/>
  <c r="M55" i="3"/>
  <c r="M279" i="3"/>
  <c r="M132" i="3"/>
  <c r="M116" i="3"/>
  <c r="M100" i="3"/>
  <c r="M84" i="3"/>
  <c r="M68" i="3"/>
  <c r="M266" i="3"/>
  <c r="M239" i="3"/>
  <c r="M169" i="3"/>
  <c r="M165" i="3"/>
  <c r="M161" i="3"/>
  <c r="M129" i="3"/>
  <c r="M113" i="3"/>
  <c r="M97" i="3"/>
  <c r="M81" i="3"/>
  <c r="M65" i="3"/>
  <c r="M401" i="3"/>
  <c r="M365" i="3"/>
  <c r="M295" i="3"/>
  <c r="M217" i="3"/>
  <c r="M204" i="3"/>
  <c r="M142" i="3"/>
  <c r="M126" i="3"/>
  <c r="M110" i="3"/>
  <c r="M94" i="3"/>
  <c r="M78" i="3"/>
  <c r="M62" i="3"/>
  <c r="M301" i="3"/>
  <c r="M288" i="3"/>
  <c r="M270" i="3"/>
  <c r="M219" i="3"/>
  <c r="M206" i="3"/>
  <c r="M191" i="3"/>
  <c r="M159" i="3"/>
  <c r="M155" i="3"/>
  <c r="M151" i="3"/>
  <c r="M139" i="3"/>
  <c r="M123" i="3"/>
  <c r="M107" i="3"/>
  <c r="M91" i="3"/>
  <c r="M75" i="3"/>
  <c r="M59" i="3"/>
  <c r="M397" i="3"/>
  <c r="M333" i="3"/>
  <c r="M269" i="3"/>
  <c r="M180" i="3"/>
  <c r="M136" i="3"/>
  <c r="M120" i="3"/>
  <c r="M104" i="3"/>
  <c r="M88" i="3"/>
  <c r="M72" i="3"/>
  <c r="M56" i="3"/>
  <c r="M375" i="3"/>
  <c r="M316" i="3"/>
  <c r="M282" i="3"/>
  <c r="M201" i="3"/>
  <c r="M186" i="3"/>
  <c r="M184" i="3"/>
  <c r="M153" i="3"/>
  <c r="M149" i="3"/>
  <c r="M145" i="3"/>
  <c r="M133" i="3"/>
  <c r="M117" i="3"/>
  <c r="M101" i="3"/>
  <c r="M85" i="3"/>
  <c r="M69" i="3"/>
  <c r="M53" i="3"/>
  <c r="M293" i="3"/>
  <c r="M273" i="3"/>
  <c r="M254" i="3"/>
  <c r="M247" i="3"/>
  <c r="M244" i="3"/>
  <c r="M216" i="3"/>
  <c r="M203" i="3"/>
  <c r="M178" i="3"/>
  <c r="M174" i="3"/>
  <c r="M170" i="3"/>
  <c r="M130" i="3"/>
  <c r="M114" i="3"/>
  <c r="M98" i="3"/>
  <c r="M82" i="3"/>
  <c r="M66" i="3"/>
  <c r="M250" i="3"/>
  <c r="M241" i="3"/>
  <c r="M127" i="3"/>
  <c r="M111" i="3"/>
  <c r="M95" i="3"/>
  <c r="M79" i="3"/>
  <c r="M257" i="3"/>
  <c r="M253" i="3"/>
  <c r="M238" i="3"/>
  <c r="M190" i="3"/>
  <c r="M188" i="3"/>
  <c r="M172" i="3"/>
  <c r="M168" i="3"/>
  <c r="M164" i="3"/>
  <c r="M143" i="3"/>
  <c r="M140" i="3"/>
  <c r="M124" i="3"/>
  <c r="M339" i="3"/>
  <c r="M213" i="3"/>
  <c r="M200" i="3"/>
  <c r="M137" i="3"/>
  <c r="M121" i="3"/>
  <c r="M240" i="3"/>
  <c r="M218" i="3"/>
  <c r="M162" i="3"/>
  <c r="M158" i="3"/>
  <c r="M154" i="3"/>
  <c r="I40" i="3"/>
  <c r="L60" i="3"/>
  <c r="I63" i="3"/>
  <c r="I85" i="3"/>
  <c r="I92" i="3"/>
  <c r="J95" i="3"/>
  <c r="K98" i="3"/>
  <c r="J102" i="3"/>
  <c r="K105" i="3"/>
  <c r="L108" i="3"/>
  <c r="K112" i="3"/>
  <c r="E120" i="3"/>
  <c r="J124" i="3"/>
  <c r="I134" i="3"/>
  <c r="M148" i="3"/>
  <c r="L158" i="3"/>
  <c r="E180" i="3"/>
  <c r="J190" i="3"/>
  <c r="M232" i="3"/>
  <c r="I250" i="3"/>
  <c r="M297" i="3"/>
  <c r="J40" i="3"/>
  <c r="E43" i="3"/>
  <c r="E58" i="3"/>
  <c r="M60" i="3"/>
  <c r="J63" i="3"/>
  <c r="I82" i="3"/>
  <c r="J85" i="3"/>
  <c r="I89" i="3"/>
  <c r="J92" i="3"/>
  <c r="K95" i="3"/>
  <c r="J99" i="3"/>
  <c r="K102" i="3"/>
  <c r="L105" i="3"/>
  <c r="M108" i="3"/>
  <c r="L112" i="3"/>
  <c r="K124" i="3"/>
  <c r="E130" i="3"/>
  <c r="J134" i="3"/>
  <c r="I140" i="3"/>
  <c r="I218" i="3"/>
  <c r="B238" i="3"/>
  <c r="I36" i="3"/>
  <c r="K40" i="3"/>
  <c r="I53" i="3"/>
  <c r="E56" i="3"/>
  <c r="M58" i="3"/>
  <c r="K63" i="3"/>
  <c r="I66" i="3"/>
  <c r="I72" i="3"/>
  <c r="I79" i="3"/>
  <c r="J82" i="3"/>
  <c r="I86" i="3"/>
  <c r="J89" i="3"/>
  <c r="K92" i="3"/>
  <c r="L95" i="3"/>
  <c r="K99" i="3"/>
  <c r="L102" i="3"/>
  <c r="M105" i="3"/>
  <c r="L109" i="3"/>
  <c r="M112" i="3"/>
  <c r="L125" i="3"/>
  <c r="K134" i="3"/>
  <c r="J140" i="3"/>
  <c r="I160" i="3"/>
  <c r="M181" i="3"/>
  <c r="K192" i="3"/>
  <c r="L205" i="3"/>
  <c r="K237" i="3"/>
  <c r="I253" i="3"/>
  <c r="I272" i="3"/>
  <c r="J346" i="3"/>
  <c r="D23" i="3"/>
  <c r="B613" i="3" s="1"/>
  <c r="J36" i="3"/>
  <c r="L40" i="3"/>
  <c r="J53" i="3"/>
  <c r="L63" i="3"/>
  <c r="J66" i="3"/>
  <c r="I69" i="3"/>
  <c r="I76" i="3"/>
  <c r="J79" i="3"/>
  <c r="K82" i="3"/>
  <c r="J86" i="3"/>
  <c r="K89" i="3"/>
  <c r="L92" i="3"/>
  <c r="K96" i="3"/>
  <c r="L99" i="3"/>
  <c r="M102" i="3"/>
  <c r="M109" i="3"/>
  <c r="E117" i="3"/>
  <c r="M125" i="3"/>
  <c r="L134" i="3"/>
  <c r="M141" i="3"/>
  <c r="J160" i="3"/>
  <c r="E193" i="3"/>
  <c r="E221" i="3"/>
  <c r="L237" i="3"/>
  <c r="J253" i="3"/>
  <c r="K276" i="3"/>
  <c r="L346" i="3"/>
  <c r="K36" i="3"/>
  <c r="M40" i="3"/>
  <c r="K53" i="3"/>
  <c r="L61" i="3"/>
  <c r="M63" i="3"/>
  <c r="K66" i="3"/>
  <c r="J69" i="3"/>
  <c r="I73" i="3"/>
  <c r="J76" i="3"/>
  <c r="K79" i="3"/>
  <c r="J83" i="3"/>
  <c r="K86" i="3"/>
  <c r="L89" i="3"/>
  <c r="M92" i="3"/>
  <c r="L96" i="3"/>
  <c r="M99" i="3"/>
  <c r="M106" i="3"/>
  <c r="I121" i="3"/>
  <c r="M134" i="3"/>
  <c r="E151" i="3"/>
  <c r="J162" i="3"/>
  <c r="E172" i="3"/>
  <c r="E208" i="3"/>
  <c r="M237" i="3"/>
  <c r="I256" i="3"/>
  <c r="L276" i="3"/>
  <c r="I305" i="3"/>
  <c r="L36" i="3"/>
  <c r="I43" i="3"/>
  <c r="L53" i="3"/>
  <c r="E59" i="3"/>
  <c r="M61" i="3"/>
  <c r="L66" i="3"/>
  <c r="I70" i="3"/>
  <c r="J73" i="3"/>
  <c r="K76" i="3"/>
  <c r="L79" i="3"/>
  <c r="K83" i="3"/>
  <c r="L86" i="3"/>
  <c r="M89" i="3"/>
  <c r="L93" i="3"/>
  <c r="M96" i="3"/>
  <c r="E113" i="3"/>
  <c r="J121" i="3"/>
  <c r="I130" i="3"/>
  <c r="L152" i="3"/>
  <c r="K162" i="3"/>
  <c r="K183" i="3"/>
  <c r="E195" i="3"/>
  <c r="J240" i="3"/>
  <c r="J256" i="3"/>
  <c r="M276" i="3"/>
  <c r="E313" i="3"/>
  <c r="M36" i="3"/>
  <c r="J43" i="3"/>
  <c r="I56" i="3"/>
  <c r="K64" i="3"/>
  <c r="J67" i="3"/>
  <c r="J70" i="3"/>
  <c r="K73" i="3"/>
  <c r="L76" i="3"/>
  <c r="K80" i="3"/>
  <c r="L83" i="3"/>
  <c r="M86" i="3"/>
  <c r="M93" i="3"/>
  <c r="E110" i="3"/>
  <c r="E114" i="3"/>
  <c r="K121" i="3"/>
  <c r="E126" i="3"/>
  <c r="J131" i="3"/>
  <c r="E136" i="3"/>
  <c r="M152" i="3"/>
  <c r="L162" i="3"/>
  <c r="L183" i="3"/>
  <c r="L210" i="3"/>
  <c r="K240" i="3"/>
  <c r="K256" i="3"/>
  <c r="E281" i="3"/>
  <c r="I357" i="3"/>
  <c r="K43" i="3"/>
  <c r="I54" i="3"/>
  <c r="J56" i="3"/>
  <c r="L64" i="3"/>
  <c r="K67" i="3"/>
  <c r="K70" i="3"/>
  <c r="L73" i="3"/>
  <c r="M76" i="3"/>
  <c r="L80" i="3"/>
  <c r="M83" i="3"/>
  <c r="M90" i="3"/>
  <c r="E100" i="3"/>
  <c r="E107" i="3"/>
  <c r="I117" i="3"/>
  <c r="L121" i="3"/>
  <c r="K131" i="3"/>
  <c r="L197" i="3"/>
  <c r="M210" i="3"/>
  <c r="E224" i="3"/>
  <c r="L240" i="3"/>
  <c r="K260" i="3"/>
  <c r="I313" i="3"/>
  <c r="M368" i="3"/>
  <c r="J631" i="3"/>
  <c r="J629" i="3" s="1"/>
  <c r="K679" i="4" l="1"/>
  <c r="I679" i="4"/>
  <c r="E679" i="4"/>
  <c r="K663" i="4"/>
  <c r="I663" i="4"/>
  <c r="X642" i="4"/>
  <c r="V642" i="4"/>
  <c r="AA642" i="4" s="1"/>
  <c r="K692" i="4"/>
  <c r="I692" i="4"/>
  <c r="E692" i="4"/>
  <c r="K655" i="4"/>
  <c r="I655" i="4"/>
  <c r="X729" i="4"/>
  <c r="V729" i="4"/>
  <c r="R729" i="4"/>
  <c r="K736" i="4"/>
  <c r="I736" i="4"/>
  <c r="E736" i="4"/>
  <c r="X736" i="4"/>
  <c r="V736" i="4"/>
  <c r="AA736" i="4" s="1"/>
  <c r="R736" i="4"/>
  <c r="X672" i="4"/>
  <c r="V672" i="4"/>
  <c r="R672" i="4"/>
  <c r="I711" i="4"/>
  <c r="E711" i="4"/>
  <c r="K711" i="4"/>
  <c r="V666" i="4"/>
  <c r="X666" i="4"/>
  <c r="X637" i="4"/>
  <c r="V637" i="4"/>
  <c r="X802" i="4"/>
  <c r="V802" i="4"/>
  <c r="R802" i="4"/>
  <c r="X771" i="4"/>
  <c r="V771" i="4"/>
  <c r="AA771" i="4" s="1"/>
  <c r="R771" i="4"/>
  <c r="K747" i="4"/>
  <c r="I747" i="4"/>
  <c r="E747" i="4"/>
  <c r="K693" i="4"/>
  <c r="I693" i="4"/>
  <c r="E693" i="4"/>
  <c r="K744" i="4"/>
  <c r="I744" i="4"/>
  <c r="E744" i="4"/>
  <c r="K734" i="4"/>
  <c r="I734" i="4"/>
  <c r="E734" i="4"/>
  <c r="K810" i="4"/>
  <c r="I810" i="4"/>
  <c r="E810" i="4"/>
  <c r="I716" i="4"/>
  <c r="E716" i="4"/>
  <c r="K716" i="4"/>
  <c r="V773" i="4"/>
  <c r="R773" i="4"/>
  <c r="X773" i="4"/>
  <c r="E723" i="4"/>
  <c r="K723" i="4"/>
  <c r="I723" i="4"/>
  <c r="E688" i="4"/>
  <c r="K688" i="4"/>
  <c r="I688" i="4"/>
  <c r="X809" i="4"/>
  <c r="V809" i="4"/>
  <c r="R809" i="4"/>
  <c r="K671" i="4"/>
  <c r="I671" i="4"/>
  <c r="E671" i="4"/>
  <c r="V693" i="4"/>
  <c r="X693" i="4"/>
  <c r="R693" i="4"/>
  <c r="I695" i="4"/>
  <c r="K695" i="4"/>
  <c r="E695" i="4"/>
  <c r="X635" i="4"/>
  <c r="V635" i="4"/>
  <c r="R673" i="4"/>
  <c r="X673" i="4"/>
  <c r="V673" i="4"/>
  <c r="K705" i="4"/>
  <c r="I705" i="4"/>
  <c r="E705" i="4"/>
  <c r="X647" i="4"/>
  <c r="V647" i="4"/>
  <c r="X694" i="4"/>
  <c r="V694" i="4"/>
  <c r="R694" i="4"/>
  <c r="K753" i="4"/>
  <c r="I753" i="4"/>
  <c r="E753" i="4"/>
  <c r="K776" i="4"/>
  <c r="I776" i="4"/>
  <c r="E776" i="4"/>
  <c r="R695" i="4"/>
  <c r="X695" i="4"/>
  <c r="V695" i="4"/>
  <c r="AA695" i="4" s="1"/>
  <c r="X796" i="4"/>
  <c r="V796" i="4"/>
  <c r="AA796" i="4" s="1"/>
  <c r="R796" i="4"/>
  <c r="R692" i="4"/>
  <c r="X692" i="4"/>
  <c r="V692" i="4"/>
  <c r="I685" i="4"/>
  <c r="E685" i="4"/>
  <c r="K685" i="4"/>
  <c r="V739" i="4"/>
  <c r="X739" i="4"/>
  <c r="R739" i="4"/>
  <c r="V765" i="4"/>
  <c r="R765" i="4"/>
  <c r="X765" i="4"/>
  <c r="E777" i="4"/>
  <c r="I777" i="4"/>
  <c r="K777" i="4"/>
  <c r="E771" i="4"/>
  <c r="K771" i="4"/>
  <c r="I771" i="4"/>
  <c r="X750" i="4"/>
  <c r="V750" i="4"/>
  <c r="R750" i="4"/>
  <c r="K749" i="4"/>
  <c r="I749" i="4"/>
  <c r="E749" i="4"/>
  <c r="R795" i="4"/>
  <c r="X795" i="4"/>
  <c r="V795" i="4"/>
  <c r="K786" i="4"/>
  <c r="I786" i="4"/>
  <c r="E786" i="4"/>
  <c r="X703" i="4"/>
  <c r="V703" i="4"/>
  <c r="R703" i="4"/>
  <c r="V728" i="4"/>
  <c r="X728" i="4"/>
  <c r="R728" i="4"/>
  <c r="E675" i="4"/>
  <c r="K675" i="4"/>
  <c r="I675" i="4"/>
  <c r="K643" i="4"/>
  <c r="I643" i="4"/>
  <c r="X684" i="4"/>
  <c r="V684" i="4"/>
  <c r="AA684" i="4" s="1"/>
  <c r="R684" i="4"/>
  <c r="K644" i="4"/>
  <c r="I644" i="4"/>
  <c r="X674" i="4"/>
  <c r="V674" i="4"/>
  <c r="R674" i="4"/>
  <c r="X643" i="4"/>
  <c r="V643" i="4"/>
  <c r="V733" i="4"/>
  <c r="R733" i="4"/>
  <c r="X733" i="4"/>
  <c r="K639" i="4"/>
  <c r="I639" i="4"/>
  <c r="K715" i="4"/>
  <c r="I715" i="4"/>
  <c r="E715" i="4"/>
  <c r="K738" i="4"/>
  <c r="I738" i="4"/>
  <c r="E738" i="4"/>
  <c r="V682" i="4"/>
  <c r="R682" i="4"/>
  <c r="X682" i="4"/>
  <c r="K798" i="4"/>
  <c r="I798" i="4"/>
  <c r="E798" i="4"/>
  <c r="R689" i="4"/>
  <c r="X689" i="4"/>
  <c r="V689" i="4"/>
  <c r="V654" i="4"/>
  <c r="X654" i="4"/>
  <c r="R741" i="4"/>
  <c r="X741" i="4"/>
  <c r="V741" i="4"/>
  <c r="X738" i="4"/>
  <c r="V738" i="4"/>
  <c r="AA738" i="4" s="1"/>
  <c r="R738" i="4"/>
  <c r="X808" i="4"/>
  <c r="V808" i="4"/>
  <c r="R808" i="4"/>
  <c r="X696" i="4"/>
  <c r="V696" i="4"/>
  <c r="R696" i="4"/>
  <c r="K811" i="4"/>
  <c r="I811" i="4"/>
  <c r="E811" i="4"/>
  <c r="E774" i="4"/>
  <c r="K774" i="4"/>
  <c r="I774" i="4"/>
  <c r="K726" i="4"/>
  <c r="I726" i="4"/>
  <c r="E726" i="4"/>
  <c r="B632" i="3"/>
  <c r="W631" i="3"/>
  <c r="W629" i="3" s="1"/>
  <c r="B623" i="3" s="1"/>
  <c r="V631" i="3"/>
  <c r="S631" i="3"/>
  <c r="I631" i="3"/>
  <c r="I613" i="3"/>
  <c r="O632" i="3"/>
  <c r="F631" i="3"/>
  <c r="I612" i="3"/>
  <c r="X713" i="4"/>
  <c r="V713" i="4"/>
  <c r="AA713" i="4" s="1"/>
  <c r="R713" i="4"/>
  <c r="K650" i="4"/>
  <c r="I650" i="4"/>
  <c r="V725" i="4"/>
  <c r="X725" i="4"/>
  <c r="R725" i="4"/>
  <c r="K683" i="4"/>
  <c r="I683" i="4"/>
  <c r="E683" i="4"/>
  <c r="K687" i="4"/>
  <c r="I687" i="4"/>
  <c r="E687" i="4"/>
  <c r="K706" i="4"/>
  <c r="I706" i="4"/>
  <c r="E706" i="4"/>
  <c r="X774" i="4"/>
  <c r="V774" i="4"/>
  <c r="AA774" i="4" s="1"/>
  <c r="R774" i="4"/>
  <c r="X675" i="4"/>
  <c r="V675" i="4"/>
  <c r="R675" i="4"/>
  <c r="X764" i="4"/>
  <c r="V764" i="4"/>
  <c r="R764" i="4"/>
  <c r="V671" i="4"/>
  <c r="R671" i="4"/>
  <c r="X671" i="4"/>
  <c r="E632" i="4"/>
  <c r="C625" i="4"/>
  <c r="K632" i="4"/>
  <c r="I632" i="4"/>
  <c r="I629" i="4" s="1"/>
  <c r="E615" i="4" s="1"/>
  <c r="D38" i="4"/>
  <c r="V650" i="4"/>
  <c r="X650" i="4"/>
  <c r="K649" i="4"/>
  <c r="I649" i="4"/>
  <c r="V709" i="4"/>
  <c r="X709" i="4"/>
  <c r="R709" i="4"/>
  <c r="X786" i="4"/>
  <c r="V786" i="4"/>
  <c r="R786" i="4"/>
  <c r="X701" i="4"/>
  <c r="V701" i="4"/>
  <c r="AA701" i="4" s="1"/>
  <c r="R701" i="4"/>
  <c r="I727" i="4"/>
  <c r="E727" i="4"/>
  <c r="K727" i="4"/>
  <c r="E697" i="4"/>
  <c r="K697" i="4"/>
  <c r="I697" i="4"/>
  <c r="E694" i="4"/>
  <c r="K694" i="4"/>
  <c r="I694" i="4"/>
  <c r="X651" i="4"/>
  <c r="V651" i="4"/>
  <c r="I767" i="4"/>
  <c r="E767" i="4"/>
  <c r="K767" i="4"/>
  <c r="E748" i="4"/>
  <c r="I748" i="4"/>
  <c r="K748" i="4"/>
  <c r="R794" i="4"/>
  <c r="X794" i="4"/>
  <c r="V794" i="4"/>
  <c r="R743" i="4"/>
  <c r="X743" i="4"/>
  <c r="V743" i="4"/>
  <c r="R737" i="4"/>
  <c r="X737" i="4"/>
  <c r="V737" i="4"/>
  <c r="AA737" i="4" s="1"/>
  <c r="K752" i="4"/>
  <c r="I752" i="4"/>
  <c r="E752" i="4"/>
  <c r="X798" i="4"/>
  <c r="R798" i="4"/>
  <c r="V798" i="4"/>
  <c r="AA798" i="4" s="1"/>
  <c r="E797" i="4"/>
  <c r="K797" i="4"/>
  <c r="I797" i="4"/>
  <c r="B239" i="4"/>
  <c r="X645" i="4"/>
  <c r="V645" i="4"/>
  <c r="AA645" i="4" s="1"/>
  <c r="X688" i="4"/>
  <c r="V688" i="4"/>
  <c r="AA688" i="4" s="1"/>
  <c r="R688" i="4"/>
  <c r="K721" i="4"/>
  <c r="I721" i="4"/>
  <c r="E721" i="4"/>
  <c r="X787" i="4"/>
  <c r="V787" i="4"/>
  <c r="R787" i="4"/>
  <c r="K645" i="4"/>
  <c r="I645" i="4"/>
  <c r="K722" i="4"/>
  <c r="I722" i="4"/>
  <c r="E722" i="4"/>
  <c r="X652" i="4"/>
  <c r="V652" i="4"/>
  <c r="X722" i="4"/>
  <c r="V722" i="4"/>
  <c r="AA722" i="4" s="1"/>
  <c r="R722" i="4"/>
  <c r="K789" i="4"/>
  <c r="I789" i="4"/>
  <c r="E789" i="4"/>
  <c r="X790" i="4"/>
  <c r="V790" i="4"/>
  <c r="R790" i="4"/>
  <c r="X707" i="4"/>
  <c r="V707" i="4"/>
  <c r="R707" i="4"/>
  <c r="I684" i="4"/>
  <c r="E684" i="4"/>
  <c r="K684" i="4"/>
  <c r="V792" i="4"/>
  <c r="R792" i="4"/>
  <c r="X792" i="4"/>
  <c r="X748" i="4"/>
  <c r="V748" i="4"/>
  <c r="AA748" i="4" s="1"/>
  <c r="R748" i="4"/>
  <c r="E691" i="4"/>
  <c r="I691" i="4"/>
  <c r="K691" i="4"/>
  <c r="K656" i="4"/>
  <c r="I656" i="4"/>
  <c r="R702" i="4"/>
  <c r="X702" i="4"/>
  <c r="V702" i="4"/>
  <c r="X745" i="4"/>
  <c r="V745" i="4"/>
  <c r="AA745" i="4" s="1"/>
  <c r="R745" i="4"/>
  <c r="X742" i="4"/>
  <c r="V742" i="4"/>
  <c r="AA742" i="4" s="1"/>
  <c r="R742" i="4"/>
  <c r="K698" i="4"/>
  <c r="E698" i="4"/>
  <c r="I698" i="4"/>
  <c r="R740" i="4"/>
  <c r="V740" i="4"/>
  <c r="X740" i="4"/>
  <c r="B617" i="3"/>
  <c r="K690" i="4"/>
  <c r="I690" i="4"/>
  <c r="E690" i="4"/>
  <c r="K654" i="4"/>
  <c r="I654" i="4"/>
  <c r="K804" i="4"/>
  <c r="I804" i="4"/>
  <c r="E804" i="4"/>
  <c r="X697" i="4"/>
  <c r="V697" i="4"/>
  <c r="AA697" i="4" s="1"/>
  <c r="R697" i="4"/>
  <c r="X655" i="4"/>
  <c r="V655" i="4"/>
  <c r="AA655" i="4" s="1"/>
  <c r="X755" i="4"/>
  <c r="V755" i="4"/>
  <c r="R755" i="4"/>
  <c r="K769" i="4"/>
  <c r="I769" i="4"/>
  <c r="E769" i="4"/>
  <c r="K703" i="4"/>
  <c r="I703" i="4"/>
  <c r="E703" i="4"/>
  <c r="X754" i="4"/>
  <c r="V754" i="4"/>
  <c r="R754" i="4"/>
  <c r="K731" i="4"/>
  <c r="I731" i="4"/>
  <c r="E731" i="4"/>
  <c r="K795" i="4"/>
  <c r="I795" i="4"/>
  <c r="E795" i="4"/>
  <c r="X660" i="4"/>
  <c r="V660" i="4"/>
  <c r="AA660" i="4" s="1"/>
  <c r="K756" i="4"/>
  <c r="E756" i="4"/>
  <c r="I756" i="4"/>
  <c r="R744" i="4"/>
  <c r="X744" i="4"/>
  <c r="V744" i="4"/>
  <c r="AA744" i="4" s="1"/>
  <c r="I751" i="4"/>
  <c r="E751" i="4"/>
  <c r="K751" i="4"/>
  <c r="K653" i="4"/>
  <c r="I653" i="4"/>
  <c r="V699" i="4"/>
  <c r="R699" i="4"/>
  <c r="X699" i="4"/>
  <c r="X806" i="4"/>
  <c r="V806" i="4"/>
  <c r="R806" i="4"/>
  <c r="E796" i="4"/>
  <c r="I796" i="4"/>
  <c r="K796" i="4"/>
  <c r="E745" i="4"/>
  <c r="K745" i="4"/>
  <c r="I745" i="4"/>
  <c r="R791" i="4"/>
  <c r="X791" i="4"/>
  <c r="V791" i="4"/>
  <c r="E739" i="4"/>
  <c r="K739" i="4"/>
  <c r="I739" i="4"/>
  <c r="R785" i="4"/>
  <c r="X785" i="4"/>
  <c r="V785" i="4"/>
  <c r="K800" i="4"/>
  <c r="I800" i="4"/>
  <c r="E800" i="4"/>
  <c r="X763" i="4"/>
  <c r="V763" i="4"/>
  <c r="R763" i="4"/>
  <c r="R772" i="4"/>
  <c r="X772" i="4"/>
  <c r="V772" i="4"/>
  <c r="B239" i="3"/>
  <c r="K702" i="4"/>
  <c r="I702" i="4"/>
  <c r="E702" i="4"/>
  <c r="X641" i="4"/>
  <c r="V641" i="4"/>
  <c r="K647" i="4"/>
  <c r="I647" i="4"/>
  <c r="X700" i="4"/>
  <c r="V700" i="4"/>
  <c r="R700" i="4"/>
  <c r="X704" i="4"/>
  <c r="V704" i="4"/>
  <c r="R704" i="4"/>
  <c r="X640" i="4"/>
  <c r="V640" i="4"/>
  <c r="R730" i="4"/>
  <c r="X730" i="4"/>
  <c r="V730" i="4"/>
  <c r="X656" i="4"/>
  <c r="V656" i="4"/>
  <c r="AA656" i="4" s="1"/>
  <c r="X653" i="4"/>
  <c r="V653" i="4"/>
  <c r="X710" i="4"/>
  <c r="V710" i="4"/>
  <c r="R710" i="4"/>
  <c r="K709" i="4"/>
  <c r="I709" i="4"/>
  <c r="E709" i="4"/>
  <c r="E704" i="4"/>
  <c r="K704" i="4"/>
  <c r="I704" i="4"/>
  <c r="R746" i="4"/>
  <c r="X746" i="4"/>
  <c r="V746" i="4"/>
  <c r="X664" i="4"/>
  <c r="V664" i="4"/>
  <c r="X760" i="4"/>
  <c r="V760" i="4"/>
  <c r="R760" i="4"/>
  <c r="K742" i="4"/>
  <c r="I742" i="4"/>
  <c r="E742" i="4"/>
  <c r="R788" i="4"/>
  <c r="X788" i="4"/>
  <c r="V788" i="4"/>
  <c r="X638" i="4"/>
  <c r="V638" i="4"/>
  <c r="X648" i="4"/>
  <c r="V648" i="4"/>
  <c r="X644" i="4"/>
  <c r="V644" i="4"/>
  <c r="K658" i="4"/>
  <c r="I658" i="4"/>
  <c r="K686" i="4"/>
  <c r="I686" i="4"/>
  <c r="E686" i="4"/>
  <c r="X636" i="4"/>
  <c r="V636" i="4"/>
  <c r="AA636" i="4" s="1"/>
  <c r="X687" i="4"/>
  <c r="V687" i="4"/>
  <c r="AA687" i="4" s="1"/>
  <c r="R687" i="4"/>
  <c r="V633" i="4"/>
  <c r="X633" i="4"/>
  <c r="X646" i="4"/>
  <c r="V646" i="4"/>
  <c r="AA646" i="4" s="1"/>
  <c r="X659" i="4"/>
  <c r="V659" i="4"/>
  <c r="X657" i="4"/>
  <c r="V657" i="4"/>
  <c r="AA657" i="4" s="1"/>
  <c r="X770" i="4"/>
  <c r="V770" i="4"/>
  <c r="AA770" i="4" s="1"/>
  <c r="R770" i="4"/>
  <c r="I735" i="4"/>
  <c r="E735" i="4"/>
  <c r="K735" i="4"/>
  <c r="R711" i="4"/>
  <c r="X711" i="4"/>
  <c r="V711" i="4"/>
  <c r="AA711" i="4" s="1"/>
  <c r="X758" i="4"/>
  <c r="V758" i="4"/>
  <c r="R758" i="4"/>
  <c r="K662" i="4"/>
  <c r="I662" i="4"/>
  <c r="R708" i="4"/>
  <c r="X708" i="4"/>
  <c r="V708" i="4"/>
  <c r="AA708" i="4" s="1"/>
  <c r="K701" i="4"/>
  <c r="I701" i="4"/>
  <c r="E701" i="4"/>
  <c r="K750" i="4"/>
  <c r="I750" i="4"/>
  <c r="E750" i="4"/>
  <c r="K763" i="4"/>
  <c r="I763" i="4"/>
  <c r="E763" i="4"/>
  <c r="K808" i="4"/>
  <c r="I808" i="4"/>
  <c r="E808" i="4"/>
  <c r="V781" i="4"/>
  <c r="R781" i="4"/>
  <c r="X781" i="4"/>
  <c r="R762" i="4"/>
  <c r="X762" i="4"/>
  <c r="V762" i="4"/>
  <c r="AA762" i="4" s="1"/>
  <c r="E793" i="4"/>
  <c r="K793" i="4"/>
  <c r="I793" i="4"/>
  <c r="E787" i="4"/>
  <c r="K787" i="4"/>
  <c r="I787" i="4"/>
  <c r="X766" i="4"/>
  <c r="V766" i="4"/>
  <c r="R766" i="4"/>
  <c r="K765" i="4"/>
  <c r="I765" i="4"/>
  <c r="E765" i="4"/>
  <c r="X811" i="4"/>
  <c r="V811" i="4"/>
  <c r="AA811" i="4" s="1"/>
  <c r="R811" i="4"/>
  <c r="D1" i="3"/>
  <c r="K646" i="4"/>
  <c r="I646" i="4"/>
  <c r="K667" i="4"/>
  <c r="I667" i="4"/>
  <c r="E667" i="4"/>
  <c r="X751" i="4"/>
  <c r="R751" i="4"/>
  <c r="V751" i="4"/>
  <c r="AA751" i="4" s="1"/>
  <c r="K670" i="4"/>
  <c r="I670" i="4"/>
  <c r="E670" i="4"/>
  <c r="X767" i="4"/>
  <c r="V767" i="4"/>
  <c r="AA767" i="4" s="1"/>
  <c r="R767" i="4"/>
  <c r="K708" i="4"/>
  <c r="I708" i="4"/>
  <c r="E708" i="4"/>
  <c r="K659" i="4"/>
  <c r="I659" i="4"/>
  <c r="X690" i="4"/>
  <c r="V690" i="4"/>
  <c r="R690" i="4"/>
  <c r="K689" i="4"/>
  <c r="I689" i="4"/>
  <c r="E689" i="4"/>
  <c r="X661" i="4"/>
  <c r="V661" i="4"/>
  <c r="AA661" i="4" s="1"/>
  <c r="K642" i="4"/>
  <c r="I642" i="4"/>
  <c r="K737" i="4"/>
  <c r="I737" i="4"/>
  <c r="E737" i="4"/>
  <c r="K712" i="4"/>
  <c r="I712" i="4"/>
  <c r="E712" i="4"/>
  <c r="K773" i="4"/>
  <c r="I773" i="4"/>
  <c r="E773" i="4"/>
  <c r="V698" i="4"/>
  <c r="AA698" i="4" s="1"/>
  <c r="R698" i="4"/>
  <c r="X698" i="4"/>
  <c r="E775" i="4"/>
  <c r="K775" i="4"/>
  <c r="I775" i="4"/>
  <c r="R705" i="4"/>
  <c r="X705" i="4"/>
  <c r="V705" i="4"/>
  <c r="R757" i="4"/>
  <c r="V757" i="4"/>
  <c r="X757" i="4"/>
  <c r="R670" i="4"/>
  <c r="X670" i="4"/>
  <c r="V670" i="4"/>
  <c r="K666" i="4"/>
  <c r="I666" i="4"/>
  <c r="X712" i="4"/>
  <c r="V712" i="4"/>
  <c r="AA712" i="4" s="1"/>
  <c r="R712" i="4"/>
  <c r="E790" i="4"/>
  <c r="K790" i="4"/>
  <c r="I790" i="4"/>
  <c r="D806" i="3"/>
  <c r="Q804" i="3"/>
  <c r="C803" i="3"/>
  <c r="H802" i="3"/>
  <c r="P801" i="3"/>
  <c r="U800" i="3"/>
  <c r="D790" i="3"/>
  <c r="Q788" i="3"/>
  <c r="C787" i="3"/>
  <c r="H786" i="3"/>
  <c r="P785" i="3"/>
  <c r="U784" i="3"/>
  <c r="D774" i="3"/>
  <c r="Q772" i="3"/>
  <c r="C771" i="3"/>
  <c r="H770" i="3"/>
  <c r="P769" i="3"/>
  <c r="U768" i="3"/>
  <c r="D758" i="3"/>
  <c r="Q756" i="3"/>
  <c r="C755" i="3"/>
  <c r="H754" i="3"/>
  <c r="P753" i="3"/>
  <c r="U752" i="3"/>
  <c r="D809" i="3"/>
  <c r="Q807" i="3"/>
  <c r="C806" i="3"/>
  <c r="H805" i="3"/>
  <c r="P804" i="3"/>
  <c r="U803" i="3"/>
  <c r="D793" i="3"/>
  <c r="Q791" i="3"/>
  <c r="C790" i="3"/>
  <c r="H789" i="3"/>
  <c r="P788" i="3"/>
  <c r="U787" i="3"/>
  <c r="D777" i="3"/>
  <c r="Q775" i="3"/>
  <c r="C774" i="3"/>
  <c r="H773" i="3"/>
  <c r="P772" i="3"/>
  <c r="U771" i="3"/>
  <c r="D761" i="3"/>
  <c r="Q759" i="3"/>
  <c r="C758" i="3"/>
  <c r="H757" i="3"/>
  <c r="P756" i="3"/>
  <c r="U755" i="3"/>
  <c r="D812" i="3"/>
  <c r="Q810" i="3"/>
  <c r="C809" i="3"/>
  <c r="H808" i="3"/>
  <c r="P807" i="3"/>
  <c r="U806" i="3"/>
  <c r="D796" i="3"/>
  <c r="Q794" i="3"/>
  <c r="C793" i="3"/>
  <c r="H792" i="3"/>
  <c r="P791" i="3"/>
  <c r="U790" i="3"/>
  <c r="D780" i="3"/>
  <c r="Q778" i="3"/>
  <c r="C777" i="3"/>
  <c r="H776" i="3"/>
  <c r="P775" i="3"/>
  <c r="U774" i="3"/>
  <c r="D764" i="3"/>
  <c r="Q762" i="3"/>
  <c r="C761" i="3"/>
  <c r="H760" i="3"/>
  <c r="P759" i="3"/>
  <c r="U758" i="3"/>
  <c r="C812" i="3"/>
  <c r="H811" i="3"/>
  <c r="P810" i="3"/>
  <c r="U809" i="3"/>
  <c r="D799" i="3"/>
  <c r="Q797" i="3"/>
  <c r="C796" i="3"/>
  <c r="H795" i="3"/>
  <c r="P794" i="3"/>
  <c r="U793" i="3"/>
  <c r="D783" i="3"/>
  <c r="Q781" i="3"/>
  <c r="C780" i="3"/>
  <c r="H779" i="3"/>
  <c r="P778" i="3"/>
  <c r="U777" i="3"/>
  <c r="D767" i="3"/>
  <c r="Q765" i="3"/>
  <c r="C764" i="3"/>
  <c r="H763" i="3"/>
  <c r="P762" i="3"/>
  <c r="U761" i="3"/>
  <c r="D751" i="3"/>
  <c r="Q749" i="3"/>
  <c r="U812" i="3"/>
  <c r="D802" i="3"/>
  <c r="Q800" i="3"/>
  <c r="C799" i="3"/>
  <c r="H798" i="3"/>
  <c r="P797" i="3"/>
  <c r="U796" i="3"/>
  <c r="D786" i="3"/>
  <c r="Q784" i="3"/>
  <c r="C783" i="3"/>
  <c r="H782" i="3"/>
  <c r="P781" i="3"/>
  <c r="U780" i="3"/>
  <c r="D770" i="3"/>
  <c r="Q768" i="3"/>
  <c r="C767" i="3"/>
  <c r="H766" i="3"/>
  <c r="P765" i="3"/>
  <c r="U764" i="3"/>
  <c r="D754" i="3"/>
  <c r="Q752" i="3"/>
  <c r="C751" i="3"/>
  <c r="H750" i="3"/>
  <c r="P749" i="3"/>
  <c r="U748" i="3"/>
  <c r="D805" i="3"/>
  <c r="Q803" i="3"/>
  <c r="C802" i="3"/>
  <c r="H801" i="3"/>
  <c r="P800" i="3"/>
  <c r="U799" i="3"/>
  <c r="D789" i="3"/>
  <c r="Q787" i="3"/>
  <c r="C786" i="3"/>
  <c r="H785" i="3"/>
  <c r="P784" i="3"/>
  <c r="U783" i="3"/>
  <c r="D773" i="3"/>
  <c r="Q771" i="3"/>
  <c r="C770" i="3"/>
  <c r="H769" i="3"/>
  <c r="P768" i="3"/>
  <c r="U767" i="3"/>
  <c r="D757" i="3"/>
  <c r="Q755" i="3"/>
  <c r="C754" i="3"/>
  <c r="H753" i="3"/>
  <c r="P752" i="3"/>
  <c r="U751" i="3"/>
  <c r="Q812" i="3"/>
  <c r="P812" i="3"/>
  <c r="D803" i="3"/>
  <c r="Q801" i="3"/>
  <c r="C800" i="3"/>
  <c r="H799" i="3"/>
  <c r="P798" i="3"/>
  <c r="U797" i="3"/>
  <c r="H812" i="3"/>
  <c r="Q806" i="3"/>
  <c r="C804" i="3"/>
  <c r="D800" i="3"/>
  <c r="P793" i="3"/>
  <c r="U788" i="3"/>
  <c r="C785" i="3"/>
  <c r="H780" i="3"/>
  <c r="Q776" i="3"/>
  <c r="P771" i="3"/>
  <c r="D768" i="3"/>
  <c r="U766" i="3"/>
  <c r="C763" i="3"/>
  <c r="H758" i="3"/>
  <c r="Q754" i="3"/>
  <c r="D740" i="3"/>
  <c r="Q738" i="3"/>
  <c r="C737" i="3"/>
  <c r="H736" i="3"/>
  <c r="P735" i="3"/>
  <c r="U734" i="3"/>
  <c r="D724" i="3"/>
  <c r="Q722" i="3"/>
  <c r="C721" i="3"/>
  <c r="H720" i="3"/>
  <c r="P719" i="3"/>
  <c r="U718" i="3"/>
  <c r="D708" i="3"/>
  <c r="Q706" i="3"/>
  <c r="C705" i="3"/>
  <c r="H704" i="3"/>
  <c r="P703" i="3"/>
  <c r="U702" i="3"/>
  <c r="D692" i="3"/>
  <c r="Q690" i="3"/>
  <c r="C689" i="3"/>
  <c r="P806" i="3"/>
  <c r="Q802" i="3"/>
  <c r="D791" i="3"/>
  <c r="U789" i="3"/>
  <c r="H781" i="3"/>
  <c r="Q777" i="3"/>
  <c r="P776" i="3"/>
  <c r="D769" i="3"/>
  <c r="C768" i="3"/>
  <c r="H759" i="3"/>
  <c r="P754" i="3"/>
  <c r="U749" i="3"/>
  <c r="D743" i="3"/>
  <c r="Q741" i="3"/>
  <c r="C740" i="3"/>
  <c r="H739" i="3"/>
  <c r="P738" i="3"/>
  <c r="U737" i="3"/>
  <c r="D727" i="3"/>
  <c r="Q725" i="3"/>
  <c r="C724" i="3"/>
  <c r="H723" i="3"/>
  <c r="P722" i="3"/>
  <c r="U721" i="3"/>
  <c r="D711" i="3"/>
  <c r="Q709" i="3"/>
  <c r="C708" i="3"/>
  <c r="H707" i="3"/>
  <c r="P706" i="3"/>
  <c r="U705" i="3"/>
  <c r="D695" i="3"/>
  <c r="Q693" i="3"/>
  <c r="C692" i="3"/>
  <c r="H691" i="3"/>
  <c r="P690" i="3"/>
  <c r="U689" i="3"/>
  <c r="U810" i="3"/>
  <c r="C805" i="3"/>
  <c r="P802" i="3"/>
  <c r="D801" i="3"/>
  <c r="Q798" i="3"/>
  <c r="U794" i="3"/>
  <c r="D792" i="3"/>
  <c r="C791" i="3"/>
  <c r="Q782" i="3"/>
  <c r="P777" i="3"/>
  <c r="U772" i="3"/>
  <c r="C769" i="3"/>
  <c r="H764" i="3"/>
  <c r="Q760" i="3"/>
  <c r="P755" i="3"/>
  <c r="D752" i="3"/>
  <c r="U750" i="3"/>
  <c r="D746" i="3"/>
  <c r="Q744" i="3"/>
  <c r="C743" i="3"/>
  <c r="H742" i="3"/>
  <c r="P741" i="3"/>
  <c r="U740" i="3"/>
  <c r="D730" i="3"/>
  <c r="Q728" i="3"/>
  <c r="C727" i="3"/>
  <c r="H726" i="3"/>
  <c r="P725" i="3"/>
  <c r="U724" i="3"/>
  <c r="D714" i="3"/>
  <c r="Q712" i="3"/>
  <c r="C711" i="3"/>
  <c r="H710" i="3"/>
  <c r="P709" i="3"/>
  <c r="U708" i="3"/>
  <c r="D698" i="3"/>
  <c r="Q696" i="3"/>
  <c r="C695" i="3"/>
  <c r="H694" i="3"/>
  <c r="P693" i="3"/>
  <c r="U692" i="3"/>
  <c r="H809" i="3"/>
  <c r="C801" i="3"/>
  <c r="D797" i="3"/>
  <c r="U795" i="3"/>
  <c r="C792" i="3"/>
  <c r="H787" i="3"/>
  <c r="Q783" i="3"/>
  <c r="P782" i="3"/>
  <c r="D775" i="3"/>
  <c r="U773" i="3"/>
  <c r="H765" i="3"/>
  <c r="Q761" i="3"/>
  <c r="P760" i="3"/>
  <c r="D753" i="3"/>
  <c r="C752" i="3"/>
  <c r="Q747" i="3"/>
  <c r="C746" i="3"/>
  <c r="H745" i="3"/>
  <c r="P744" i="3"/>
  <c r="U743" i="3"/>
  <c r="D733" i="3"/>
  <c r="Q731" i="3"/>
  <c r="C730" i="3"/>
  <c r="H729" i="3"/>
  <c r="P728" i="3"/>
  <c r="U727" i="3"/>
  <c r="D717" i="3"/>
  <c r="Q715" i="3"/>
  <c r="C714" i="3"/>
  <c r="H713" i="3"/>
  <c r="P712" i="3"/>
  <c r="U711" i="3"/>
  <c r="D701" i="3"/>
  <c r="Q699" i="3"/>
  <c r="U811" i="3"/>
  <c r="P803" i="3"/>
  <c r="Q799" i="3"/>
  <c r="C797" i="3"/>
  <c r="H788" i="3"/>
  <c r="P783" i="3"/>
  <c r="U778" i="3"/>
  <c r="D776" i="3"/>
  <c r="C775" i="3"/>
  <c r="Q766" i="3"/>
  <c r="P761" i="3"/>
  <c r="U756" i="3"/>
  <c r="C753" i="3"/>
  <c r="H748" i="3"/>
  <c r="P747" i="3"/>
  <c r="U746" i="3"/>
  <c r="D736" i="3"/>
  <c r="Q734" i="3"/>
  <c r="C733" i="3"/>
  <c r="H732" i="3"/>
  <c r="P731" i="3"/>
  <c r="U730" i="3"/>
  <c r="D720" i="3"/>
  <c r="Q718" i="3"/>
  <c r="C717" i="3"/>
  <c r="H716" i="3"/>
  <c r="P715" i="3"/>
  <c r="U714" i="3"/>
  <c r="D704" i="3"/>
  <c r="Q702" i="3"/>
  <c r="C701" i="3"/>
  <c r="H700" i="3"/>
  <c r="P699" i="3"/>
  <c r="U698" i="3"/>
  <c r="H810" i="3"/>
  <c r="U807" i="3"/>
  <c r="P799" i="3"/>
  <c r="D798" i="3"/>
  <c r="H793" i="3"/>
  <c r="Q789" i="3"/>
  <c r="D781" i="3"/>
  <c r="U779" i="3"/>
  <c r="C776" i="3"/>
  <c r="H771" i="3"/>
  <c r="Q767" i="3"/>
  <c r="P766" i="3"/>
  <c r="D759" i="3"/>
  <c r="U757" i="3"/>
  <c r="H749" i="3"/>
  <c r="D739" i="3"/>
  <c r="Q737" i="3"/>
  <c r="C736" i="3"/>
  <c r="H735" i="3"/>
  <c r="P734" i="3"/>
  <c r="U733" i="3"/>
  <c r="D723" i="3"/>
  <c r="Q721" i="3"/>
  <c r="C720" i="3"/>
  <c r="H719" i="3"/>
  <c r="P718" i="3"/>
  <c r="U717" i="3"/>
  <c r="D707" i="3"/>
  <c r="Q705" i="3"/>
  <c r="C704" i="3"/>
  <c r="H703" i="3"/>
  <c r="P702" i="3"/>
  <c r="U701" i="3"/>
  <c r="H806" i="3"/>
  <c r="C798" i="3"/>
  <c r="H794" i="3"/>
  <c r="Q790" i="3"/>
  <c r="P789" i="3"/>
  <c r="D782" i="3"/>
  <c r="C781" i="3"/>
  <c r="H772" i="3"/>
  <c r="P767" i="3"/>
  <c r="U762" i="3"/>
  <c r="D760" i="3"/>
  <c r="C759" i="3"/>
  <c r="Q750" i="3"/>
  <c r="D742" i="3"/>
  <c r="Q740" i="3"/>
  <c r="C739" i="3"/>
  <c r="H738" i="3"/>
  <c r="P737" i="3"/>
  <c r="U736" i="3"/>
  <c r="D726" i="3"/>
  <c r="Q724" i="3"/>
  <c r="C723" i="3"/>
  <c r="U808" i="3"/>
  <c r="Q795" i="3"/>
  <c r="P790" i="3"/>
  <c r="D787" i="3"/>
  <c r="U785" i="3"/>
  <c r="C782" i="3"/>
  <c r="H777" i="3"/>
  <c r="Q773" i="3"/>
  <c r="D765" i="3"/>
  <c r="U763" i="3"/>
  <c r="C760" i="3"/>
  <c r="H755" i="3"/>
  <c r="Q751" i="3"/>
  <c r="P750" i="3"/>
  <c r="D745" i="3"/>
  <c r="Q743" i="3"/>
  <c r="C742" i="3"/>
  <c r="H741" i="3"/>
  <c r="P740" i="3"/>
  <c r="U739" i="3"/>
  <c r="D729" i="3"/>
  <c r="Q727" i="3"/>
  <c r="C726" i="3"/>
  <c r="H725" i="3"/>
  <c r="P724" i="3"/>
  <c r="U723" i="3"/>
  <c r="Q811" i="3"/>
  <c r="H807" i="3"/>
  <c r="U804" i="3"/>
  <c r="Q796" i="3"/>
  <c r="P795" i="3"/>
  <c r="D788" i="3"/>
  <c r="U786" i="3"/>
  <c r="H778" i="3"/>
  <c r="Q774" i="3"/>
  <c r="P773" i="3"/>
  <c r="D766" i="3"/>
  <c r="C765" i="3"/>
  <c r="H756" i="3"/>
  <c r="P751" i="3"/>
  <c r="D748" i="3"/>
  <c r="Q746" i="3"/>
  <c r="C745" i="3"/>
  <c r="H744" i="3"/>
  <c r="P743" i="3"/>
  <c r="U742" i="3"/>
  <c r="P811" i="3"/>
  <c r="D810" i="3"/>
  <c r="H803" i="3"/>
  <c r="P796" i="3"/>
  <c r="U791" i="3"/>
  <c r="C788" i="3"/>
  <c r="H783" i="3"/>
  <c r="Q779" i="3"/>
  <c r="P774" i="3"/>
  <c r="D771" i="3"/>
  <c r="U769" i="3"/>
  <c r="C766" i="3"/>
  <c r="H761" i="3"/>
  <c r="Q757" i="3"/>
  <c r="D749" i="3"/>
  <c r="C748" i="3"/>
  <c r="H747" i="3"/>
  <c r="P746" i="3"/>
  <c r="U745" i="3"/>
  <c r="D735" i="3"/>
  <c r="Q733" i="3"/>
  <c r="C732" i="3"/>
  <c r="H731" i="3"/>
  <c r="P730" i="3"/>
  <c r="U729" i="3"/>
  <c r="C810" i="3"/>
  <c r="U805" i="3"/>
  <c r="D794" i="3"/>
  <c r="U792" i="3"/>
  <c r="C789" i="3"/>
  <c r="H784" i="3"/>
  <c r="Q780" i="3"/>
  <c r="P779" i="3"/>
  <c r="D772" i="3"/>
  <c r="U770" i="3"/>
  <c r="H762" i="3"/>
  <c r="Q758" i="3"/>
  <c r="P757" i="3"/>
  <c r="D750" i="3"/>
  <c r="D811" i="3"/>
  <c r="Q808" i="3"/>
  <c r="H804" i="3"/>
  <c r="U801" i="3"/>
  <c r="D795" i="3"/>
  <c r="C794" i="3"/>
  <c r="Q785" i="3"/>
  <c r="P780" i="3"/>
  <c r="U775" i="3"/>
  <c r="C772" i="3"/>
  <c r="H767" i="3"/>
  <c r="Q809" i="3"/>
  <c r="C811" i="3"/>
  <c r="P805" i="3"/>
  <c r="D785" i="3"/>
  <c r="H775" i="3"/>
  <c r="P770" i="3"/>
  <c r="U765" i="3"/>
  <c r="C741" i="3"/>
  <c r="U726" i="3"/>
  <c r="H722" i="3"/>
  <c r="P717" i="3"/>
  <c r="U712" i="3"/>
  <c r="D710" i="3"/>
  <c r="C709" i="3"/>
  <c r="Q700" i="3"/>
  <c r="C698" i="3"/>
  <c r="C696" i="3"/>
  <c r="D694" i="3"/>
  <c r="H692" i="3"/>
  <c r="P688" i="3"/>
  <c r="U687" i="3"/>
  <c r="D677" i="3"/>
  <c r="Q675" i="3"/>
  <c r="C674" i="3"/>
  <c r="H673" i="3"/>
  <c r="P672" i="3"/>
  <c r="U671" i="3"/>
  <c r="C658" i="3"/>
  <c r="P656" i="3"/>
  <c r="C642" i="3"/>
  <c r="P640" i="3"/>
  <c r="D747" i="3"/>
  <c r="Q735" i="3"/>
  <c r="P733" i="3"/>
  <c r="H730" i="3"/>
  <c r="H728" i="3"/>
  <c r="D715" i="3"/>
  <c r="U713" i="3"/>
  <c r="C710" i="3"/>
  <c r="H705" i="3"/>
  <c r="Q701" i="3"/>
  <c r="P700" i="3"/>
  <c r="C694" i="3"/>
  <c r="H690" i="3"/>
  <c r="D680" i="3"/>
  <c r="Q678" i="3"/>
  <c r="C677" i="3"/>
  <c r="H676" i="3"/>
  <c r="P675" i="3"/>
  <c r="U674" i="3"/>
  <c r="C661" i="3"/>
  <c r="P659" i="3"/>
  <c r="C645" i="3"/>
  <c r="P643" i="3"/>
  <c r="D632" i="3"/>
  <c r="D779" i="3"/>
  <c r="Q769" i="3"/>
  <c r="Q764" i="3"/>
  <c r="C757" i="3"/>
  <c r="Q753" i="3"/>
  <c r="C749" i="3"/>
  <c r="C747" i="3"/>
  <c r="U738" i="3"/>
  <c r="D716" i="3"/>
  <c r="C715" i="3"/>
  <c r="H706" i="3"/>
  <c r="P701" i="3"/>
  <c r="D693" i="3"/>
  <c r="D683" i="3"/>
  <c r="Q681" i="3"/>
  <c r="C680" i="3"/>
  <c r="H679" i="3"/>
  <c r="P678" i="3"/>
  <c r="U677" i="3"/>
  <c r="D667" i="3"/>
  <c r="C664" i="3"/>
  <c r="P662" i="3"/>
  <c r="C648" i="3"/>
  <c r="P646" i="3"/>
  <c r="C632" i="3"/>
  <c r="P809" i="3"/>
  <c r="U798" i="3"/>
  <c r="D784" i="3"/>
  <c r="C779" i="3"/>
  <c r="H774" i="3"/>
  <c r="P764" i="3"/>
  <c r="U760" i="3"/>
  <c r="D737" i="3"/>
  <c r="C735" i="3"/>
  <c r="D725" i="3"/>
  <c r="Q723" i="3"/>
  <c r="D721" i="3"/>
  <c r="U719" i="3"/>
  <c r="C716" i="3"/>
  <c r="H711" i="3"/>
  <c r="Q707" i="3"/>
  <c r="D699" i="3"/>
  <c r="U695" i="3"/>
  <c r="C693" i="3"/>
  <c r="D691" i="3"/>
  <c r="H689" i="3"/>
  <c r="D686" i="3"/>
  <c r="Q684" i="3"/>
  <c r="C683" i="3"/>
  <c r="H682" i="3"/>
  <c r="P681" i="3"/>
  <c r="U680" i="3"/>
  <c r="D670" i="3"/>
  <c r="Q668" i="3"/>
  <c r="C667" i="3"/>
  <c r="P665" i="3"/>
  <c r="C651" i="3"/>
  <c r="P649" i="3"/>
  <c r="C635" i="3"/>
  <c r="P633" i="3"/>
  <c r="D804" i="3"/>
  <c r="Q793" i="3"/>
  <c r="C784" i="3"/>
  <c r="U744" i="3"/>
  <c r="Q742" i="3"/>
  <c r="U731" i="3"/>
  <c r="D728" i="3"/>
  <c r="Q726" i="3"/>
  <c r="C725" i="3"/>
  <c r="P723" i="3"/>
  <c r="D722" i="3"/>
  <c r="U720" i="3"/>
  <c r="H712" i="3"/>
  <c r="Q708" i="3"/>
  <c r="P707" i="3"/>
  <c r="D700" i="3"/>
  <c r="C699" i="3"/>
  <c r="U697" i="3"/>
  <c r="C691" i="3"/>
  <c r="Q687" i="3"/>
  <c r="C686" i="3"/>
  <c r="H685" i="3"/>
  <c r="P684" i="3"/>
  <c r="U683" i="3"/>
  <c r="D673" i="3"/>
  <c r="Q671" i="3"/>
  <c r="C670" i="3"/>
  <c r="H669" i="3"/>
  <c r="P668" i="3"/>
  <c r="U667" i="3"/>
  <c r="C654" i="3"/>
  <c r="P652" i="3"/>
  <c r="P808" i="3"/>
  <c r="D778" i="3"/>
  <c r="C773" i="3"/>
  <c r="H768" i="3"/>
  <c r="D756" i="3"/>
  <c r="P742" i="3"/>
  <c r="Q736" i="3"/>
  <c r="C728" i="3"/>
  <c r="P726" i="3"/>
  <c r="C722" i="3"/>
  <c r="H717" i="3"/>
  <c r="Q713" i="3"/>
  <c r="P708" i="3"/>
  <c r="D705" i="3"/>
  <c r="U703" i="3"/>
  <c r="C700" i="3"/>
  <c r="U696" i="3"/>
  <c r="U694" i="3"/>
  <c r="D690" i="3"/>
  <c r="H688" i="3"/>
  <c r="P687" i="3"/>
  <c r="U686" i="3"/>
  <c r="D676" i="3"/>
  <c r="Q674" i="3"/>
  <c r="C673" i="3"/>
  <c r="H672" i="3"/>
  <c r="P671" i="3"/>
  <c r="U670" i="3"/>
  <c r="C657" i="3"/>
  <c r="P655" i="3"/>
  <c r="U802" i="3"/>
  <c r="C778" i="3"/>
  <c r="Q763" i="3"/>
  <c r="C756" i="3"/>
  <c r="H752" i="3"/>
  <c r="Q748" i="3"/>
  <c r="H740" i="3"/>
  <c r="P736" i="3"/>
  <c r="H733" i="3"/>
  <c r="H718" i="3"/>
  <c r="Q714" i="3"/>
  <c r="P713" i="3"/>
  <c r="D706" i="3"/>
  <c r="U704" i="3"/>
  <c r="C690" i="3"/>
  <c r="D679" i="3"/>
  <c r="Q677" i="3"/>
  <c r="C676" i="3"/>
  <c r="H675" i="3"/>
  <c r="P674" i="3"/>
  <c r="U673" i="3"/>
  <c r="C660" i="3"/>
  <c r="P658" i="3"/>
  <c r="D808" i="3"/>
  <c r="Q792" i="3"/>
  <c r="P787" i="3"/>
  <c r="U782" i="3"/>
  <c r="P763" i="3"/>
  <c r="U759" i="3"/>
  <c r="P748" i="3"/>
  <c r="D738" i="3"/>
  <c r="Q729" i="3"/>
  <c r="Q719" i="3"/>
  <c r="P714" i="3"/>
  <c r="U709" i="3"/>
  <c r="C706" i="3"/>
  <c r="H701" i="3"/>
  <c r="P696" i="3"/>
  <c r="Q695" i="3"/>
  <c r="U693" i="3"/>
  <c r="D689" i="3"/>
  <c r="D682" i="3"/>
  <c r="Q680" i="3"/>
  <c r="C679" i="3"/>
  <c r="H678" i="3"/>
  <c r="P677" i="3"/>
  <c r="U676" i="3"/>
  <c r="C663" i="3"/>
  <c r="P661" i="3"/>
  <c r="C808" i="3"/>
  <c r="H797" i="3"/>
  <c r="P792" i="3"/>
  <c r="H746" i="3"/>
  <c r="D744" i="3"/>
  <c r="C738" i="3"/>
  <c r="U732" i="3"/>
  <c r="P729" i="3"/>
  <c r="P727" i="3"/>
  <c r="Q720" i="3"/>
  <c r="D712" i="3"/>
  <c r="U710" i="3"/>
  <c r="C707" i="3"/>
  <c r="H702" i="3"/>
  <c r="Q698" i="3"/>
  <c r="Q697" i="3"/>
  <c r="P695" i="3"/>
  <c r="U691" i="3"/>
  <c r="D685" i="3"/>
  <c r="Q683" i="3"/>
  <c r="C682" i="3"/>
  <c r="H681" i="3"/>
  <c r="P680" i="3"/>
  <c r="U679" i="3"/>
  <c r="D669" i="3"/>
  <c r="D807" i="3"/>
  <c r="Q786" i="3"/>
  <c r="U776" i="3"/>
  <c r="D755" i="3"/>
  <c r="C744" i="3"/>
  <c r="D731" i="3"/>
  <c r="P720" i="3"/>
  <c r="U715" i="3"/>
  <c r="D713" i="3"/>
  <c r="C712" i="3"/>
  <c r="Q703" i="3"/>
  <c r="P698" i="3"/>
  <c r="P697" i="3"/>
  <c r="Q694" i="3"/>
  <c r="D688" i="3"/>
  <c r="Q686" i="3"/>
  <c r="C685" i="3"/>
  <c r="C807" i="3"/>
  <c r="H791" i="3"/>
  <c r="P786" i="3"/>
  <c r="U781" i="3"/>
  <c r="D763" i="3"/>
  <c r="P758" i="3"/>
  <c r="U754" i="3"/>
  <c r="H751" i="3"/>
  <c r="H734" i="3"/>
  <c r="C731" i="3"/>
  <c r="C729" i="3"/>
  <c r="P721" i="3"/>
  <c r="D718" i="3"/>
  <c r="U716" i="3"/>
  <c r="C713" i="3"/>
  <c r="H708" i="3"/>
  <c r="Q704" i="3"/>
  <c r="P694" i="3"/>
  <c r="Q692" i="3"/>
  <c r="U690" i="3"/>
  <c r="C688" i="3"/>
  <c r="H687" i="3"/>
  <c r="P686" i="3"/>
  <c r="U685" i="3"/>
  <c r="H796" i="3"/>
  <c r="U741" i="3"/>
  <c r="Q739" i="3"/>
  <c r="D719" i="3"/>
  <c r="C718" i="3"/>
  <c r="H709" i="3"/>
  <c r="P704" i="3"/>
  <c r="U699" i="3"/>
  <c r="H697" i="3"/>
  <c r="H696" i="3"/>
  <c r="P692" i="3"/>
  <c r="U688" i="3"/>
  <c r="P739" i="3"/>
  <c r="Q732" i="3"/>
  <c r="Q730" i="3"/>
  <c r="H724" i="3"/>
  <c r="U722" i="3"/>
  <c r="C719" i="3"/>
  <c r="H714" i="3"/>
  <c r="Q710" i="3"/>
  <c r="P705" i="3"/>
  <c r="D702" i="3"/>
  <c r="U700" i="3"/>
  <c r="D732" i="3"/>
  <c r="H698" i="3"/>
  <c r="D687" i="3"/>
  <c r="D678" i="3"/>
  <c r="Q669" i="3"/>
  <c r="Q667" i="3"/>
  <c r="C666" i="3"/>
  <c r="P664" i="3"/>
  <c r="P654" i="3"/>
  <c r="Q716" i="3"/>
  <c r="D703" i="3"/>
  <c r="C687" i="3"/>
  <c r="D684" i="3"/>
  <c r="C678" i="3"/>
  <c r="U672" i="3"/>
  <c r="P669" i="3"/>
  <c r="P667" i="3"/>
  <c r="C653" i="3"/>
  <c r="P650" i="3"/>
  <c r="Q805" i="3"/>
  <c r="U753" i="3"/>
  <c r="D741" i="3"/>
  <c r="P716" i="3"/>
  <c r="C703" i="3"/>
  <c r="C684" i="3"/>
  <c r="D671" i="3"/>
  <c r="C669" i="3"/>
  <c r="C649" i="3"/>
  <c r="R624" i="3"/>
  <c r="S624" i="3" s="1"/>
  <c r="H800" i="3"/>
  <c r="H715" i="3"/>
  <c r="Q689" i="3"/>
  <c r="H674" i="3"/>
  <c r="C671" i="3"/>
  <c r="P651" i="3"/>
  <c r="C638" i="3"/>
  <c r="C634" i="3"/>
  <c r="C750" i="3"/>
  <c r="D709" i="3"/>
  <c r="C702" i="3"/>
  <c r="D697" i="3"/>
  <c r="H693" i="3"/>
  <c r="P689" i="3"/>
  <c r="P683" i="3"/>
  <c r="U681" i="3"/>
  <c r="Q679" i="3"/>
  <c r="Q670" i="3"/>
  <c r="C650" i="3"/>
  <c r="P647" i="3"/>
  <c r="C641" i="3"/>
  <c r="C637" i="3"/>
  <c r="C633" i="3"/>
  <c r="E624" i="3"/>
  <c r="B16" i="2" s="1"/>
  <c r="B17" i="2" s="1"/>
  <c r="C17" i="2" s="1"/>
  <c r="C697" i="3"/>
  <c r="H686" i="3"/>
  <c r="P679" i="3"/>
  <c r="Q672" i="3"/>
  <c r="P670" i="3"/>
  <c r="C644" i="3"/>
  <c r="C640" i="3"/>
  <c r="C636" i="3"/>
  <c r="C795" i="3"/>
  <c r="H721" i="3"/>
  <c r="U675" i="3"/>
  <c r="D672" i="3"/>
  <c r="H667" i="3"/>
  <c r="P648" i="3"/>
  <c r="C643" i="3"/>
  <c r="C639" i="3"/>
  <c r="Q770" i="3"/>
  <c r="U747" i="3"/>
  <c r="U728" i="3"/>
  <c r="U707" i="3"/>
  <c r="D674" i="3"/>
  <c r="C672" i="3"/>
  <c r="C647" i="3"/>
  <c r="C646" i="3"/>
  <c r="R623" i="3"/>
  <c r="H737" i="3"/>
  <c r="H727" i="3"/>
  <c r="Q685" i="3"/>
  <c r="H683" i="3"/>
  <c r="D681" i="3"/>
  <c r="H677" i="3"/>
  <c r="U668" i="3"/>
  <c r="E623" i="3"/>
  <c r="F624" i="3" s="1"/>
  <c r="H790" i="3"/>
  <c r="U735" i="3"/>
  <c r="U706" i="3"/>
  <c r="D696" i="3"/>
  <c r="Q688" i="3"/>
  <c r="P685" i="3"/>
  <c r="C681" i="3"/>
  <c r="Q673" i="3"/>
  <c r="H668" i="3"/>
  <c r="Q745" i="3"/>
  <c r="Q691" i="3"/>
  <c r="U682" i="3"/>
  <c r="P673" i="3"/>
  <c r="H670" i="3"/>
  <c r="Q632" i="3"/>
  <c r="P745" i="3"/>
  <c r="C762" i="3"/>
  <c r="D734" i="3"/>
  <c r="P711" i="3"/>
  <c r="H699" i="3"/>
  <c r="U684" i="3"/>
  <c r="Q682" i="3"/>
  <c r="D668" i="3"/>
  <c r="C665" i="3"/>
  <c r="P663" i="3"/>
  <c r="P657" i="3"/>
  <c r="P642" i="3"/>
  <c r="P638" i="3"/>
  <c r="P634" i="3"/>
  <c r="P676" i="3"/>
  <c r="C652" i="3"/>
  <c r="H695" i="3"/>
  <c r="D675" i="3"/>
  <c r="C675" i="3"/>
  <c r="C662" i="3"/>
  <c r="D762" i="3"/>
  <c r="P682" i="3"/>
  <c r="C668" i="3"/>
  <c r="C656" i="3"/>
  <c r="P645" i="3"/>
  <c r="P641" i="3"/>
  <c r="P637" i="3"/>
  <c r="Q717" i="3"/>
  <c r="P691" i="3"/>
  <c r="P636" i="3"/>
  <c r="P632" i="3"/>
  <c r="Q711" i="3"/>
  <c r="P660" i="3"/>
  <c r="C655" i="3"/>
  <c r="P666" i="3"/>
  <c r="H743" i="3"/>
  <c r="P710" i="3"/>
  <c r="H680" i="3"/>
  <c r="P644" i="3"/>
  <c r="U678" i="3"/>
  <c r="C659" i="3"/>
  <c r="P639" i="3"/>
  <c r="P635" i="3"/>
  <c r="C734" i="3"/>
  <c r="H671" i="3"/>
  <c r="P653" i="3"/>
  <c r="U725" i="3"/>
  <c r="P732" i="3"/>
  <c r="H684" i="3"/>
  <c r="Q676" i="3"/>
  <c r="U669" i="3"/>
  <c r="K631" i="4"/>
  <c r="X685" i="4"/>
  <c r="V685" i="4"/>
  <c r="AA685" i="4" s="1"/>
  <c r="R685" i="4"/>
  <c r="K657" i="4"/>
  <c r="I657" i="4"/>
  <c r="X732" i="4"/>
  <c r="V732" i="4"/>
  <c r="AA732" i="4" s="1"/>
  <c r="R732" i="4"/>
  <c r="X639" i="4"/>
  <c r="V639" i="4"/>
  <c r="K638" i="4"/>
  <c r="I638" i="4"/>
  <c r="I635" i="4"/>
  <c r="K635" i="4"/>
  <c r="K648" i="4"/>
  <c r="I648" i="4"/>
  <c r="X719" i="4"/>
  <c r="V719" i="4"/>
  <c r="AA719" i="4" s="1"/>
  <c r="R719" i="4"/>
  <c r="V663" i="4"/>
  <c r="AA663" i="4" s="1"/>
  <c r="X663" i="4"/>
  <c r="K766" i="4"/>
  <c r="I766" i="4"/>
  <c r="E766" i="4"/>
  <c r="K788" i="4"/>
  <c r="I788" i="4"/>
  <c r="E788" i="4"/>
  <c r="X717" i="4"/>
  <c r="V717" i="4"/>
  <c r="AA717" i="4" s="1"/>
  <c r="R717" i="4"/>
  <c r="K772" i="4"/>
  <c r="I772" i="4"/>
  <c r="E772" i="4"/>
  <c r="E713" i="4"/>
  <c r="K713" i="4"/>
  <c r="I713" i="4"/>
  <c r="E710" i="4"/>
  <c r="K710" i="4"/>
  <c r="I710" i="4"/>
  <c r="K760" i="4"/>
  <c r="I760" i="4"/>
  <c r="E760" i="4"/>
  <c r="X761" i="4"/>
  <c r="V761" i="4"/>
  <c r="R761" i="4"/>
  <c r="V667" i="4"/>
  <c r="AA667" i="4" s="1"/>
  <c r="R667" i="4"/>
  <c r="X667" i="4"/>
  <c r="K759" i="4"/>
  <c r="I759" i="4"/>
  <c r="E759" i="4"/>
  <c r="I783" i="4"/>
  <c r="E783" i="4"/>
  <c r="K783" i="4"/>
  <c r="E764" i="4"/>
  <c r="K764" i="4"/>
  <c r="I764" i="4"/>
  <c r="R810" i="4"/>
  <c r="X810" i="4"/>
  <c r="V810" i="4"/>
  <c r="R759" i="4"/>
  <c r="X759" i="4"/>
  <c r="V759" i="4"/>
  <c r="R753" i="4"/>
  <c r="V753" i="4"/>
  <c r="AA753" i="4" s="1"/>
  <c r="X753" i="4"/>
  <c r="K768" i="4"/>
  <c r="I768" i="4"/>
  <c r="E768" i="4"/>
  <c r="X731" i="4"/>
  <c r="V731" i="4"/>
  <c r="AA731" i="4" s="1"/>
  <c r="R731" i="4"/>
  <c r="K680" i="4"/>
  <c r="I680" i="4"/>
  <c r="E680" i="4"/>
  <c r="K718" i="4"/>
  <c r="I718" i="4"/>
  <c r="E718" i="4"/>
  <c r="K674" i="4"/>
  <c r="I674" i="4"/>
  <c r="E674" i="4"/>
  <c r="X665" i="4"/>
  <c r="V665" i="4"/>
  <c r="X723" i="4"/>
  <c r="V723" i="4"/>
  <c r="AA723" i="4" s="1"/>
  <c r="R723" i="4"/>
  <c r="I700" i="4"/>
  <c r="E700" i="4"/>
  <c r="K700" i="4"/>
  <c r="E707" i="4"/>
  <c r="I707" i="4"/>
  <c r="K707" i="4"/>
  <c r="E672" i="4"/>
  <c r="K672" i="4"/>
  <c r="I672" i="4"/>
  <c r="R718" i="4"/>
  <c r="X718" i="4"/>
  <c r="V718" i="4"/>
  <c r="AA718" i="4" s="1"/>
  <c r="K714" i="4"/>
  <c r="I714" i="4"/>
  <c r="E714" i="4"/>
  <c r="K782" i="4"/>
  <c r="I782" i="4"/>
  <c r="E782" i="4"/>
  <c r="R756" i="4"/>
  <c r="X756" i="4"/>
  <c r="V756" i="4"/>
  <c r="AA756" i="4" s="1"/>
  <c r="B58" i="3"/>
  <c r="X677" i="4"/>
  <c r="V677" i="4"/>
  <c r="R677" i="4"/>
  <c r="X800" i="4"/>
  <c r="V800" i="4"/>
  <c r="AA800" i="4" s="1"/>
  <c r="R800" i="4"/>
  <c r="K661" i="4"/>
  <c r="I661" i="4"/>
  <c r="K641" i="4"/>
  <c r="I641" i="4"/>
  <c r="K699" i="4"/>
  <c r="I699" i="4"/>
  <c r="E699" i="4"/>
  <c r="X783" i="4"/>
  <c r="V783" i="4"/>
  <c r="AA783" i="4" s="1"/>
  <c r="R783" i="4"/>
  <c r="K746" i="4"/>
  <c r="I746" i="4"/>
  <c r="E746" i="4"/>
  <c r="K801" i="4"/>
  <c r="I801" i="4"/>
  <c r="E801" i="4"/>
  <c r="X789" i="4"/>
  <c r="V789" i="4"/>
  <c r="AA789" i="4" s="1"/>
  <c r="R789" i="4"/>
  <c r="K719" i="4"/>
  <c r="I719" i="4"/>
  <c r="E719" i="4"/>
  <c r="V749" i="4"/>
  <c r="AA749" i="4" s="1"/>
  <c r="R749" i="4"/>
  <c r="X749" i="4"/>
  <c r="R679" i="4"/>
  <c r="X679" i="4"/>
  <c r="V679" i="4"/>
  <c r="AA679" i="4" s="1"/>
  <c r="R676" i="4"/>
  <c r="X676" i="4"/>
  <c r="V676" i="4"/>
  <c r="AA676" i="4" s="1"/>
  <c r="E794" i="4"/>
  <c r="K794" i="4"/>
  <c r="I794" i="4"/>
  <c r="K669" i="4"/>
  <c r="I669" i="4"/>
  <c r="E669" i="4"/>
  <c r="X715" i="4"/>
  <c r="R715" i="4"/>
  <c r="V715" i="4"/>
  <c r="X803" i="4"/>
  <c r="V803" i="4"/>
  <c r="AA803" i="4" s="1"/>
  <c r="R803" i="4"/>
  <c r="E812" i="4"/>
  <c r="K812" i="4"/>
  <c r="I812" i="4"/>
  <c r="E761" i="4"/>
  <c r="K761" i="4"/>
  <c r="I761" i="4"/>
  <c r="R807" i="4"/>
  <c r="X807" i="4"/>
  <c r="V807" i="4"/>
  <c r="E755" i="4"/>
  <c r="K755" i="4"/>
  <c r="I755" i="4"/>
  <c r="R801" i="4"/>
  <c r="X801" i="4"/>
  <c r="V801" i="4"/>
  <c r="AA801" i="4" s="1"/>
  <c r="K733" i="4"/>
  <c r="I733" i="4"/>
  <c r="E733" i="4"/>
  <c r="X779" i="4"/>
  <c r="V779" i="4"/>
  <c r="R779" i="4"/>
  <c r="T632" i="4"/>
  <c r="S632" i="4"/>
  <c r="I741" i="4"/>
  <c r="K741" i="4"/>
  <c r="E741" i="4"/>
  <c r="K634" i="4"/>
  <c r="I634" i="4"/>
  <c r="K660" i="4"/>
  <c r="I660" i="4"/>
  <c r="X752" i="4"/>
  <c r="V752" i="4"/>
  <c r="AA752" i="4" s="1"/>
  <c r="R752" i="4"/>
  <c r="X706" i="4"/>
  <c r="V706" i="4"/>
  <c r="AA706" i="4" s="1"/>
  <c r="R706" i="4"/>
  <c r="K770" i="4"/>
  <c r="I770" i="4"/>
  <c r="E770" i="4"/>
  <c r="X669" i="4"/>
  <c r="V669" i="4"/>
  <c r="AA669" i="4" s="1"/>
  <c r="R669" i="4"/>
  <c r="V658" i="4"/>
  <c r="AA658" i="4" s="1"/>
  <c r="X658" i="4"/>
  <c r="K785" i="4"/>
  <c r="I785" i="4"/>
  <c r="E785" i="4"/>
  <c r="K725" i="4"/>
  <c r="I725" i="4"/>
  <c r="E725" i="4"/>
  <c r="K792" i="4"/>
  <c r="I792" i="4"/>
  <c r="E792" i="4"/>
  <c r="K791" i="4"/>
  <c r="I791" i="4"/>
  <c r="E791" i="4"/>
  <c r="X777" i="4"/>
  <c r="V777" i="4"/>
  <c r="R777" i="4"/>
  <c r="R776" i="4"/>
  <c r="V776" i="4"/>
  <c r="AA776" i="4" s="1"/>
  <c r="X776" i="4"/>
  <c r="E720" i="4"/>
  <c r="K720" i="4"/>
  <c r="I720" i="4"/>
  <c r="K778" i="4"/>
  <c r="I778" i="4"/>
  <c r="E778" i="4"/>
  <c r="X680" i="4"/>
  <c r="V680" i="4"/>
  <c r="R680" i="4"/>
  <c r="K802" i="4"/>
  <c r="I802" i="4"/>
  <c r="E802" i="4"/>
  <c r="E758" i="4"/>
  <c r="I758" i="4"/>
  <c r="K758" i="4"/>
  <c r="R804" i="4"/>
  <c r="V804" i="4"/>
  <c r="AA804" i="4" s="1"/>
  <c r="X804" i="4"/>
  <c r="AA631" i="4"/>
  <c r="X631" i="4"/>
  <c r="X799" i="4"/>
  <c r="V799" i="4"/>
  <c r="AA799" i="4" s="1"/>
  <c r="R799" i="4"/>
  <c r="X632" i="4"/>
  <c r="V632" i="4"/>
  <c r="R632" i="4"/>
  <c r="X681" i="4"/>
  <c r="V681" i="4"/>
  <c r="AA681" i="4" s="1"/>
  <c r="R681" i="4"/>
  <c r="K665" i="4"/>
  <c r="I665" i="4"/>
  <c r="X768" i="4"/>
  <c r="V768" i="4"/>
  <c r="AA768" i="4" s="1"/>
  <c r="R768" i="4"/>
  <c r="I652" i="4"/>
  <c r="K652" i="4"/>
  <c r="X716" i="4"/>
  <c r="V716" i="4"/>
  <c r="R716" i="4"/>
  <c r="V649" i="4"/>
  <c r="AA649" i="4" s="1"/>
  <c r="X649" i="4"/>
  <c r="X634" i="4"/>
  <c r="V634" i="4"/>
  <c r="AA634" i="4" s="1"/>
  <c r="K676" i="4"/>
  <c r="I676" i="4"/>
  <c r="E676" i="4"/>
  <c r="K633" i="4"/>
  <c r="I633" i="4"/>
  <c r="X678" i="4"/>
  <c r="V678" i="4"/>
  <c r="R678" i="4"/>
  <c r="K754" i="4"/>
  <c r="I754" i="4"/>
  <c r="E754" i="4"/>
  <c r="K807" i="4"/>
  <c r="I807" i="4"/>
  <c r="E807" i="4"/>
  <c r="K757" i="4"/>
  <c r="I757" i="4"/>
  <c r="E757" i="4"/>
  <c r="E681" i="4"/>
  <c r="K681" i="4"/>
  <c r="I681" i="4"/>
  <c r="K728" i="4"/>
  <c r="I728" i="4"/>
  <c r="E728" i="4"/>
  <c r="E678" i="4"/>
  <c r="K678" i="4"/>
  <c r="I678" i="4"/>
  <c r="R724" i="4"/>
  <c r="X724" i="4"/>
  <c r="V724" i="4"/>
  <c r="AA724" i="4" s="1"/>
  <c r="K779" i="4"/>
  <c r="I779" i="4"/>
  <c r="E779" i="4"/>
  <c r="K717" i="4"/>
  <c r="I717" i="4"/>
  <c r="E717" i="4"/>
  <c r="X734" i="4"/>
  <c r="V734" i="4"/>
  <c r="AA734" i="4" s="1"/>
  <c r="R734" i="4"/>
  <c r="K805" i="4"/>
  <c r="I805" i="4"/>
  <c r="E805" i="4"/>
  <c r="V797" i="4"/>
  <c r="AA797" i="4" s="1"/>
  <c r="R797" i="4"/>
  <c r="X797" i="4"/>
  <c r="R778" i="4"/>
  <c r="X778" i="4"/>
  <c r="V778" i="4"/>
  <c r="AA778" i="4" s="1"/>
  <c r="R727" i="4"/>
  <c r="X727" i="4"/>
  <c r="V727" i="4"/>
  <c r="AA727" i="4" s="1"/>
  <c r="E809" i="4"/>
  <c r="K809" i="4"/>
  <c r="I809" i="4"/>
  <c r="E803" i="4"/>
  <c r="K803" i="4"/>
  <c r="I803" i="4"/>
  <c r="X782" i="4"/>
  <c r="V782" i="4"/>
  <c r="AA782" i="4" s="1"/>
  <c r="R782" i="4"/>
  <c r="K781" i="4"/>
  <c r="E781" i="4"/>
  <c r="I781" i="4"/>
  <c r="B57" i="4"/>
  <c r="G632" i="4"/>
  <c r="F632" i="4"/>
  <c r="K637" i="4"/>
  <c r="I637" i="4"/>
  <c r="K640" i="4"/>
  <c r="I640" i="4"/>
  <c r="X720" i="4"/>
  <c r="V720" i="4"/>
  <c r="AA720" i="4" s="1"/>
  <c r="R720" i="4"/>
  <c r="I664" i="4"/>
  <c r="K664" i="4"/>
  <c r="K651" i="4"/>
  <c r="I651" i="4"/>
  <c r="K724" i="4"/>
  <c r="I724" i="4"/>
  <c r="E724" i="4"/>
  <c r="R668" i="4"/>
  <c r="X668" i="4"/>
  <c r="V668" i="4"/>
  <c r="V662" i="4"/>
  <c r="AA662" i="4" s="1"/>
  <c r="X662" i="4"/>
  <c r="K677" i="4"/>
  <c r="I677" i="4"/>
  <c r="E677" i="4"/>
  <c r="K743" i="4"/>
  <c r="I743" i="4"/>
  <c r="E743" i="4"/>
  <c r="X691" i="4"/>
  <c r="V691" i="4"/>
  <c r="AA691" i="4" s="1"/>
  <c r="R691" i="4"/>
  <c r="K740" i="4"/>
  <c r="I740" i="4"/>
  <c r="E740" i="4"/>
  <c r="K730" i="4"/>
  <c r="I730" i="4"/>
  <c r="E730" i="4"/>
  <c r="V714" i="4"/>
  <c r="AA714" i="4" s="1"/>
  <c r="R714" i="4"/>
  <c r="X714" i="4"/>
  <c r="X805" i="4"/>
  <c r="V805" i="4"/>
  <c r="AA805" i="4" s="1"/>
  <c r="R805" i="4"/>
  <c r="R721" i="4"/>
  <c r="X721" i="4"/>
  <c r="V721" i="4"/>
  <c r="AA721" i="4" s="1"/>
  <c r="R686" i="4"/>
  <c r="X686" i="4"/>
  <c r="V686" i="4"/>
  <c r="AA686" i="4" s="1"/>
  <c r="X780" i="4"/>
  <c r="V780" i="4"/>
  <c r="AA780" i="4" s="1"/>
  <c r="R780" i="4"/>
  <c r="X784" i="4"/>
  <c r="V784" i="4"/>
  <c r="AA784" i="4" s="1"/>
  <c r="R784" i="4"/>
  <c r="K682" i="4"/>
  <c r="I682" i="4"/>
  <c r="E682" i="4"/>
  <c r="X735" i="4"/>
  <c r="V735" i="4"/>
  <c r="AA735" i="4" s="1"/>
  <c r="R735" i="4"/>
  <c r="E806" i="4"/>
  <c r="K806" i="4"/>
  <c r="I806" i="4"/>
  <c r="I668" i="4"/>
  <c r="E668" i="4"/>
  <c r="K668" i="4"/>
  <c r="K673" i="4"/>
  <c r="I673" i="4"/>
  <c r="E673" i="4"/>
  <c r="X793" i="4"/>
  <c r="V793" i="4"/>
  <c r="AA793" i="4" s="1"/>
  <c r="R793" i="4"/>
  <c r="X726" i="4"/>
  <c r="V726" i="4"/>
  <c r="AA726" i="4" s="1"/>
  <c r="R726" i="4"/>
  <c r="K696" i="4"/>
  <c r="I696" i="4"/>
  <c r="E696" i="4"/>
  <c r="K636" i="4"/>
  <c r="I636" i="4"/>
  <c r="E732" i="4"/>
  <c r="K732" i="4"/>
  <c r="I732" i="4"/>
  <c r="X812" i="4"/>
  <c r="V812" i="4"/>
  <c r="AA812" i="4" s="1"/>
  <c r="R812" i="4"/>
  <c r="X683" i="4"/>
  <c r="V683" i="4"/>
  <c r="AA683" i="4" s="1"/>
  <c r="R683" i="4"/>
  <c r="I799" i="4"/>
  <c r="E799" i="4"/>
  <c r="K799" i="4"/>
  <c r="E780" i="4"/>
  <c r="K780" i="4"/>
  <c r="I780" i="4"/>
  <c r="E729" i="4"/>
  <c r="K729" i="4"/>
  <c r="I729" i="4"/>
  <c r="R775" i="4"/>
  <c r="X775" i="4"/>
  <c r="V775" i="4"/>
  <c r="AA775" i="4" s="1"/>
  <c r="R769" i="4"/>
  <c r="X769" i="4"/>
  <c r="V769" i="4"/>
  <c r="AA769" i="4" s="1"/>
  <c r="K784" i="4"/>
  <c r="I784" i="4"/>
  <c r="E784" i="4"/>
  <c r="R747" i="4"/>
  <c r="X747" i="4"/>
  <c r="V747" i="4"/>
  <c r="AA747" i="4" s="1"/>
  <c r="X663" i="3" l="1"/>
  <c r="V663" i="3"/>
  <c r="X685" i="3"/>
  <c r="V685" i="3"/>
  <c r="R685" i="3"/>
  <c r="I639" i="3"/>
  <c r="K639" i="3"/>
  <c r="I644" i="3"/>
  <c r="K644" i="3"/>
  <c r="X654" i="3"/>
  <c r="V654" i="3"/>
  <c r="AA654" i="3" s="1"/>
  <c r="V713" i="3"/>
  <c r="R713" i="3"/>
  <c r="X713" i="3"/>
  <c r="K674" i="3"/>
  <c r="I674" i="3"/>
  <c r="E674" i="3"/>
  <c r="K741" i="3"/>
  <c r="I741" i="3"/>
  <c r="E741" i="3"/>
  <c r="K810" i="3"/>
  <c r="I810" i="3"/>
  <c r="E810" i="3"/>
  <c r="X751" i="3"/>
  <c r="V751" i="3"/>
  <c r="AA751" i="3" s="1"/>
  <c r="R751" i="3"/>
  <c r="R699" i="3"/>
  <c r="X699" i="3"/>
  <c r="V699" i="3"/>
  <c r="R744" i="3"/>
  <c r="X744" i="3"/>
  <c r="V744" i="3"/>
  <c r="R725" i="3"/>
  <c r="X725" i="3"/>
  <c r="V725" i="3"/>
  <c r="K769" i="3"/>
  <c r="I769" i="3"/>
  <c r="E769" i="3"/>
  <c r="K689" i="3"/>
  <c r="I689" i="3"/>
  <c r="E689" i="3"/>
  <c r="X735" i="3"/>
  <c r="R735" i="3"/>
  <c r="V735" i="3"/>
  <c r="R762" i="3"/>
  <c r="X762" i="3"/>
  <c r="V762" i="3"/>
  <c r="E758" i="3"/>
  <c r="K758" i="3"/>
  <c r="I758" i="3"/>
  <c r="R804" i="3"/>
  <c r="X804" i="3"/>
  <c r="V804" i="3"/>
  <c r="AA804" i="3" s="1"/>
  <c r="AA746" i="4"/>
  <c r="AA677" i="4"/>
  <c r="X691" i="3"/>
  <c r="V691" i="3"/>
  <c r="R691" i="3"/>
  <c r="I643" i="3"/>
  <c r="K643" i="3"/>
  <c r="K650" i="3"/>
  <c r="I650" i="3"/>
  <c r="K653" i="3"/>
  <c r="I653" i="3"/>
  <c r="K666" i="3"/>
  <c r="I666" i="3"/>
  <c r="X758" i="3"/>
  <c r="V758" i="3"/>
  <c r="AA758" i="3" s="1"/>
  <c r="R758" i="3"/>
  <c r="X720" i="3"/>
  <c r="V720" i="3"/>
  <c r="R720" i="3"/>
  <c r="V658" i="3"/>
  <c r="X658" i="3"/>
  <c r="X640" i="3"/>
  <c r="V640" i="3"/>
  <c r="X770" i="3"/>
  <c r="V770" i="3"/>
  <c r="R770" i="3"/>
  <c r="X730" i="3"/>
  <c r="V730" i="3"/>
  <c r="AA730" i="3" s="1"/>
  <c r="R730" i="3"/>
  <c r="K765" i="3"/>
  <c r="I765" i="3"/>
  <c r="E765" i="3"/>
  <c r="K782" i="3"/>
  <c r="I782" i="3"/>
  <c r="E782" i="3"/>
  <c r="K759" i="3"/>
  <c r="I759" i="3"/>
  <c r="E759" i="3"/>
  <c r="E701" i="3"/>
  <c r="K701" i="3"/>
  <c r="I701" i="3"/>
  <c r="R747" i="3"/>
  <c r="X747" i="3"/>
  <c r="V747" i="3"/>
  <c r="AA747" i="3" s="1"/>
  <c r="E746" i="3"/>
  <c r="K746" i="3"/>
  <c r="I746" i="3"/>
  <c r="E727" i="3"/>
  <c r="K727" i="3"/>
  <c r="I727" i="3"/>
  <c r="X777" i="3"/>
  <c r="V777" i="3"/>
  <c r="R777" i="3"/>
  <c r="K737" i="3"/>
  <c r="E737" i="3"/>
  <c r="I737" i="3"/>
  <c r="E764" i="3"/>
  <c r="K764" i="3"/>
  <c r="I764" i="3"/>
  <c r="R810" i="3"/>
  <c r="X810" i="3"/>
  <c r="V810" i="3"/>
  <c r="AA810" i="3" s="1"/>
  <c r="R791" i="3"/>
  <c r="X791" i="3"/>
  <c r="V791" i="3"/>
  <c r="E806" i="3"/>
  <c r="K806" i="3"/>
  <c r="I806" i="3"/>
  <c r="X785" i="3"/>
  <c r="V785" i="3"/>
  <c r="R785" i="3"/>
  <c r="AA638" i="4"/>
  <c r="AA730" i="4"/>
  <c r="AA641" i="4"/>
  <c r="AA785" i="4"/>
  <c r="AA806" i="4"/>
  <c r="AA654" i="4"/>
  <c r="E699" i="3"/>
  <c r="K699" i="3"/>
  <c r="I699" i="3"/>
  <c r="K801" i="3"/>
  <c r="I801" i="3"/>
  <c r="E801" i="3"/>
  <c r="K652" i="3"/>
  <c r="I652" i="3"/>
  <c r="R706" i="3"/>
  <c r="X706" i="3"/>
  <c r="V706" i="3"/>
  <c r="AA777" i="4"/>
  <c r="AA715" i="4"/>
  <c r="AA759" i="4"/>
  <c r="X676" i="3"/>
  <c r="V676" i="3"/>
  <c r="R676" i="3"/>
  <c r="X673" i="3"/>
  <c r="V673" i="3"/>
  <c r="R673" i="3"/>
  <c r="X648" i="3"/>
  <c r="V648" i="3"/>
  <c r="X669" i="3"/>
  <c r="R669" i="3"/>
  <c r="V669" i="3"/>
  <c r="K744" i="3"/>
  <c r="I744" i="3"/>
  <c r="E744" i="3"/>
  <c r="I660" i="3"/>
  <c r="K660" i="3"/>
  <c r="X736" i="3"/>
  <c r="V736" i="3"/>
  <c r="AA736" i="3" s="1"/>
  <c r="R736" i="3"/>
  <c r="K722" i="3"/>
  <c r="I722" i="3"/>
  <c r="E722" i="3"/>
  <c r="K642" i="3"/>
  <c r="I642" i="3"/>
  <c r="X688" i="3"/>
  <c r="V688" i="3"/>
  <c r="R688" i="3"/>
  <c r="X757" i="3"/>
  <c r="V757" i="3"/>
  <c r="AA757" i="3" s="1"/>
  <c r="R757" i="3"/>
  <c r="K732" i="3"/>
  <c r="I732" i="3"/>
  <c r="E732" i="3"/>
  <c r="K788" i="3"/>
  <c r="I788" i="3"/>
  <c r="E788" i="3"/>
  <c r="X773" i="3"/>
  <c r="V773" i="3"/>
  <c r="R773" i="3"/>
  <c r="K753" i="3"/>
  <c r="I753" i="3"/>
  <c r="E753" i="3"/>
  <c r="R712" i="3"/>
  <c r="X712" i="3"/>
  <c r="V712" i="3"/>
  <c r="AA712" i="3" s="1"/>
  <c r="E752" i="3"/>
  <c r="K752" i="3"/>
  <c r="I752" i="3"/>
  <c r="R693" i="3"/>
  <c r="X693" i="3"/>
  <c r="V693" i="3"/>
  <c r="K791" i="3"/>
  <c r="E791" i="3"/>
  <c r="I791" i="3"/>
  <c r="X703" i="3"/>
  <c r="V703" i="3"/>
  <c r="R703" i="3"/>
  <c r="E812" i="3"/>
  <c r="K812" i="3"/>
  <c r="I812" i="3"/>
  <c r="E793" i="3"/>
  <c r="K793" i="3"/>
  <c r="I793" i="3"/>
  <c r="X772" i="3"/>
  <c r="V772" i="3"/>
  <c r="AA772" i="3" s="1"/>
  <c r="R772" i="3"/>
  <c r="K787" i="3"/>
  <c r="I787" i="3"/>
  <c r="E787" i="3"/>
  <c r="AA781" i="4"/>
  <c r="AA788" i="4"/>
  <c r="AA689" i="4"/>
  <c r="AA795" i="4"/>
  <c r="AA673" i="4"/>
  <c r="AA809" i="4"/>
  <c r="K665" i="3"/>
  <c r="I665" i="3"/>
  <c r="X695" i="3"/>
  <c r="V695" i="3"/>
  <c r="R695" i="3"/>
  <c r="R671" i="3"/>
  <c r="X671" i="3"/>
  <c r="V671" i="3"/>
  <c r="X643" i="3"/>
  <c r="V643" i="3"/>
  <c r="AA643" i="3" s="1"/>
  <c r="B59" i="3"/>
  <c r="V732" i="3"/>
  <c r="X732" i="3"/>
  <c r="R732" i="3"/>
  <c r="X634" i="3"/>
  <c r="V634" i="3"/>
  <c r="X670" i="3"/>
  <c r="V670" i="3"/>
  <c r="R670" i="3"/>
  <c r="K669" i="3"/>
  <c r="I669" i="3"/>
  <c r="E669" i="3"/>
  <c r="X692" i="3"/>
  <c r="V692" i="3"/>
  <c r="R692" i="3"/>
  <c r="X786" i="3"/>
  <c r="V786" i="3"/>
  <c r="AA786" i="3" s="1"/>
  <c r="R786" i="3"/>
  <c r="I707" i="3"/>
  <c r="E707" i="3"/>
  <c r="K707" i="3"/>
  <c r="K663" i="3"/>
  <c r="I663" i="3"/>
  <c r="X714" i="3"/>
  <c r="V714" i="3"/>
  <c r="R714" i="3"/>
  <c r="E673" i="3"/>
  <c r="K673" i="3"/>
  <c r="I673" i="3"/>
  <c r="X726" i="3"/>
  <c r="V726" i="3"/>
  <c r="AA726" i="3" s="1"/>
  <c r="R726" i="3"/>
  <c r="R668" i="3"/>
  <c r="X668" i="3"/>
  <c r="V668" i="3"/>
  <c r="AA668" i="3" s="1"/>
  <c r="I635" i="3"/>
  <c r="K635" i="3"/>
  <c r="R681" i="3"/>
  <c r="X681" i="3"/>
  <c r="V681" i="3"/>
  <c r="K648" i="3"/>
  <c r="I648" i="3"/>
  <c r="X701" i="3"/>
  <c r="V701" i="3"/>
  <c r="AA701" i="3" s="1"/>
  <c r="R701" i="3"/>
  <c r="K645" i="3"/>
  <c r="I645" i="3"/>
  <c r="K694" i="3"/>
  <c r="I694" i="3"/>
  <c r="E694" i="3"/>
  <c r="X805" i="3"/>
  <c r="V805" i="3"/>
  <c r="R805" i="3"/>
  <c r="X740" i="3"/>
  <c r="V740" i="3"/>
  <c r="AA740" i="3" s="1"/>
  <c r="R740" i="3"/>
  <c r="X790" i="3"/>
  <c r="V790" i="3"/>
  <c r="R790" i="3"/>
  <c r="X767" i="3"/>
  <c r="V767" i="3"/>
  <c r="AA767" i="3" s="1"/>
  <c r="R767" i="3"/>
  <c r="R718" i="3"/>
  <c r="X718" i="3"/>
  <c r="V718" i="3"/>
  <c r="K708" i="3"/>
  <c r="I708" i="3"/>
  <c r="E708" i="3"/>
  <c r="X754" i="3"/>
  <c r="V754" i="3"/>
  <c r="R754" i="3"/>
  <c r="R798" i="3"/>
  <c r="X798" i="3"/>
  <c r="V798" i="3"/>
  <c r="E770" i="3"/>
  <c r="K770" i="3"/>
  <c r="I770" i="3"/>
  <c r="R749" i="3"/>
  <c r="V749" i="3"/>
  <c r="X749" i="3"/>
  <c r="AA640" i="4"/>
  <c r="AA792" i="4"/>
  <c r="AA651" i="4"/>
  <c r="AA786" i="4"/>
  <c r="T632" i="3"/>
  <c r="AA765" i="4"/>
  <c r="AA802" i="4"/>
  <c r="X686" i="3"/>
  <c r="V686" i="3"/>
  <c r="R686" i="3"/>
  <c r="K654" i="3"/>
  <c r="I654" i="3"/>
  <c r="K677" i="3"/>
  <c r="I677" i="3"/>
  <c r="E677" i="3"/>
  <c r="K726" i="3"/>
  <c r="I726" i="3"/>
  <c r="E726" i="3"/>
  <c r="K740" i="3"/>
  <c r="I740" i="3"/>
  <c r="E740" i="3"/>
  <c r="X644" i="3"/>
  <c r="V644" i="3"/>
  <c r="AA644" i="3" s="1"/>
  <c r="R768" i="3"/>
  <c r="X768" i="3"/>
  <c r="V768" i="3"/>
  <c r="AA768" i="3" s="1"/>
  <c r="AA632" i="4"/>
  <c r="X710" i="3"/>
  <c r="V710" i="3"/>
  <c r="AA710" i="3" s="1"/>
  <c r="R710" i="3"/>
  <c r="X637" i="3"/>
  <c r="V637" i="3"/>
  <c r="I646" i="3"/>
  <c r="K646" i="3"/>
  <c r="K678" i="3"/>
  <c r="I678" i="3"/>
  <c r="E678" i="3"/>
  <c r="X694" i="3"/>
  <c r="V694" i="3"/>
  <c r="AA694" i="3" s="1"/>
  <c r="R694" i="3"/>
  <c r="K728" i="3"/>
  <c r="I728" i="3"/>
  <c r="E728" i="3"/>
  <c r="K735" i="3"/>
  <c r="I735" i="3"/>
  <c r="E735" i="3"/>
  <c r="X700" i="3"/>
  <c r="V700" i="3"/>
  <c r="R700" i="3"/>
  <c r="K811" i="3"/>
  <c r="I811" i="3"/>
  <c r="E811" i="3"/>
  <c r="X796" i="3"/>
  <c r="V796" i="3"/>
  <c r="R796" i="3"/>
  <c r="K776" i="3"/>
  <c r="I776" i="3"/>
  <c r="E776" i="3"/>
  <c r="R715" i="3"/>
  <c r="X715" i="3"/>
  <c r="V715" i="3"/>
  <c r="X761" i="3"/>
  <c r="V761" i="3"/>
  <c r="R761" i="3"/>
  <c r="E714" i="3"/>
  <c r="K714" i="3"/>
  <c r="I714" i="3"/>
  <c r="R760" i="3"/>
  <c r="X760" i="3"/>
  <c r="V760" i="3"/>
  <c r="E695" i="3"/>
  <c r="K695" i="3"/>
  <c r="I695" i="3"/>
  <c r="R741" i="3"/>
  <c r="X741" i="3"/>
  <c r="V741" i="3"/>
  <c r="AA741" i="3" s="1"/>
  <c r="I705" i="3"/>
  <c r="E705" i="3"/>
  <c r="K705" i="3"/>
  <c r="R778" i="3"/>
  <c r="X778" i="3"/>
  <c r="V778" i="3"/>
  <c r="R759" i="3"/>
  <c r="X759" i="3"/>
  <c r="V759" i="3"/>
  <c r="AA759" i="3" s="1"/>
  <c r="E774" i="3"/>
  <c r="K774" i="3"/>
  <c r="I774" i="3"/>
  <c r="X753" i="3"/>
  <c r="V753" i="3"/>
  <c r="AA753" i="3" s="1"/>
  <c r="R753" i="3"/>
  <c r="AA670" i="4"/>
  <c r="AA659" i="4"/>
  <c r="AA699" i="4"/>
  <c r="AA755" i="4"/>
  <c r="AA652" i="4"/>
  <c r="AA696" i="4"/>
  <c r="K808" i="3"/>
  <c r="I808" i="3"/>
  <c r="E808" i="3"/>
  <c r="E680" i="3"/>
  <c r="K680" i="3"/>
  <c r="I680" i="3"/>
  <c r="E704" i="3"/>
  <c r="I704" i="3"/>
  <c r="K704" i="3"/>
  <c r="X739" i="3"/>
  <c r="V739" i="3"/>
  <c r="R739" i="3"/>
  <c r="X646" i="3"/>
  <c r="V646" i="3"/>
  <c r="AA646" i="3" s="1"/>
  <c r="AA672" i="4"/>
  <c r="AA716" i="4"/>
  <c r="AA810" i="4"/>
  <c r="AA761" i="4"/>
  <c r="X653" i="3"/>
  <c r="V653" i="3"/>
  <c r="AA653" i="3" s="1"/>
  <c r="X641" i="3"/>
  <c r="V641" i="3"/>
  <c r="X638" i="3"/>
  <c r="V638" i="3"/>
  <c r="X711" i="3"/>
  <c r="V711" i="3"/>
  <c r="R711" i="3"/>
  <c r="K647" i="3"/>
  <c r="I647" i="3"/>
  <c r="X679" i="3"/>
  <c r="V679" i="3"/>
  <c r="R679" i="3"/>
  <c r="K684" i="3"/>
  <c r="I684" i="3"/>
  <c r="E684" i="3"/>
  <c r="K807" i="3"/>
  <c r="I807" i="3"/>
  <c r="E807" i="3"/>
  <c r="E670" i="3"/>
  <c r="K670" i="3"/>
  <c r="I670" i="3"/>
  <c r="E683" i="3"/>
  <c r="K683" i="3"/>
  <c r="I683" i="3"/>
  <c r="E715" i="3"/>
  <c r="K715" i="3"/>
  <c r="I715" i="3"/>
  <c r="K696" i="3"/>
  <c r="I696" i="3"/>
  <c r="E696" i="3"/>
  <c r="K742" i="3"/>
  <c r="I742" i="3"/>
  <c r="E742" i="3"/>
  <c r="I781" i="3"/>
  <c r="E781" i="3"/>
  <c r="K781" i="3"/>
  <c r="E720" i="3"/>
  <c r="K720" i="3"/>
  <c r="I720" i="3"/>
  <c r="K768" i="3"/>
  <c r="I768" i="3"/>
  <c r="E768" i="3"/>
  <c r="K763" i="3"/>
  <c r="I763" i="3"/>
  <c r="E763" i="3"/>
  <c r="K800" i="3"/>
  <c r="I800" i="3"/>
  <c r="E800" i="3"/>
  <c r="E751" i="3"/>
  <c r="K751" i="3"/>
  <c r="I751" i="3"/>
  <c r="R797" i="3"/>
  <c r="X797" i="3"/>
  <c r="V797" i="3"/>
  <c r="AA766" i="4"/>
  <c r="B240" i="3"/>
  <c r="AA702" i="4"/>
  <c r="AA671" i="4"/>
  <c r="K631" i="3"/>
  <c r="AA637" i="4"/>
  <c r="K634" i="3"/>
  <c r="I634" i="3"/>
  <c r="AA668" i="4"/>
  <c r="AA678" i="4"/>
  <c r="AA680" i="4"/>
  <c r="AA807" i="4"/>
  <c r="X645" i="3"/>
  <c r="V645" i="3"/>
  <c r="X651" i="3"/>
  <c r="V651" i="3"/>
  <c r="K703" i="3"/>
  <c r="I703" i="3"/>
  <c r="E703" i="3"/>
  <c r="K687" i="3"/>
  <c r="I687" i="3"/>
  <c r="E687" i="3"/>
  <c r="K685" i="3"/>
  <c r="I685" i="3"/>
  <c r="E685" i="3"/>
  <c r="V674" i="3"/>
  <c r="AA674" i="3" s="1"/>
  <c r="R674" i="3"/>
  <c r="X674" i="3"/>
  <c r="K756" i="3"/>
  <c r="I756" i="3"/>
  <c r="E756" i="3"/>
  <c r="X742" i="3"/>
  <c r="V742" i="3"/>
  <c r="AA742" i="3" s="1"/>
  <c r="R742" i="3"/>
  <c r="X723" i="3"/>
  <c r="V723" i="3"/>
  <c r="AA723" i="3" s="1"/>
  <c r="R723" i="3"/>
  <c r="X656" i="3"/>
  <c r="V656" i="3"/>
  <c r="E698" i="3"/>
  <c r="I698" i="3"/>
  <c r="K698" i="3"/>
  <c r="X746" i="3"/>
  <c r="V746" i="3"/>
  <c r="R746" i="3"/>
  <c r="I723" i="3"/>
  <c r="E723" i="3"/>
  <c r="K723" i="3"/>
  <c r="E717" i="3"/>
  <c r="K717" i="3"/>
  <c r="I717" i="3"/>
  <c r="K775" i="3"/>
  <c r="E775" i="3"/>
  <c r="I775" i="3"/>
  <c r="E743" i="3"/>
  <c r="K743" i="3"/>
  <c r="I743" i="3"/>
  <c r="E780" i="3"/>
  <c r="I780" i="3"/>
  <c r="K780" i="3"/>
  <c r="E761" i="3"/>
  <c r="K761" i="3"/>
  <c r="I761" i="3"/>
  <c r="R807" i="3"/>
  <c r="X807" i="3"/>
  <c r="V807" i="3"/>
  <c r="K755" i="3"/>
  <c r="I755" i="3"/>
  <c r="E755" i="3"/>
  <c r="X801" i="3"/>
  <c r="V801" i="3"/>
  <c r="AA801" i="3" s="1"/>
  <c r="R801" i="3"/>
  <c r="AA690" i="4"/>
  <c r="AA758" i="4"/>
  <c r="AA791" i="4"/>
  <c r="AA733" i="4"/>
  <c r="AA739" i="4"/>
  <c r="AA635" i="4"/>
  <c r="X650" i="3"/>
  <c r="V650" i="3"/>
  <c r="AA650" i="3" s="1"/>
  <c r="R696" i="3"/>
  <c r="X696" i="3"/>
  <c r="V696" i="3"/>
  <c r="AA696" i="3" s="1"/>
  <c r="E802" i="3"/>
  <c r="I802" i="3"/>
  <c r="K802" i="3"/>
  <c r="K706" i="3"/>
  <c r="I706" i="3"/>
  <c r="E706" i="3"/>
  <c r="K629" i="4"/>
  <c r="E619" i="4" s="1"/>
  <c r="I734" i="3"/>
  <c r="K734" i="3"/>
  <c r="E734" i="3"/>
  <c r="K656" i="3"/>
  <c r="I656" i="3"/>
  <c r="V642" i="3"/>
  <c r="AA642" i="3" s="1"/>
  <c r="X642" i="3"/>
  <c r="K762" i="3"/>
  <c r="I762" i="3"/>
  <c r="E762" i="3"/>
  <c r="K697" i="3"/>
  <c r="I697" i="3"/>
  <c r="E697" i="3"/>
  <c r="X683" i="3"/>
  <c r="V683" i="3"/>
  <c r="AA683" i="3" s="1"/>
  <c r="R683" i="3"/>
  <c r="K671" i="3"/>
  <c r="E671" i="3"/>
  <c r="I671" i="3"/>
  <c r="X716" i="3"/>
  <c r="V716" i="3"/>
  <c r="R716" i="3"/>
  <c r="X704" i="3"/>
  <c r="V704" i="3"/>
  <c r="AA704" i="3" s="1"/>
  <c r="R704" i="3"/>
  <c r="K713" i="3"/>
  <c r="I713" i="3"/>
  <c r="E713" i="3"/>
  <c r="X727" i="3"/>
  <c r="V727" i="3"/>
  <c r="AA727" i="3" s="1"/>
  <c r="R727" i="3"/>
  <c r="X677" i="3"/>
  <c r="V677" i="3"/>
  <c r="R677" i="3"/>
  <c r="X748" i="3"/>
  <c r="V748" i="3"/>
  <c r="AA748" i="3" s="1"/>
  <c r="R748" i="3"/>
  <c r="R687" i="3"/>
  <c r="V687" i="3"/>
  <c r="AA687" i="3" s="1"/>
  <c r="X687" i="3"/>
  <c r="K725" i="3"/>
  <c r="I725" i="3"/>
  <c r="E725" i="3"/>
  <c r="X649" i="3"/>
  <c r="V649" i="3"/>
  <c r="X764" i="3"/>
  <c r="V764" i="3"/>
  <c r="AA764" i="3" s="1"/>
  <c r="R764" i="3"/>
  <c r="X662" i="3"/>
  <c r="V662" i="3"/>
  <c r="AA662" i="3" s="1"/>
  <c r="X659" i="3"/>
  <c r="V659" i="3"/>
  <c r="K710" i="3"/>
  <c r="I710" i="3"/>
  <c r="E710" i="3"/>
  <c r="K772" i="3"/>
  <c r="I772" i="3"/>
  <c r="E772" i="3"/>
  <c r="X779" i="3"/>
  <c r="V779" i="3"/>
  <c r="R779" i="3"/>
  <c r="X811" i="3"/>
  <c r="V811" i="3"/>
  <c r="AA811" i="3" s="1"/>
  <c r="R811" i="3"/>
  <c r="X795" i="3"/>
  <c r="V795" i="3"/>
  <c r="R795" i="3"/>
  <c r="X789" i="3"/>
  <c r="V789" i="3"/>
  <c r="R789" i="3"/>
  <c r="X802" i="3"/>
  <c r="V802" i="3"/>
  <c r="AA802" i="3" s="1"/>
  <c r="R802" i="3"/>
  <c r="X722" i="3"/>
  <c r="V722" i="3"/>
  <c r="AA722" i="3" s="1"/>
  <c r="R722" i="3"/>
  <c r="X776" i="3"/>
  <c r="V776" i="3"/>
  <c r="R776" i="3"/>
  <c r="R784" i="3"/>
  <c r="X784" i="3"/>
  <c r="V784" i="3"/>
  <c r="AA784" i="3" s="1"/>
  <c r="E799" i="3"/>
  <c r="K799" i="3"/>
  <c r="I799" i="3"/>
  <c r="AA704" i="4"/>
  <c r="AA772" i="4"/>
  <c r="AA743" i="4"/>
  <c r="AA709" i="4"/>
  <c r="AA764" i="4"/>
  <c r="AA631" i="3"/>
  <c r="X631" i="3"/>
  <c r="AA808" i="4"/>
  <c r="AA643" i="4"/>
  <c r="X666" i="3"/>
  <c r="V666" i="3"/>
  <c r="AA666" i="3" s="1"/>
  <c r="X745" i="3"/>
  <c r="V745" i="3"/>
  <c r="AA745" i="3" s="1"/>
  <c r="R745" i="3"/>
  <c r="V689" i="3"/>
  <c r="AA689" i="3" s="1"/>
  <c r="X689" i="3"/>
  <c r="R689" i="3"/>
  <c r="X729" i="3"/>
  <c r="V729" i="3"/>
  <c r="R729" i="3"/>
  <c r="I676" i="3"/>
  <c r="E676" i="3"/>
  <c r="K676" i="3"/>
  <c r="K778" i="3"/>
  <c r="I778" i="3"/>
  <c r="E778" i="3"/>
  <c r="K747" i="3"/>
  <c r="I747" i="3"/>
  <c r="E747" i="3"/>
  <c r="K658" i="3"/>
  <c r="I658" i="3"/>
  <c r="K709" i="3"/>
  <c r="I709" i="3"/>
  <c r="E709" i="3"/>
  <c r="K748" i="3"/>
  <c r="I748" i="3"/>
  <c r="E748" i="3"/>
  <c r="X750" i="3"/>
  <c r="V750" i="3"/>
  <c r="AA750" i="3" s="1"/>
  <c r="R750" i="3"/>
  <c r="R728" i="3"/>
  <c r="X728" i="3"/>
  <c r="V728" i="3"/>
  <c r="AA728" i="3" s="1"/>
  <c r="R709" i="3"/>
  <c r="X709" i="3"/>
  <c r="V709" i="3"/>
  <c r="I805" i="3"/>
  <c r="E805" i="3"/>
  <c r="K805" i="3"/>
  <c r="X719" i="3"/>
  <c r="V719" i="3"/>
  <c r="R719" i="3"/>
  <c r="V771" i="3"/>
  <c r="R771" i="3"/>
  <c r="X771" i="3"/>
  <c r="X812" i="3"/>
  <c r="V812" i="3"/>
  <c r="AA812" i="3" s="1"/>
  <c r="R812" i="3"/>
  <c r="E809" i="3"/>
  <c r="K809" i="3"/>
  <c r="I809" i="3"/>
  <c r="R788" i="3"/>
  <c r="X788" i="3"/>
  <c r="V788" i="3"/>
  <c r="AA788" i="3" s="1"/>
  <c r="K803" i="3"/>
  <c r="I803" i="3"/>
  <c r="E803" i="3"/>
  <c r="AA757" i="4"/>
  <c r="AA710" i="4"/>
  <c r="J612" i="3"/>
  <c r="C625" i="3"/>
  <c r="AA707" i="4"/>
  <c r="B240" i="4"/>
  <c r="E667" i="3"/>
  <c r="K667" i="3"/>
  <c r="I667" i="3"/>
  <c r="K804" i="3"/>
  <c r="I804" i="3"/>
  <c r="E804" i="3"/>
  <c r="K638" i="3"/>
  <c r="I638" i="3"/>
  <c r="X661" i="3"/>
  <c r="V661" i="3"/>
  <c r="AA661" i="3" s="1"/>
  <c r="R766" i="3"/>
  <c r="X766" i="3"/>
  <c r="V766" i="3"/>
  <c r="AA766" i="3" s="1"/>
  <c r="K668" i="3"/>
  <c r="I668" i="3"/>
  <c r="E668" i="3"/>
  <c r="X629" i="4"/>
  <c r="E618" i="4" s="1"/>
  <c r="D53" i="4"/>
  <c r="U632" i="4"/>
  <c r="X639" i="3"/>
  <c r="V639" i="3"/>
  <c r="AA639" i="3" s="1"/>
  <c r="K655" i="3"/>
  <c r="I655" i="3"/>
  <c r="X682" i="3"/>
  <c r="V682" i="3"/>
  <c r="R682" i="3"/>
  <c r="K795" i="3"/>
  <c r="I795" i="3"/>
  <c r="E795" i="3"/>
  <c r="K633" i="3"/>
  <c r="I633" i="3"/>
  <c r="V705" i="3"/>
  <c r="AA705" i="3" s="1"/>
  <c r="R705" i="3"/>
  <c r="X705" i="3"/>
  <c r="K718" i="3"/>
  <c r="I718" i="3"/>
  <c r="E718" i="3"/>
  <c r="X680" i="3"/>
  <c r="V680" i="3"/>
  <c r="AA680" i="3" s="1"/>
  <c r="R680" i="3"/>
  <c r="K679" i="3"/>
  <c r="I679" i="3"/>
  <c r="E679" i="3"/>
  <c r="X763" i="3"/>
  <c r="V763" i="3"/>
  <c r="R763" i="3"/>
  <c r="I773" i="3"/>
  <c r="E773" i="3"/>
  <c r="K773" i="3"/>
  <c r="R684" i="3"/>
  <c r="X684" i="3"/>
  <c r="V684" i="3"/>
  <c r="K651" i="3"/>
  <c r="I651" i="3"/>
  <c r="K779" i="3"/>
  <c r="I779" i="3"/>
  <c r="E779" i="3"/>
  <c r="K664" i="3"/>
  <c r="I664" i="3"/>
  <c r="K749" i="3"/>
  <c r="I749" i="3"/>
  <c r="E749" i="3"/>
  <c r="K661" i="3"/>
  <c r="I661" i="3"/>
  <c r="X780" i="3"/>
  <c r="V780" i="3"/>
  <c r="AA780" i="3" s="1"/>
  <c r="R780" i="3"/>
  <c r="X743" i="3"/>
  <c r="V743" i="3"/>
  <c r="AA743" i="3" s="1"/>
  <c r="R743" i="3"/>
  <c r="R734" i="3"/>
  <c r="X734" i="3"/>
  <c r="V734" i="3"/>
  <c r="AA734" i="3" s="1"/>
  <c r="X783" i="3"/>
  <c r="V783" i="3"/>
  <c r="AA783" i="3" s="1"/>
  <c r="R783" i="3"/>
  <c r="R782" i="3"/>
  <c r="X782" i="3"/>
  <c r="V782" i="3"/>
  <c r="AA782" i="3" s="1"/>
  <c r="K724" i="3"/>
  <c r="I724" i="3"/>
  <c r="E724" i="3"/>
  <c r="E786" i="3"/>
  <c r="K786" i="3"/>
  <c r="I786" i="3"/>
  <c r="R765" i="3"/>
  <c r="X765" i="3"/>
  <c r="V765" i="3"/>
  <c r="AA765" i="3" s="1"/>
  <c r="AA760" i="4"/>
  <c r="G632" i="3"/>
  <c r="AA750" i="4"/>
  <c r="K659" i="3"/>
  <c r="I659" i="3"/>
  <c r="X664" i="3"/>
  <c r="V664" i="3"/>
  <c r="AA664" i="3" s="1"/>
  <c r="X667" i="3"/>
  <c r="V667" i="3"/>
  <c r="AA667" i="3" s="1"/>
  <c r="R667" i="3"/>
  <c r="X707" i="3"/>
  <c r="R707" i="3"/>
  <c r="V707" i="3"/>
  <c r="AA707" i="3" s="1"/>
  <c r="X635" i="3"/>
  <c r="V635" i="3"/>
  <c r="AA635" i="3" s="1"/>
  <c r="X660" i="3"/>
  <c r="V660" i="3"/>
  <c r="K636" i="3"/>
  <c r="I636" i="3"/>
  <c r="V721" i="3"/>
  <c r="R721" i="3"/>
  <c r="X721" i="3"/>
  <c r="X697" i="3"/>
  <c r="V697" i="3"/>
  <c r="AA697" i="3" s="1"/>
  <c r="R697" i="3"/>
  <c r="K738" i="3"/>
  <c r="I738" i="3"/>
  <c r="E738" i="3"/>
  <c r="E693" i="3"/>
  <c r="K693" i="3"/>
  <c r="I693" i="3"/>
  <c r="I789" i="3"/>
  <c r="E789" i="3"/>
  <c r="K789" i="3"/>
  <c r="V737" i="3"/>
  <c r="AA737" i="3" s="1"/>
  <c r="R737" i="3"/>
  <c r="X737" i="3"/>
  <c r="K798" i="3"/>
  <c r="I798" i="3"/>
  <c r="E798" i="3"/>
  <c r="X799" i="3"/>
  <c r="V799" i="3"/>
  <c r="AA799" i="3" s="1"/>
  <c r="R799" i="3"/>
  <c r="R731" i="3"/>
  <c r="X731" i="3"/>
  <c r="V731" i="3"/>
  <c r="E730" i="3"/>
  <c r="I730" i="3"/>
  <c r="K730" i="3"/>
  <c r="E711" i="3"/>
  <c r="K711" i="3"/>
  <c r="I711" i="3"/>
  <c r="E721" i="3"/>
  <c r="K721" i="3"/>
  <c r="I721" i="3"/>
  <c r="R794" i="3"/>
  <c r="X794" i="3"/>
  <c r="V794" i="3"/>
  <c r="AA794" i="3" s="1"/>
  <c r="R775" i="3"/>
  <c r="X775" i="3"/>
  <c r="V775" i="3"/>
  <c r="K790" i="3"/>
  <c r="I790" i="3"/>
  <c r="E790" i="3"/>
  <c r="X769" i="3"/>
  <c r="V769" i="3"/>
  <c r="AA769" i="3" s="1"/>
  <c r="R769" i="3"/>
  <c r="AA705" i="4"/>
  <c r="AA644" i="4"/>
  <c r="AA700" i="4"/>
  <c r="AA740" i="4"/>
  <c r="H612" i="3"/>
  <c r="AA794" i="4"/>
  <c r="AA675" i="4"/>
  <c r="AA725" i="4"/>
  <c r="AA682" i="4"/>
  <c r="AA692" i="4"/>
  <c r="AA694" i="4"/>
  <c r="AA666" i="4"/>
  <c r="AA729" i="4"/>
  <c r="X647" i="3"/>
  <c r="V647" i="3"/>
  <c r="AA647" i="3" s="1"/>
  <c r="X708" i="3"/>
  <c r="V708" i="3"/>
  <c r="AA708" i="3" s="1"/>
  <c r="R708" i="3"/>
  <c r="K649" i="3"/>
  <c r="I649" i="3"/>
  <c r="E783" i="3"/>
  <c r="K783" i="3"/>
  <c r="I783" i="3"/>
  <c r="K637" i="3"/>
  <c r="I637" i="3"/>
  <c r="K702" i="3"/>
  <c r="I702" i="3"/>
  <c r="E702" i="3"/>
  <c r="K729" i="3"/>
  <c r="I729" i="3"/>
  <c r="E729" i="3"/>
  <c r="X698" i="3"/>
  <c r="V698" i="3"/>
  <c r="AA698" i="3" s="1"/>
  <c r="R698" i="3"/>
  <c r="K682" i="3"/>
  <c r="I682" i="3"/>
  <c r="E682" i="3"/>
  <c r="V787" i="3"/>
  <c r="AA787" i="3" s="1"/>
  <c r="R787" i="3"/>
  <c r="X787" i="3"/>
  <c r="I690" i="3"/>
  <c r="E690" i="3"/>
  <c r="K690" i="3"/>
  <c r="X655" i="3"/>
  <c r="V655" i="3"/>
  <c r="AA655" i="3" s="1"/>
  <c r="X808" i="3"/>
  <c r="V808" i="3"/>
  <c r="AA808" i="3" s="1"/>
  <c r="R808" i="3"/>
  <c r="E686" i="3"/>
  <c r="K686" i="3"/>
  <c r="I686" i="3"/>
  <c r="I757" i="3"/>
  <c r="E757" i="3"/>
  <c r="K757" i="3"/>
  <c r="X717" i="3"/>
  <c r="V717" i="3"/>
  <c r="AA717" i="3" s="1"/>
  <c r="R717" i="3"/>
  <c r="K794" i="3"/>
  <c r="I794" i="3"/>
  <c r="E794" i="3"/>
  <c r="K745" i="3"/>
  <c r="I745" i="3"/>
  <c r="E745" i="3"/>
  <c r="K760" i="3"/>
  <c r="I760" i="3"/>
  <c r="E760" i="3"/>
  <c r="E736" i="3"/>
  <c r="K736" i="3"/>
  <c r="I736" i="3"/>
  <c r="E797" i="3"/>
  <c r="K797" i="3"/>
  <c r="I797" i="3"/>
  <c r="V755" i="3"/>
  <c r="AA755" i="3" s="1"/>
  <c r="R755" i="3"/>
  <c r="X755" i="3"/>
  <c r="X690" i="3"/>
  <c r="V690" i="3"/>
  <c r="AA690" i="3" s="1"/>
  <c r="R690" i="3"/>
  <c r="K785" i="3"/>
  <c r="I785" i="3"/>
  <c r="E785" i="3"/>
  <c r="R752" i="3"/>
  <c r="X752" i="3"/>
  <c r="V752" i="3"/>
  <c r="E767" i="3"/>
  <c r="K767" i="3"/>
  <c r="I767" i="3"/>
  <c r="AA664" i="4"/>
  <c r="AA653" i="4"/>
  <c r="AA763" i="4"/>
  <c r="AA754" i="4"/>
  <c r="AA790" i="4"/>
  <c r="AA674" i="4"/>
  <c r="AA728" i="4"/>
  <c r="K716" i="3"/>
  <c r="I716" i="3"/>
  <c r="E716" i="3"/>
  <c r="R781" i="3"/>
  <c r="X781" i="3"/>
  <c r="V781" i="3"/>
  <c r="K688" i="3"/>
  <c r="I688" i="3"/>
  <c r="E688" i="3"/>
  <c r="X633" i="3"/>
  <c r="V633" i="3"/>
  <c r="AA633" i="3" s="1"/>
  <c r="Y632" i="4"/>
  <c r="O633" i="4"/>
  <c r="K672" i="3"/>
  <c r="I672" i="3"/>
  <c r="E672" i="3"/>
  <c r="B633" i="4"/>
  <c r="L632" i="4"/>
  <c r="AA779" i="4"/>
  <c r="K662" i="3"/>
  <c r="I662" i="3"/>
  <c r="K640" i="3"/>
  <c r="I640" i="3"/>
  <c r="K719" i="3"/>
  <c r="I719" i="3"/>
  <c r="E719" i="3"/>
  <c r="K731" i="3"/>
  <c r="I731" i="3"/>
  <c r="E731" i="3"/>
  <c r="K700" i="3"/>
  <c r="I700" i="3"/>
  <c r="E700" i="3"/>
  <c r="X809" i="3"/>
  <c r="V809" i="3"/>
  <c r="R809" i="3"/>
  <c r="X733" i="3"/>
  <c r="V733" i="3"/>
  <c r="AA733" i="3" s="1"/>
  <c r="R733" i="3"/>
  <c r="V672" i="3"/>
  <c r="R672" i="3"/>
  <c r="X672" i="3"/>
  <c r="K766" i="3"/>
  <c r="I766" i="3"/>
  <c r="E766" i="3"/>
  <c r="I739" i="3"/>
  <c r="E739" i="3"/>
  <c r="K739" i="3"/>
  <c r="E733" i="3"/>
  <c r="K733" i="3"/>
  <c r="I733" i="3"/>
  <c r="K792" i="3"/>
  <c r="I792" i="3"/>
  <c r="E792" i="3"/>
  <c r="E796" i="3"/>
  <c r="K796" i="3"/>
  <c r="I796" i="3"/>
  <c r="E777" i="3"/>
  <c r="K777" i="3"/>
  <c r="I777" i="3"/>
  <c r="X756" i="3"/>
  <c r="V756" i="3"/>
  <c r="AA756" i="3" s="1"/>
  <c r="R756" i="3"/>
  <c r="K771" i="3"/>
  <c r="I771" i="3"/>
  <c r="E771" i="3"/>
  <c r="AA633" i="4"/>
  <c r="AA741" i="4"/>
  <c r="AA773" i="4"/>
  <c r="X774" i="3"/>
  <c r="V774" i="3"/>
  <c r="R774" i="3"/>
  <c r="V629" i="4"/>
  <c r="E614" i="4" s="1"/>
  <c r="E616" i="4" s="1"/>
  <c r="H632" i="4"/>
  <c r="D235" i="4"/>
  <c r="AA639" i="4"/>
  <c r="X632" i="3"/>
  <c r="V632" i="3"/>
  <c r="AA632" i="3" s="1"/>
  <c r="R632" i="3"/>
  <c r="S632" i="3" s="1"/>
  <c r="B58" i="4"/>
  <c r="AA665" i="4"/>
  <c r="X636" i="3"/>
  <c r="V636" i="3"/>
  <c r="K675" i="3"/>
  <c r="I675" i="3"/>
  <c r="E675" i="3"/>
  <c r="X657" i="3"/>
  <c r="V657" i="3"/>
  <c r="K681" i="3"/>
  <c r="I681" i="3"/>
  <c r="E681" i="3"/>
  <c r="K641" i="3"/>
  <c r="I641" i="3"/>
  <c r="K750" i="3"/>
  <c r="I750" i="3"/>
  <c r="E750" i="3"/>
  <c r="K712" i="3"/>
  <c r="I712" i="3"/>
  <c r="E712" i="3"/>
  <c r="X792" i="3"/>
  <c r="V792" i="3"/>
  <c r="AA792" i="3" s="1"/>
  <c r="R792" i="3"/>
  <c r="K657" i="3"/>
  <c r="I657" i="3"/>
  <c r="X652" i="3"/>
  <c r="V652" i="3"/>
  <c r="AA652" i="3" s="1"/>
  <c r="I691" i="3"/>
  <c r="K691" i="3"/>
  <c r="E691" i="3"/>
  <c r="K784" i="3"/>
  <c r="I784" i="3"/>
  <c r="E784" i="3"/>
  <c r="X665" i="3"/>
  <c r="V665" i="3"/>
  <c r="AA665" i="3" s="1"/>
  <c r="E632" i="3"/>
  <c r="F632" i="3" s="1"/>
  <c r="K632" i="3"/>
  <c r="I632" i="3"/>
  <c r="I629" i="3" s="1"/>
  <c r="E615" i="3" s="1"/>
  <c r="D38" i="3"/>
  <c r="R678" i="3"/>
  <c r="X678" i="3"/>
  <c r="V678" i="3"/>
  <c r="AA678" i="3" s="1"/>
  <c r="X675" i="3"/>
  <c r="V675" i="3"/>
  <c r="R675" i="3"/>
  <c r="X724" i="3"/>
  <c r="V724" i="3"/>
  <c r="AA724" i="3" s="1"/>
  <c r="R724" i="3"/>
  <c r="R702" i="3"/>
  <c r="X702" i="3"/>
  <c r="V702" i="3"/>
  <c r="AA702" i="3" s="1"/>
  <c r="V803" i="3"/>
  <c r="AA803" i="3" s="1"/>
  <c r="R803" i="3"/>
  <c r="X803" i="3"/>
  <c r="E692" i="3"/>
  <c r="K692" i="3"/>
  <c r="I692" i="3"/>
  <c r="X738" i="3"/>
  <c r="V738" i="3"/>
  <c r="AA738" i="3" s="1"/>
  <c r="R738" i="3"/>
  <c r="X806" i="3"/>
  <c r="V806" i="3"/>
  <c r="AA806" i="3" s="1"/>
  <c r="R806" i="3"/>
  <c r="X793" i="3"/>
  <c r="V793" i="3"/>
  <c r="AA793" i="3" s="1"/>
  <c r="R793" i="3"/>
  <c r="E754" i="3"/>
  <c r="K754" i="3"/>
  <c r="I754" i="3"/>
  <c r="R800" i="3"/>
  <c r="V800" i="3"/>
  <c r="AA800" i="3" s="1"/>
  <c r="X800" i="3"/>
  <c r="AA648" i="4"/>
  <c r="AA787" i="4"/>
  <c r="AA650" i="4"/>
  <c r="AA703" i="4"/>
  <c r="AA647" i="4"/>
  <c r="AA693" i="4"/>
  <c r="H613" i="3"/>
  <c r="Y632" i="3" l="1"/>
  <c r="O633" i="3"/>
  <c r="B633" i="3"/>
  <c r="L632" i="3"/>
  <c r="E620" i="4"/>
  <c r="AA789" i="3"/>
  <c r="AA656" i="3"/>
  <c r="AA638" i="3"/>
  <c r="AA739" i="3"/>
  <c r="AA718" i="3"/>
  <c r="AA634" i="3"/>
  <c r="AA695" i="3"/>
  <c r="AA720" i="3"/>
  <c r="AA659" i="3"/>
  <c r="AA749" i="3"/>
  <c r="AA676" i="3"/>
  <c r="AA691" i="3"/>
  <c r="G633" i="4"/>
  <c r="D633" i="4"/>
  <c r="AA795" i="3"/>
  <c r="AA716" i="3"/>
  <c r="AA641" i="3"/>
  <c r="AA682" i="3"/>
  <c r="K629" i="3"/>
  <c r="E619" i="3" s="1"/>
  <c r="AA721" i="3"/>
  <c r="AA760" i="3"/>
  <c r="AA796" i="3"/>
  <c r="B60" i="3"/>
  <c r="AA657" i="3"/>
  <c r="T633" i="4"/>
  <c r="Q633" i="4"/>
  <c r="AA684" i="3"/>
  <c r="AA776" i="3"/>
  <c r="AA677" i="3"/>
  <c r="AA679" i="3"/>
  <c r="AA686" i="3"/>
  <c r="AA798" i="3"/>
  <c r="AA790" i="3"/>
  <c r="AA692" i="3"/>
  <c r="AA688" i="3"/>
  <c r="AA706" i="3"/>
  <c r="AA770" i="3"/>
  <c r="AA771" i="3"/>
  <c r="V629" i="3"/>
  <c r="E614" i="3" s="1"/>
  <c r="E616" i="3" s="1"/>
  <c r="AA651" i="3"/>
  <c r="AA669" i="3"/>
  <c r="AA725" i="3"/>
  <c r="X629" i="3"/>
  <c r="E618" i="3" s="1"/>
  <c r="AA779" i="3"/>
  <c r="AA703" i="3"/>
  <c r="AA746" i="3"/>
  <c r="B241" i="3"/>
  <c r="AA778" i="3"/>
  <c r="AA671" i="3"/>
  <c r="AA785" i="3"/>
  <c r="AA640" i="3"/>
  <c r="AA685" i="3"/>
  <c r="AA732" i="3"/>
  <c r="AA660" i="3"/>
  <c r="AA729" i="3"/>
  <c r="AA645" i="3"/>
  <c r="AA754" i="3"/>
  <c r="AA681" i="3"/>
  <c r="AA714" i="3"/>
  <c r="AA773" i="3"/>
  <c r="AA744" i="3"/>
  <c r="AA649" i="3"/>
  <c r="AA731" i="3"/>
  <c r="AA797" i="3"/>
  <c r="AA700" i="3"/>
  <c r="D53" i="3"/>
  <c r="U632" i="3"/>
  <c r="AA648" i="3"/>
  <c r="AA777" i="3"/>
  <c r="AA762" i="3"/>
  <c r="AA672" i="3"/>
  <c r="AA774" i="3"/>
  <c r="AA636" i="3"/>
  <c r="AA711" i="3"/>
  <c r="AA761" i="3"/>
  <c r="AA805" i="3"/>
  <c r="AA670" i="3"/>
  <c r="AA663" i="3"/>
  <c r="B59" i="4"/>
  <c r="B241" i="4"/>
  <c r="AA807" i="3"/>
  <c r="AA719" i="3"/>
  <c r="AA775" i="3"/>
  <c r="D235" i="3"/>
  <c r="H632" i="3"/>
  <c r="AA763" i="3"/>
  <c r="AA637" i="3"/>
  <c r="AA693" i="3"/>
  <c r="AA658" i="3"/>
  <c r="AA699" i="3"/>
  <c r="AA675" i="3"/>
  <c r="AA809" i="3"/>
  <c r="AA781" i="3"/>
  <c r="AA752" i="3"/>
  <c r="AA709" i="3"/>
  <c r="AA715" i="3"/>
  <c r="AA673" i="3"/>
  <c r="AA791" i="3"/>
  <c r="AA735" i="3"/>
  <c r="AA713" i="3"/>
  <c r="B61" i="3" l="1"/>
  <c r="D236" i="4"/>
  <c r="H633" i="4"/>
  <c r="B242" i="3"/>
  <c r="E633" i="4"/>
  <c r="F633" i="4" s="1"/>
  <c r="U633" i="4"/>
  <c r="D54" i="4"/>
  <c r="G633" i="3"/>
  <c r="D633" i="3"/>
  <c r="E620" i="3"/>
  <c r="T633" i="3"/>
  <c r="Q633" i="3"/>
  <c r="B60" i="4"/>
  <c r="R633" i="4"/>
  <c r="S633" i="4" s="1"/>
  <c r="B242" i="4"/>
  <c r="B243" i="4" l="1"/>
  <c r="L633" i="4"/>
  <c r="B634" i="4"/>
  <c r="B243" i="3"/>
  <c r="D54" i="3"/>
  <c r="U633" i="3"/>
  <c r="D236" i="3"/>
  <c r="H633" i="3"/>
  <c r="O634" i="4"/>
  <c r="Y633" i="4"/>
  <c r="B61" i="4"/>
  <c r="R633" i="3"/>
  <c r="S633" i="3" s="1"/>
  <c r="E633" i="3"/>
  <c r="F633" i="3" s="1"/>
  <c r="B62" i="3"/>
  <c r="B63" i="3" l="1"/>
  <c r="B634" i="3"/>
  <c r="L633" i="3"/>
  <c r="Y633" i="3"/>
  <c r="O634" i="3"/>
  <c r="B62" i="4"/>
  <c r="G634" i="4"/>
  <c r="D634" i="4"/>
  <c r="B244" i="3"/>
  <c r="B244" i="4"/>
  <c r="T634" i="4"/>
  <c r="Q634" i="4"/>
  <c r="B63" i="4" l="1"/>
  <c r="H634" i="4"/>
  <c r="D237" i="4"/>
  <c r="R634" i="4"/>
  <c r="S634" i="4" s="1"/>
  <c r="E634" i="4"/>
  <c r="F634" i="4" s="1"/>
  <c r="T634" i="3"/>
  <c r="Q634" i="3"/>
  <c r="D55" i="4"/>
  <c r="U634" i="4"/>
  <c r="G634" i="3"/>
  <c r="D634" i="3"/>
  <c r="B245" i="3"/>
  <c r="B245" i="4"/>
  <c r="B64" i="3"/>
  <c r="B246" i="4" l="1"/>
  <c r="R634" i="3"/>
  <c r="S634" i="3" s="1"/>
  <c r="B65" i="3"/>
  <c r="B246" i="3"/>
  <c r="D55" i="3"/>
  <c r="U634" i="3"/>
  <c r="L634" i="4"/>
  <c r="B635" i="4"/>
  <c r="Y634" i="4"/>
  <c r="O635" i="4"/>
  <c r="E634" i="3"/>
  <c r="F634" i="3" s="1"/>
  <c r="D237" i="3"/>
  <c r="H634" i="3"/>
  <c r="B64" i="4"/>
  <c r="G635" i="4" l="1"/>
  <c r="D635" i="4"/>
  <c r="B247" i="3"/>
  <c r="B66" i="3"/>
  <c r="Y634" i="3"/>
  <c r="O635" i="3"/>
  <c r="L634" i="3"/>
  <c r="B635" i="3"/>
  <c r="B65" i="4"/>
  <c r="T635" i="4"/>
  <c r="Q635" i="4"/>
  <c r="B247" i="4"/>
  <c r="B66" i="4" l="1"/>
  <c r="T635" i="3"/>
  <c r="Q635" i="3"/>
  <c r="B248" i="3"/>
  <c r="G635" i="3"/>
  <c r="D635" i="3"/>
  <c r="B67" i="3"/>
  <c r="B248" i="4"/>
  <c r="R635" i="4"/>
  <c r="S635" i="4" s="1"/>
  <c r="E635" i="4"/>
  <c r="F635" i="4" s="1"/>
  <c r="U635" i="4"/>
  <c r="D56" i="4"/>
  <c r="H635" i="4"/>
  <c r="D238" i="4"/>
  <c r="B68" i="3" l="1"/>
  <c r="H635" i="3"/>
  <c r="D238" i="3"/>
  <c r="B249" i="4"/>
  <c r="B249" i="3"/>
  <c r="R635" i="3"/>
  <c r="S635" i="3" s="1"/>
  <c r="B636" i="4"/>
  <c r="L635" i="4"/>
  <c r="Y635" i="4"/>
  <c r="O636" i="4"/>
  <c r="E635" i="3"/>
  <c r="F635" i="3" s="1"/>
  <c r="D56" i="3"/>
  <c r="U635" i="3"/>
  <c r="B67" i="4"/>
  <c r="T636" i="4" l="1"/>
  <c r="Q636" i="4"/>
  <c r="Y635" i="3"/>
  <c r="O636" i="3"/>
  <c r="G636" i="4"/>
  <c r="D636" i="4"/>
  <c r="B68" i="4"/>
  <c r="B250" i="3"/>
  <c r="B250" i="4"/>
  <c r="B69" i="3"/>
  <c r="B636" i="3"/>
  <c r="L635" i="3"/>
  <c r="B251" i="4" l="1"/>
  <c r="E636" i="4"/>
  <c r="F636" i="4" s="1"/>
  <c r="B251" i="3"/>
  <c r="R636" i="4"/>
  <c r="S636" i="4" s="1"/>
  <c r="B70" i="3"/>
  <c r="B69" i="4"/>
  <c r="H636" i="4"/>
  <c r="D239" i="4"/>
  <c r="T636" i="3"/>
  <c r="Q636" i="3"/>
  <c r="G636" i="3"/>
  <c r="D636" i="3"/>
  <c r="U636" i="4"/>
  <c r="D57" i="4"/>
  <c r="B70" i="4" l="1"/>
  <c r="B71" i="3"/>
  <c r="E636" i="3"/>
  <c r="F636" i="3" s="1"/>
  <c r="O637" i="4"/>
  <c r="Y636" i="4"/>
  <c r="B252" i="3"/>
  <c r="H636" i="3"/>
  <c r="D239" i="3"/>
  <c r="L636" i="4"/>
  <c r="B637" i="4"/>
  <c r="U636" i="3"/>
  <c r="D57" i="3"/>
  <c r="B252" i="4"/>
  <c r="R636" i="3"/>
  <c r="S636" i="3" s="1"/>
  <c r="O637" i="3" l="1"/>
  <c r="Y636" i="3"/>
  <c r="B637" i="3"/>
  <c r="L636" i="3"/>
  <c r="G637" i="4"/>
  <c r="D637" i="4"/>
  <c r="E637" i="4" s="1"/>
  <c r="F637" i="4" s="1"/>
  <c r="B253" i="3"/>
  <c r="T637" i="4"/>
  <c r="Q637" i="4"/>
  <c r="R637" i="4" s="1"/>
  <c r="S637" i="4" s="1"/>
  <c r="B253" i="4"/>
  <c r="B72" i="3"/>
  <c r="B71" i="4"/>
  <c r="Y637" i="4" l="1"/>
  <c r="O638" i="4"/>
  <c r="L637" i="4"/>
  <c r="B638" i="4"/>
  <c r="B254" i="4"/>
  <c r="B254" i="3"/>
  <c r="G637" i="3"/>
  <c r="D637" i="3"/>
  <c r="E637" i="3" s="1"/>
  <c r="F637" i="3" s="1"/>
  <c r="B73" i="3"/>
  <c r="U637" i="4"/>
  <c r="D58" i="4"/>
  <c r="H637" i="4"/>
  <c r="D240" i="4"/>
  <c r="B72" i="4"/>
  <c r="T637" i="3"/>
  <c r="Q637" i="3"/>
  <c r="R637" i="3" s="1"/>
  <c r="S637" i="3" s="1"/>
  <c r="Y637" i="3" l="1"/>
  <c r="O638" i="3"/>
  <c r="L637" i="3"/>
  <c r="B638" i="3"/>
  <c r="H637" i="3"/>
  <c r="D240" i="3"/>
  <c r="B255" i="4"/>
  <c r="G638" i="4"/>
  <c r="D638" i="4"/>
  <c r="E638" i="4" s="1"/>
  <c r="F638" i="4" s="1"/>
  <c r="T638" i="4"/>
  <c r="Q638" i="4"/>
  <c r="R638" i="4" s="1"/>
  <c r="S638" i="4" s="1"/>
  <c r="B74" i="3"/>
  <c r="B255" i="3"/>
  <c r="U637" i="3"/>
  <c r="D58" i="3"/>
  <c r="B73" i="4"/>
  <c r="Y638" i="4" l="1"/>
  <c r="O639" i="4"/>
  <c r="B639" i="4"/>
  <c r="L638" i="4"/>
  <c r="B75" i="3"/>
  <c r="B256" i="4"/>
  <c r="B74" i="4"/>
  <c r="U638" i="4"/>
  <c r="D59" i="4"/>
  <c r="H638" i="4"/>
  <c r="D241" i="4"/>
  <c r="G638" i="3"/>
  <c r="F638" i="3"/>
  <c r="D638" i="3"/>
  <c r="E638" i="3" s="1"/>
  <c r="B256" i="3"/>
  <c r="T638" i="3"/>
  <c r="Q638" i="3"/>
  <c r="R638" i="3" s="1"/>
  <c r="S638" i="3" s="1"/>
  <c r="Y638" i="3" l="1"/>
  <c r="O639" i="3"/>
  <c r="H638" i="3"/>
  <c r="D241" i="3"/>
  <c r="B75" i="4"/>
  <c r="T639" i="4"/>
  <c r="Q639" i="4"/>
  <c r="R639" i="4" s="1"/>
  <c r="S639" i="4" s="1"/>
  <c r="B639" i="3"/>
  <c r="L638" i="3"/>
  <c r="B257" i="4"/>
  <c r="B76" i="3"/>
  <c r="U638" i="3"/>
  <c r="D59" i="3"/>
  <c r="G639" i="4"/>
  <c r="D639" i="4"/>
  <c r="E639" i="4" s="1"/>
  <c r="F639" i="4" s="1"/>
  <c r="B257" i="3"/>
  <c r="L639" i="4" l="1"/>
  <c r="B640" i="4"/>
  <c r="Y639" i="4"/>
  <c r="O640" i="4"/>
  <c r="B258" i="3"/>
  <c r="B76" i="4"/>
  <c r="B77" i="3"/>
  <c r="B258" i="4"/>
  <c r="G639" i="3"/>
  <c r="D639" i="3"/>
  <c r="E639" i="3" s="1"/>
  <c r="F639" i="3" s="1"/>
  <c r="H639" i="4"/>
  <c r="D242" i="4"/>
  <c r="T639" i="3"/>
  <c r="Q639" i="3"/>
  <c r="R639" i="3" s="1"/>
  <c r="S639" i="3" s="1"/>
  <c r="U639" i="4"/>
  <c r="D60" i="4"/>
  <c r="O640" i="3" l="1"/>
  <c r="Y639" i="3"/>
  <c r="B640" i="3"/>
  <c r="L639" i="3"/>
  <c r="B259" i="4"/>
  <c r="B78" i="3"/>
  <c r="B259" i="3"/>
  <c r="H639" i="3"/>
  <c r="D242" i="3"/>
  <c r="B77" i="4"/>
  <c r="S640" i="4"/>
  <c r="T640" i="4"/>
  <c r="Q640" i="4"/>
  <c r="R640" i="4" s="1"/>
  <c r="U639" i="3"/>
  <c r="D60" i="3"/>
  <c r="G640" i="4"/>
  <c r="D640" i="4"/>
  <c r="E640" i="4" s="1"/>
  <c r="F640" i="4" s="1"/>
  <c r="L640" i="4" l="1"/>
  <c r="B641" i="4"/>
  <c r="O641" i="4"/>
  <c r="Y640" i="4"/>
  <c r="B79" i="3"/>
  <c r="U640" i="4"/>
  <c r="D61" i="4"/>
  <c r="B260" i="3"/>
  <c r="H640" i="4"/>
  <c r="D243" i="4"/>
  <c r="B78" i="4"/>
  <c r="B260" i="4"/>
  <c r="G640" i="3"/>
  <c r="D640" i="3"/>
  <c r="E640" i="3" s="1"/>
  <c r="F640" i="3" s="1"/>
  <c r="T640" i="3"/>
  <c r="Q640" i="3"/>
  <c r="R640" i="3" s="1"/>
  <c r="S640" i="3" s="1"/>
  <c r="Y640" i="3" l="1"/>
  <c r="O641" i="3"/>
  <c r="L640" i="3"/>
  <c r="B641" i="3"/>
  <c r="B261" i="4"/>
  <c r="B79" i="4"/>
  <c r="B261" i="3"/>
  <c r="U640" i="3"/>
  <c r="D61" i="3"/>
  <c r="G641" i="4"/>
  <c r="D641" i="4"/>
  <c r="E641" i="4" s="1"/>
  <c r="F641" i="4" s="1"/>
  <c r="B80" i="3"/>
  <c r="T641" i="4"/>
  <c r="Q641" i="4"/>
  <c r="R641" i="4" s="1"/>
  <c r="S641" i="4" s="1"/>
  <c r="H640" i="3"/>
  <c r="D243" i="3"/>
  <c r="Y641" i="4" l="1"/>
  <c r="O642" i="4"/>
  <c r="L641" i="4"/>
  <c r="B642" i="4"/>
  <c r="B80" i="4"/>
  <c r="B262" i="4"/>
  <c r="B262" i="3"/>
  <c r="G641" i="3"/>
  <c r="D641" i="3"/>
  <c r="E641" i="3" s="1"/>
  <c r="F641" i="3" s="1"/>
  <c r="H641" i="4"/>
  <c r="D244" i="4"/>
  <c r="U641" i="4"/>
  <c r="D62" i="4"/>
  <c r="T641" i="3"/>
  <c r="Q641" i="3"/>
  <c r="R641" i="3" s="1"/>
  <c r="S641" i="3" s="1"/>
  <c r="B81" i="3"/>
  <c r="Y641" i="3" l="1"/>
  <c r="O642" i="3"/>
  <c r="B642" i="3"/>
  <c r="L641" i="3"/>
  <c r="B263" i="3"/>
  <c r="B82" i="3"/>
  <c r="G642" i="4"/>
  <c r="D642" i="4"/>
  <c r="E642" i="4" s="1"/>
  <c r="F642" i="4" s="1"/>
  <c r="U641" i="3"/>
  <c r="D62" i="3"/>
  <c r="H641" i="3"/>
  <c r="D244" i="3"/>
  <c r="B263" i="4"/>
  <c r="B81" i="4"/>
  <c r="T642" i="4"/>
  <c r="Q642" i="4"/>
  <c r="R642" i="4" s="1"/>
  <c r="S642" i="4" s="1"/>
  <c r="Y642" i="4" l="1"/>
  <c r="O643" i="4"/>
  <c r="B643" i="4"/>
  <c r="L642" i="4"/>
  <c r="B264" i="3"/>
  <c r="B83" i="3"/>
  <c r="B264" i="4"/>
  <c r="H642" i="4"/>
  <c r="D245" i="4"/>
  <c r="U642" i="4"/>
  <c r="D63" i="4"/>
  <c r="G642" i="3"/>
  <c r="F642" i="3"/>
  <c r="D642" i="3"/>
  <c r="E642" i="3" s="1"/>
  <c r="B82" i="4"/>
  <c r="T642" i="3"/>
  <c r="Q642" i="3"/>
  <c r="R642" i="3" s="1"/>
  <c r="S642" i="3" s="1"/>
  <c r="O643" i="3" l="1"/>
  <c r="Y642" i="3"/>
  <c r="B265" i="4"/>
  <c r="H642" i="3"/>
  <c r="D245" i="3"/>
  <c r="B84" i="3"/>
  <c r="T643" i="4"/>
  <c r="Q643" i="4"/>
  <c r="R643" i="4" s="1"/>
  <c r="S643" i="4" s="1"/>
  <c r="B643" i="3"/>
  <c r="L642" i="3"/>
  <c r="B265" i="3"/>
  <c r="U642" i="3"/>
  <c r="D63" i="3"/>
  <c r="B83" i="4"/>
  <c r="G643" i="4"/>
  <c r="D643" i="4"/>
  <c r="E643" i="4" s="1"/>
  <c r="F643" i="4" s="1"/>
  <c r="L643" i="4" l="1"/>
  <c r="B644" i="4"/>
  <c r="O644" i="4"/>
  <c r="Y643" i="4"/>
  <c r="B266" i="3"/>
  <c r="G643" i="3"/>
  <c r="D643" i="3"/>
  <c r="E643" i="3" s="1"/>
  <c r="F643" i="3" s="1"/>
  <c r="H643" i="4"/>
  <c r="D246" i="4"/>
  <c r="B266" i="4"/>
  <c r="U643" i="4"/>
  <c r="D64" i="4"/>
  <c r="B85" i="3"/>
  <c r="B84" i="4"/>
  <c r="T643" i="3"/>
  <c r="Q643" i="3"/>
  <c r="R643" i="3" s="1"/>
  <c r="S643" i="3" s="1"/>
  <c r="O644" i="3" l="1"/>
  <c r="Y643" i="3"/>
  <c r="L643" i="3"/>
  <c r="B644" i="3"/>
  <c r="B86" i="3"/>
  <c r="B267" i="4"/>
  <c r="H643" i="3"/>
  <c r="D246" i="3"/>
  <c r="U643" i="3"/>
  <c r="D64" i="3"/>
  <c r="B85" i="4"/>
  <c r="B267" i="3"/>
  <c r="T644" i="4"/>
  <c r="Q644" i="4"/>
  <c r="R644" i="4" s="1"/>
  <c r="S644" i="4" s="1"/>
  <c r="G644" i="4"/>
  <c r="D644" i="4"/>
  <c r="E644" i="4" s="1"/>
  <c r="F644" i="4" s="1"/>
  <c r="L644" i="4" l="1"/>
  <c r="B645" i="4"/>
  <c r="Y644" i="4"/>
  <c r="O645" i="4"/>
  <c r="B86" i="4"/>
  <c r="G644" i="3"/>
  <c r="D644" i="3"/>
  <c r="E644" i="3" s="1"/>
  <c r="F644" i="3" s="1"/>
  <c r="B268" i="3"/>
  <c r="B268" i="4"/>
  <c r="B87" i="3"/>
  <c r="H644" i="4"/>
  <c r="D247" i="4"/>
  <c r="U644" i="4"/>
  <c r="D65" i="4"/>
  <c r="T644" i="3"/>
  <c r="Q644" i="3"/>
  <c r="R644" i="3" s="1"/>
  <c r="S644" i="3" s="1"/>
  <c r="Y644" i="3" l="1"/>
  <c r="O645" i="3"/>
  <c r="B645" i="3"/>
  <c r="L644" i="3"/>
  <c r="B88" i="3"/>
  <c r="H644" i="3"/>
  <c r="D247" i="3"/>
  <c r="B269" i="4"/>
  <c r="B269" i="3"/>
  <c r="B87" i="4"/>
  <c r="U644" i="3"/>
  <c r="D65" i="3"/>
  <c r="T645" i="4"/>
  <c r="S645" i="4"/>
  <c r="Q645" i="4"/>
  <c r="R645" i="4" s="1"/>
  <c r="G645" i="4"/>
  <c r="D645" i="4"/>
  <c r="E645" i="4" s="1"/>
  <c r="F645" i="4" s="1"/>
  <c r="B646" i="4" l="1"/>
  <c r="L645" i="4"/>
  <c r="B270" i="4"/>
  <c r="B88" i="4"/>
  <c r="H645" i="4"/>
  <c r="D248" i="4"/>
  <c r="Y645" i="4"/>
  <c r="O646" i="4"/>
  <c r="T645" i="3"/>
  <c r="Q645" i="3"/>
  <c r="R645" i="3" s="1"/>
  <c r="S645" i="3" s="1"/>
  <c r="B270" i="3"/>
  <c r="B89" i="3"/>
  <c r="G645" i="3"/>
  <c r="D645" i="3"/>
  <c r="E645" i="3" s="1"/>
  <c r="F645" i="3" s="1"/>
  <c r="U645" i="4"/>
  <c r="D66" i="4"/>
  <c r="L645" i="3" l="1"/>
  <c r="B646" i="3"/>
  <c r="O646" i="3"/>
  <c r="Y645" i="3"/>
  <c r="T646" i="4"/>
  <c r="Q646" i="4"/>
  <c r="R646" i="4" s="1"/>
  <c r="S646" i="4" s="1"/>
  <c r="B89" i="4"/>
  <c r="D89" i="3"/>
  <c r="B90" i="3"/>
  <c r="B271" i="3"/>
  <c r="U645" i="3"/>
  <c r="D66" i="3"/>
  <c r="B271" i="4"/>
  <c r="H645" i="3"/>
  <c r="D248" i="3"/>
  <c r="G646" i="4"/>
  <c r="D646" i="4"/>
  <c r="E646" i="4" s="1"/>
  <c r="F646" i="4" s="1"/>
  <c r="O647" i="4" l="1"/>
  <c r="Y646" i="4"/>
  <c r="L646" i="4"/>
  <c r="B647" i="4"/>
  <c r="B272" i="3"/>
  <c r="D271" i="3"/>
  <c r="H646" i="4"/>
  <c r="D249" i="4"/>
  <c r="D90" i="3"/>
  <c r="B91" i="3"/>
  <c r="D89" i="4"/>
  <c r="B90" i="4"/>
  <c r="U646" i="4"/>
  <c r="D67" i="4"/>
  <c r="S646" i="3"/>
  <c r="T646" i="3"/>
  <c r="Q646" i="3"/>
  <c r="R646" i="3" s="1"/>
  <c r="G646" i="3"/>
  <c r="D646" i="3"/>
  <c r="E646" i="3" s="1"/>
  <c r="F646" i="3" s="1"/>
  <c r="B272" i="4"/>
  <c r="D271" i="4"/>
  <c r="L646" i="3" l="1"/>
  <c r="B647" i="3"/>
  <c r="O647" i="3"/>
  <c r="Y646" i="3"/>
  <c r="B92" i="3"/>
  <c r="D91" i="3"/>
  <c r="D272" i="3"/>
  <c r="B273" i="3"/>
  <c r="H646" i="3"/>
  <c r="D249" i="3"/>
  <c r="U646" i="3"/>
  <c r="D67" i="3"/>
  <c r="B91" i="4"/>
  <c r="D90" i="4"/>
  <c r="D272" i="4"/>
  <c r="B273" i="4"/>
  <c r="G647" i="4"/>
  <c r="D647" i="4"/>
  <c r="E647" i="4" s="1"/>
  <c r="F647" i="4" s="1"/>
  <c r="T647" i="4"/>
  <c r="Q647" i="4"/>
  <c r="R647" i="4" s="1"/>
  <c r="S647" i="4" s="1"/>
  <c r="Y647" i="4" l="1"/>
  <c r="O648" i="4"/>
  <c r="L647" i="4"/>
  <c r="B648" i="4"/>
  <c r="D273" i="4"/>
  <c r="B274" i="4"/>
  <c r="D273" i="3"/>
  <c r="B274" i="3"/>
  <c r="U647" i="4"/>
  <c r="D68" i="4"/>
  <c r="G647" i="3"/>
  <c r="D647" i="3"/>
  <c r="E647" i="3" s="1"/>
  <c r="F647" i="3" s="1"/>
  <c r="D91" i="4"/>
  <c r="B92" i="4"/>
  <c r="D92" i="3"/>
  <c r="B93" i="3"/>
  <c r="T647" i="3"/>
  <c r="Q647" i="3"/>
  <c r="R647" i="3" s="1"/>
  <c r="S647" i="3" s="1"/>
  <c r="H647" i="4"/>
  <c r="D250" i="4"/>
  <c r="B648" i="3" l="1"/>
  <c r="L647" i="3"/>
  <c r="Y647" i="3"/>
  <c r="O648" i="3"/>
  <c r="D92" i="4"/>
  <c r="B93" i="4"/>
  <c r="H647" i="3"/>
  <c r="D250" i="3"/>
  <c r="B275" i="3"/>
  <c r="D274" i="3"/>
  <c r="U647" i="3"/>
  <c r="D68" i="3"/>
  <c r="B275" i="4"/>
  <c r="D274" i="4"/>
  <c r="G648" i="4"/>
  <c r="F648" i="4"/>
  <c r="D648" i="4"/>
  <c r="E648" i="4" s="1"/>
  <c r="T648" i="4"/>
  <c r="S648" i="4"/>
  <c r="Q648" i="4"/>
  <c r="R648" i="4" s="1"/>
  <c r="D93" i="3"/>
  <c r="B94" i="3"/>
  <c r="H648" i="4" l="1"/>
  <c r="D251" i="4"/>
  <c r="Y648" i="4"/>
  <c r="O649" i="4"/>
  <c r="B649" i="4"/>
  <c r="L648" i="4"/>
  <c r="B276" i="4"/>
  <c r="D275" i="4"/>
  <c r="D275" i="3"/>
  <c r="B276" i="3"/>
  <c r="B95" i="3"/>
  <c r="D94" i="3"/>
  <c r="B94" i="4"/>
  <c r="D93" i="4"/>
  <c r="T648" i="3"/>
  <c r="S648" i="3"/>
  <c r="Q648" i="3"/>
  <c r="R648" i="3" s="1"/>
  <c r="U648" i="4"/>
  <c r="D69" i="4"/>
  <c r="G648" i="3"/>
  <c r="D648" i="3"/>
  <c r="E648" i="3" s="1"/>
  <c r="F648" i="3" s="1"/>
  <c r="B649" i="3" l="1"/>
  <c r="L648" i="3"/>
  <c r="D95" i="3"/>
  <c r="B96" i="3"/>
  <c r="D276" i="4"/>
  <c r="B277" i="4"/>
  <c r="Y648" i="3"/>
  <c r="O649" i="3"/>
  <c r="D276" i="3"/>
  <c r="B277" i="3"/>
  <c r="G649" i="4"/>
  <c r="D649" i="4"/>
  <c r="E649" i="4" s="1"/>
  <c r="F649" i="4" s="1"/>
  <c r="T649" i="4"/>
  <c r="Q649" i="4"/>
  <c r="R649" i="4" s="1"/>
  <c r="S649" i="4" s="1"/>
  <c r="U648" i="3"/>
  <c r="D69" i="3"/>
  <c r="D94" i="4"/>
  <c r="B95" i="4"/>
  <c r="H648" i="3"/>
  <c r="D251" i="3"/>
  <c r="O650" i="4" l="1"/>
  <c r="Y649" i="4"/>
  <c r="L649" i="4"/>
  <c r="B650" i="4"/>
  <c r="T649" i="3"/>
  <c r="Q649" i="3"/>
  <c r="R649" i="3" s="1"/>
  <c r="S649" i="3" s="1"/>
  <c r="U649" i="4"/>
  <c r="D70" i="4"/>
  <c r="H649" i="4"/>
  <c r="D252" i="4"/>
  <c r="D95" i="4"/>
  <c r="B96" i="4"/>
  <c r="D96" i="3"/>
  <c r="B97" i="3"/>
  <c r="B278" i="3"/>
  <c r="D277" i="3"/>
  <c r="D277" i="4"/>
  <c r="B278" i="4"/>
  <c r="G649" i="3"/>
  <c r="D649" i="3"/>
  <c r="E649" i="3" s="1"/>
  <c r="F649" i="3" s="1"/>
  <c r="O650" i="3" l="1"/>
  <c r="Y649" i="3"/>
  <c r="L649" i="3"/>
  <c r="B650" i="3"/>
  <c r="B98" i="3"/>
  <c r="D97" i="3"/>
  <c r="D278" i="3"/>
  <c r="B279" i="3"/>
  <c r="B97" i="4"/>
  <c r="D96" i="4"/>
  <c r="U649" i="3"/>
  <c r="D70" i="3"/>
  <c r="B279" i="4"/>
  <c r="D278" i="4"/>
  <c r="H649" i="3"/>
  <c r="D252" i="3"/>
  <c r="G650" i="4"/>
  <c r="D650" i="4"/>
  <c r="E650" i="4" s="1"/>
  <c r="F650" i="4" s="1"/>
  <c r="T650" i="4"/>
  <c r="Q650" i="4"/>
  <c r="R650" i="4" s="1"/>
  <c r="S650" i="4" s="1"/>
  <c r="O651" i="4" l="1"/>
  <c r="Y650" i="4"/>
  <c r="L650" i="4"/>
  <c r="B651" i="4"/>
  <c r="D279" i="4"/>
  <c r="B280" i="4"/>
  <c r="D279" i="3"/>
  <c r="B280" i="3"/>
  <c r="G650" i="3"/>
  <c r="D650" i="3"/>
  <c r="E650" i="3" s="1"/>
  <c r="F650" i="3" s="1"/>
  <c r="D97" i="4"/>
  <c r="B98" i="4"/>
  <c r="D98" i="3"/>
  <c r="B99" i="3"/>
  <c r="U650" i="4"/>
  <c r="D71" i="4"/>
  <c r="H650" i="4"/>
  <c r="D253" i="4"/>
  <c r="T650" i="3"/>
  <c r="Q650" i="3"/>
  <c r="R650" i="3" s="1"/>
  <c r="S650" i="3" s="1"/>
  <c r="L650" i="3" l="1"/>
  <c r="B651" i="3"/>
  <c r="Y650" i="3"/>
  <c r="O651" i="3"/>
  <c r="D98" i="4"/>
  <c r="B99" i="4"/>
  <c r="H650" i="3"/>
  <c r="D253" i="3"/>
  <c r="D99" i="3"/>
  <c r="B100" i="3"/>
  <c r="B281" i="3"/>
  <c r="D280" i="3"/>
  <c r="B281" i="4"/>
  <c r="D280" i="4"/>
  <c r="U650" i="3"/>
  <c r="D71" i="3"/>
  <c r="G651" i="4"/>
  <c r="D651" i="4"/>
  <c r="E651" i="4" s="1"/>
  <c r="F651" i="4" s="1"/>
  <c r="T651" i="4"/>
  <c r="Q651" i="4"/>
  <c r="R651" i="4" s="1"/>
  <c r="S651" i="4" s="1"/>
  <c r="O652" i="4" l="1"/>
  <c r="Y651" i="4"/>
  <c r="L651" i="4"/>
  <c r="B652" i="4"/>
  <c r="B282" i="4"/>
  <c r="D281" i="4"/>
  <c r="B282" i="3"/>
  <c r="D281" i="3"/>
  <c r="B101" i="3"/>
  <c r="D100" i="3"/>
  <c r="B100" i="4"/>
  <c r="D99" i="4"/>
  <c r="T651" i="3"/>
  <c r="Q651" i="3"/>
  <c r="R651" i="3" s="1"/>
  <c r="S651" i="3" s="1"/>
  <c r="U651" i="4"/>
  <c r="D72" i="4"/>
  <c r="G651" i="3"/>
  <c r="D651" i="3"/>
  <c r="E651" i="3" s="1"/>
  <c r="F651" i="3" s="1"/>
  <c r="H651" i="4"/>
  <c r="D254" i="4"/>
  <c r="Y651" i="3" l="1"/>
  <c r="O652" i="3"/>
  <c r="B652" i="3"/>
  <c r="L651" i="3"/>
  <c r="D282" i="3"/>
  <c r="B283" i="3"/>
  <c r="D100" i="4"/>
  <c r="B101" i="4"/>
  <c r="B102" i="3"/>
  <c r="D101" i="3"/>
  <c r="D282" i="4"/>
  <c r="B283" i="4"/>
  <c r="H651" i="3"/>
  <c r="D254" i="3"/>
  <c r="U651" i="3"/>
  <c r="D72" i="3"/>
  <c r="G652" i="4"/>
  <c r="D652" i="4"/>
  <c r="E652" i="4" s="1"/>
  <c r="F652" i="4" s="1"/>
  <c r="T652" i="4"/>
  <c r="Q652" i="4"/>
  <c r="R652" i="4" s="1"/>
  <c r="S652" i="4" s="1"/>
  <c r="Y652" i="4" l="1"/>
  <c r="O653" i="4"/>
  <c r="B653" i="4"/>
  <c r="L652" i="4"/>
  <c r="B102" i="4"/>
  <c r="D101" i="4"/>
  <c r="D283" i="3"/>
  <c r="B284" i="3"/>
  <c r="U652" i="4"/>
  <c r="D73" i="4"/>
  <c r="D283" i="4"/>
  <c r="B284" i="4"/>
  <c r="D102" i="3"/>
  <c r="B103" i="3"/>
  <c r="G652" i="3"/>
  <c r="F652" i="3"/>
  <c r="D652" i="3"/>
  <c r="E652" i="3" s="1"/>
  <c r="T652" i="3"/>
  <c r="Q652" i="3"/>
  <c r="R652" i="3" s="1"/>
  <c r="S652" i="3" s="1"/>
  <c r="H652" i="4"/>
  <c r="D255" i="4"/>
  <c r="O653" i="3" l="1"/>
  <c r="Y652" i="3"/>
  <c r="L652" i="3"/>
  <c r="B653" i="3"/>
  <c r="H652" i="3"/>
  <c r="D255" i="3"/>
  <c r="B104" i="3"/>
  <c r="D103" i="3"/>
  <c r="B285" i="4"/>
  <c r="D284" i="4"/>
  <c r="B285" i="3"/>
  <c r="D284" i="3"/>
  <c r="B103" i="4"/>
  <c r="D102" i="4"/>
  <c r="S653" i="4"/>
  <c r="T653" i="4"/>
  <c r="Q653" i="4"/>
  <c r="R653" i="4" s="1"/>
  <c r="G653" i="4"/>
  <c r="D653" i="4"/>
  <c r="E653" i="4" s="1"/>
  <c r="F653" i="4" s="1"/>
  <c r="U652" i="3"/>
  <c r="D73" i="3"/>
  <c r="L653" i="4" l="1"/>
  <c r="B654" i="4"/>
  <c r="U653" i="4"/>
  <c r="D74" i="4"/>
  <c r="D285" i="4"/>
  <c r="B286" i="4"/>
  <c r="D103" i="4"/>
  <c r="B104" i="4"/>
  <c r="B105" i="3"/>
  <c r="D104" i="3"/>
  <c r="H653" i="4"/>
  <c r="D256" i="4"/>
  <c r="O654" i="4"/>
  <c r="Y653" i="4"/>
  <c r="D285" i="3"/>
  <c r="B286" i="3"/>
  <c r="G653" i="3"/>
  <c r="D653" i="3"/>
  <c r="E653" i="3" s="1"/>
  <c r="F653" i="3" s="1"/>
  <c r="T653" i="3"/>
  <c r="Q653" i="3"/>
  <c r="R653" i="3" s="1"/>
  <c r="S653" i="3" s="1"/>
  <c r="O654" i="3" l="1"/>
  <c r="Y653" i="3"/>
  <c r="L653" i="3"/>
  <c r="B654" i="3"/>
  <c r="D105" i="3"/>
  <c r="B106" i="3"/>
  <c r="D286" i="4"/>
  <c r="B287" i="4"/>
  <c r="D286" i="3"/>
  <c r="B287" i="3"/>
  <c r="T654" i="4"/>
  <c r="Q654" i="4"/>
  <c r="R654" i="4" s="1"/>
  <c r="S654" i="4" s="1"/>
  <c r="D104" i="4"/>
  <c r="B105" i="4"/>
  <c r="U653" i="3"/>
  <c r="D74" i="3"/>
  <c r="G654" i="4"/>
  <c r="D654" i="4"/>
  <c r="E654" i="4" s="1"/>
  <c r="F654" i="4" s="1"/>
  <c r="H653" i="3"/>
  <c r="D256" i="3"/>
  <c r="O655" i="4" l="1"/>
  <c r="Y654" i="4"/>
  <c r="L654" i="4"/>
  <c r="B655" i="4"/>
  <c r="D105" i="4"/>
  <c r="B106" i="4"/>
  <c r="D106" i="3"/>
  <c r="B107" i="3"/>
  <c r="U654" i="4"/>
  <c r="D75" i="4"/>
  <c r="D287" i="3"/>
  <c r="B288" i="3"/>
  <c r="B288" i="4"/>
  <c r="D287" i="4"/>
  <c r="G654" i="3"/>
  <c r="F654" i="3"/>
  <c r="D654" i="3"/>
  <c r="E654" i="3" s="1"/>
  <c r="H654" i="4"/>
  <c r="D257" i="4"/>
  <c r="T654" i="3"/>
  <c r="Q654" i="3"/>
  <c r="R654" i="3" s="1"/>
  <c r="S654" i="3" s="1"/>
  <c r="Y654" i="3" l="1"/>
  <c r="O655" i="3"/>
  <c r="B655" i="3"/>
  <c r="L654" i="3"/>
  <c r="D288" i="3"/>
  <c r="B289" i="3"/>
  <c r="H654" i="3"/>
  <c r="D257" i="3"/>
  <c r="B108" i="3"/>
  <c r="D107" i="3"/>
  <c r="G655" i="4"/>
  <c r="D655" i="4"/>
  <c r="E655" i="4" s="1"/>
  <c r="F655" i="4" s="1"/>
  <c r="D288" i="4"/>
  <c r="B289" i="4"/>
  <c r="B107" i="4"/>
  <c r="D106" i="4"/>
  <c r="U654" i="3"/>
  <c r="D75" i="3"/>
  <c r="T655" i="4"/>
  <c r="Q655" i="4"/>
  <c r="R655" i="4" s="1"/>
  <c r="S655" i="4" s="1"/>
  <c r="L655" i="4" l="1"/>
  <c r="B656" i="4"/>
  <c r="O656" i="4"/>
  <c r="Y655" i="4"/>
  <c r="D289" i="4"/>
  <c r="B290" i="4"/>
  <c r="H655" i="4"/>
  <c r="D258" i="4"/>
  <c r="B290" i="3"/>
  <c r="D289" i="3"/>
  <c r="B108" i="4"/>
  <c r="D107" i="4"/>
  <c r="D108" i="3"/>
  <c r="B109" i="3"/>
  <c r="U655" i="4"/>
  <c r="D76" i="4"/>
  <c r="G655" i="3"/>
  <c r="F655" i="3"/>
  <c r="D655" i="3"/>
  <c r="E655" i="3" s="1"/>
  <c r="T655" i="3"/>
  <c r="Q655" i="3"/>
  <c r="R655" i="3" s="1"/>
  <c r="S655" i="3" s="1"/>
  <c r="O656" i="3" l="1"/>
  <c r="Y655" i="3"/>
  <c r="D109" i="3"/>
  <c r="B110" i="3"/>
  <c r="D108" i="4"/>
  <c r="B109" i="4"/>
  <c r="L655" i="3"/>
  <c r="B656" i="3"/>
  <c r="D290" i="3"/>
  <c r="B291" i="3"/>
  <c r="B291" i="4"/>
  <c r="D290" i="4"/>
  <c r="U655" i="3"/>
  <c r="D76" i="3"/>
  <c r="T656" i="4"/>
  <c r="S656" i="4"/>
  <c r="Q656" i="4"/>
  <c r="R656" i="4" s="1"/>
  <c r="G656" i="4"/>
  <c r="D656" i="4"/>
  <c r="E656" i="4" s="1"/>
  <c r="F656" i="4" s="1"/>
  <c r="H655" i="3"/>
  <c r="D258" i="3"/>
  <c r="L656" i="4" l="1"/>
  <c r="B657" i="4"/>
  <c r="Y656" i="4"/>
  <c r="O657" i="4"/>
  <c r="U656" i="4"/>
  <c r="D77" i="4"/>
  <c r="D291" i="3"/>
  <c r="B292" i="3"/>
  <c r="G656" i="3"/>
  <c r="D656" i="3"/>
  <c r="E656" i="3" s="1"/>
  <c r="F656" i="3" s="1"/>
  <c r="B111" i="3"/>
  <c r="D110" i="3"/>
  <c r="B292" i="4"/>
  <c r="D291" i="4"/>
  <c r="B110" i="4"/>
  <c r="D109" i="4"/>
  <c r="H656" i="4"/>
  <c r="D259" i="4"/>
  <c r="T656" i="3"/>
  <c r="Q656" i="3"/>
  <c r="R656" i="3" s="1"/>
  <c r="S656" i="3" s="1"/>
  <c r="L656" i="3" l="1"/>
  <c r="B657" i="3"/>
  <c r="Y656" i="3"/>
  <c r="O657" i="3"/>
  <c r="H656" i="3"/>
  <c r="D259" i="3"/>
  <c r="D292" i="4"/>
  <c r="B293" i="4"/>
  <c r="D111" i="3"/>
  <c r="B112" i="3"/>
  <c r="D292" i="3"/>
  <c r="B293" i="3"/>
  <c r="D110" i="4"/>
  <c r="B111" i="4"/>
  <c r="U656" i="3"/>
  <c r="D77" i="3"/>
  <c r="T657" i="4"/>
  <c r="Q657" i="4"/>
  <c r="R657" i="4" s="1"/>
  <c r="S657" i="4" s="1"/>
  <c r="G657" i="4"/>
  <c r="D657" i="4"/>
  <c r="E657" i="4" s="1"/>
  <c r="F657" i="4" s="1"/>
  <c r="L657" i="4" l="1"/>
  <c r="B658" i="4"/>
  <c r="O658" i="4"/>
  <c r="Y657" i="4"/>
  <c r="D111" i="4"/>
  <c r="B112" i="4"/>
  <c r="D112" i="3"/>
  <c r="B113" i="3"/>
  <c r="D293" i="4"/>
  <c r="B294" i="4"/>
  <c r="B294" i="3"/>
  <c r="D293" i="3"/>
  <c r="H657" i="4"/>
  <c r="D260" i="4"/>
  <c r="T657" i="3"/>
  <c r="S657" i="3"/>
  <c r="Q657" i="3"/>
  <c r="R657" i="3" s="1"/>
  <c r="U657" i="4"/>
  <c r="D78" i="4"/>
  <c r="G657" i="3"/>
  <c r="D657" i="3"/>
  <c r="E657" i="3" s="1"/>
  <c r="F657" i="3" s="1"/>
  <c r="B658" i="3" l="1"/>
  <c r="L657" i="3"/>
  <c r="U657" i="3"/>
  <c r="D78" i="3"/>
  <c r="B113" i="4"/>
  <c r="D112" i="4"/>
  <c r="Y657" i="3"/>
  <c r="O658" i="3"/>
  <c r="B295" i="4"/>
  <c r="D294" i="4"/>
  <c r="H657" i="3"/>
  <c r="D260" i="3"/>
  <c r="G658" i="4"/>
  <c r="D658" i="4"/>
  <c r="E658" i="4" s="1"/>
  <c r="F658" i="4" s="1"/>
  <c r="D294" i="3"/>
  <c r="B295" i="3"/>
  <c r="B114" i="3"/>
  <c r="D113" i="3"/>
  <c r="T658" i="4"/>
  <c r="Q658" i="4"/>
  <c r="R658" i="4" s="1"/>
  <c r="S658" i="4" s="1"/>
  <c r="L658" i="4" l="1"/>
  <c r="B659" i="4"/>
  <c r="O659" i="4"/>
  <c r="Y658" i="4"/>
  <c r="T658" i="3"/>
  <c r="Q658" i="3"/>
  <c r="R658" i="3" s="1"/>
  <c r="S658" i="3" s="1"/>
  <c r="U658" i="4"/>
  <c r="D79" i="4"/>
  <c r="H658" i="4"/>
  <c r="D261" i="4"/>
  <c r="D295" i="4"/>
  <c r="B296" i="4"/>
  <c r="D113" i="4"/>
  <c r="B114" i="4"/>
  <c r="D114" i="3"/>
  <c r="B115" i="3"/>
  <c r="D295" i="3"/>
  <c r="B296" i="3"/>
  <c r="G658" i="3"/>
  <c r="D658" i="3"/>
  <c r="E658" i="3" s="1"/>
  <c r="F658" i="3" s="1"/>
  <c r="O659" i="3" l="1"/>
  <c r="Y658" i="3"/>
  <c r="L658" i="3"/>
  <c r="B659" i="3"/>
  <c r="D114" i="4"/>
  <c r="B115" i="4"/>
  <c r="D296" i="4"/>
  <c r="B297" i="4"/>
  <c r="U658" i="3"/>
  <c r="D79" i="3"/>
  <c r="H658" i="3"/>
  <c r="D261" i="3"/>
  <c r="B297" i="3"/>
  <c r="D296" i="3"/>
  <c r="T659" i="4"/>
  <c r="S659" i="4"/>
  <c r="Q659" i="4"/>
  <c r="R659" i="4" s="1"/>
  <c r="G659" i="4"/>
  <c r="D659" i="4"/>
  <c r="E659" i="4" s="1"/>
  <c r="F659" i="4" s="1"/>
  <c r="D115" i="3"/>
  <c r="B116" i="3"/>
  <c r="L659" i="4" l="1"/>
  <c r="B660" i="4"/>
  <c r="D297" i="3"/>
  <c r="B298" i="3"/>
  <c r="U659" i="4"/>
  <c r="D80" i="4"/>
  <c r="B117" i="3"/>
  <c r="D116" i="3"/>
  <c r="G659" i="3"/>
  <c r="D659" i="3"/>
  <c r="E659" i="3" s="1"/>
  <c r="F659" i="3" s="1"/>
  <c r="Y659" i="4"/>
  <c r="O660" i="4"/>
  <c r="B298" i="4"/>
  <c r="D297" i="4"/>
  <c r="B116" i="4"/>
  <c r="D115" i="4"/>
  <c r="H659" i="4"/>
  <c r="D262" i="4"/>
  <c r="T659" i="3"/>
  <c r="Q659" i="3"/>
  <c r="R659" i="3" s="1"/>
  <c r="S659" i="3" s="1"/>
  <c r="L659" i="3" l="1"/>
  <c r="B660" i="3"/>
  <c r="Y659" i="3"/>
  <c r="O660" i="3"/>
  <c r="D116" i="4"/>
  <c r="B117" i="4"/>
  <c r="H659" i="3"/>
  <c r="D262" i="3"/>
  <c r="T660" i="4"/>
  <c r="Q660" i="4"/>
  <c r="R660" i="4" s="1"/>
  <c r="S660" i="4" s="1"/>
  <c r="B118" i="3"/>
  <c r="D117" i="3"/>
  <c r="D298" i="4"/>
  <c r="B299" i="4"/>
  <c r="U659" i="3"/>
  <c r="D80" i="3"/>
  <c r="B299" i="3"/>
  <c r="D298" i="3"/>
  <c r="G660" i="4"/>
  <c r="D660" i="4"/>
  <c r="E660" i="4" s="1"/>
  <c r="F660" i="4" s="1"/>
  <c r="O661" i="4" l="1"/>
  <c r="Y660" i="4"/>
  <c r="L660" i="4"/>
  <c r="B661" i="4"/>
  <c r="D118" i="3"/>
  <c r="B119" i="3"/>
  <c r="D299" i="4"/>
  <c r="B300" i="4"/>
  <c r="U660" i="4"/>
  <c r="D81" i="4"/>
  <c r="D117" i="4"/>
  <c r="B118" i="4"/>
  <c r="H660" i="4"/>
  <c r="D263" i="4"/>
  <c r="T660" i="3"/>
  <c r="S660" i="3"/>
  <c r="Q660" i="3"/>
  <c r="R660" i="3" s="1"/>
  <c r="B300" i="3"/>
  <c r="D299" i="3"/>
  <c r="G660" i="3"/>
  <c r="D660" i="3"/>
  <c r="E660" i="3" s="1"/>
  <c r="F660" i="3" s="1"/>
  <c r="B661" i="3" l="1"/>
  <c r="L660" i="3"/>
  <c r="U660" i="3"/>
  <c r="D81" i="3"/>
  <c r="B119" i="4"/>
  <c r="D118" i="4"/>
  <c r="B301" i="4"/>
  <c r="D300" i="4"/>
  <c r="B301" i="3"/>
  <c r="D300" i="3"/>
  <c r="Y660" i="3"/>
  <c r="O661" i="3"/>
  <c r="D119" i="3"/>
  <c r="B120" i="3"/>
  <c r="H660" i="3"/>
  <c r="D263" i="3"/>
  <c r="G661" i="4"/>
  <c r="D661" i="4"/>
  <c r="E661" i="4" s="1"/>
  <c r="F661" i="4" s="1"/>
  <c r="T661" i="4"/>
  <c r="Q661" i="4"/>
  <c r="R661" i="4" s="1"/>
  <c r="S661" i="4" s="1"/>
  <c r="O662" i="4" l="1"/>
  <c r="Y661" i="4"/>
  <c r="L661" i="4"/>
  <c r="B662" i="4"/>
  <c r="B121" i="3"/>
  <c r="D120" i="3"/>
  <c r="D301" i="4"/>
  <c r="B302" i="4"/>
  <c r="D301" i="3"/>
  <c r="B302" i="3"/>
  <c r="D119" i="4"/>
  <c r="B120" i="4"/>
  <c r="T661" i="3"/>
  <c r="Q661" i="3"/>
  <c r="R661" i="3" s="1"/>
  <c r="S661" i="3" s="1"/>
  <c r="U661" i="4"/>
  <c r="D82" i="4"/>
  <c r="H661" i="4"/>
  <c r="D264" i="4"/>
  <c r="G661" i="3"/>
  <c r="D661" i="3"/>
  <c r="E661" i="3" s="1"/>
  <c r="F661" i="3" s="1"/>
  <c r="O662" i="3" l="1"/>
  <c r="Y661" i="3"/>
  <c r="L661" i="3"/>
  <c r="B662" i="3"/>
  <c r="U661" i="3"/>
  <c r="D82" i="3"/>
  <c r="D121" i="3"/>
  <c r="B122" i="3"/>
  <c r="D120" i="4"/>
  <c r="B121" i="4"/>
  <c r="B303" i="3"/>
  <c r="D302" i="3"/>
  <c r="D302" i="4"/>
  <c r="B303" i="4"/>
  <c r="H661" i="3"/>
  <c r="D264" i="3"/>
  <c r="G662" i="4"/>
  <c r="D662" i="4"/>
  <c r="E662" i="4" s="1"/>
  <c r="F662" i="4" s="1"/>
  <c r="T662" i="4"/>
  <c r="Q662" i="4"/>
  <c r="R662" i="4" s="1"/>
  <c r="S662" i="4" s="1"/>
  <c r="Y662" i="4" l="1"/>
  <c r="O663" i="4"/>
  <c r="B663" i="4"/>
  <c r="L662" i="4"/>
  <c r="D303" i="3"/>
  <c r="B304" i="3"/>
  <c r="D122" i="3"/>
  <c r="B123" i="3"/>
  <c r="B304" i="4"/>
  <c r="D303" i="4"/>
  <c r="D121" i="4"/>
  <c r="B122" i="4"/>
  <c r="G662" i="3"/>
  <c r="F662" i="3"/>
  <c r="D662" i="3"/>
  <c r="E662" i="3" s="1"/>
  <c r="U662" i="4"/>
  <c r="D83" i="4"/>
  <c r="H662" i="4"/>
  <c r="D265" i="4"/>
  <c r="T662" i="3"/>
  <c r="Q662" i="3"/>
  <c r="R662" i="3" s="1"/>
  <c r="S662" i="3" s="1"/>
  <c r="Y662" i="3" l="1"/>
  <c r="O663" i="3"/>
  <c r="B123" i="4"/>
  <c r="D122" i="4"/>
  <c r="B124" i="3"/>
  <c r="D123" i="3"/>
  <c r="L662" i="3"/>
  <c r="B663" i="3"/>
  <c r="D304" i="4"/>
  <c r="B305" i="4"/>
  <c r="H662" i="3"/>
  <c r="D265" i="3"/>
  <c r="B305" i="3"/>
  <c r="D304" i="3"/>
  <c r="U662" i="3"/>
  <c r="D83" i="3"/>
  <c r="G663" i="4"/>
  <c r="D663" i="4"/>
  <c r="E663" i="4" s="1"/>
  <c r="F663" i="4" s="1"/>
  <c r="T663" i="4"/>
  <c r="Q663" i="4"/>
  <c r="R663" i="4" s="1"/>
  <c r="S663" i="4" s="1"/>
  <c r="O664" i="4" l="1"/>
  <c r="Y663" i="4"/>
  <c r="L663" i="4"/>
  <c r="B664" i="4"/>
  <c r="B306" i="3"/>
  <c r="D305" i="3"/>
  <c r="D305" i="4"/>
  <c r="B306" i="4"/>
  <c r="G663" i="3"/>
  <c r="D663" i="3"/>
  <c r="E663" i="3" s="1"/>
  <c r="F663" i="3" s="1"/>
  <c r="D124" i="3"/>
  <c r="B125" i="3"/>
  <c r="U663" i="4"/>
  <c r="D84" i="4"/>
  <c r="D123" i="4"/>
  <c r="B124" i="4"/>
  <c r="T663" i="3"/>
  <c r="Q663" i="3"/>
  <c r="R663" i="3" s="1"/>
  <c r="S663" i="3" s="1"/>
  <c r="H663" i="4"/>
  <c r="D266" i="4"/>
  <c r="B664" i="3" l="1"/>
  <c r="L663" i="3"/>
  <c r="Y663" i="3"/>
  <c r="O664" i="3"/>
  <c r="D125" i="3"/>
  <c r="B126" i="3"/>
  <c r="H663" i="3"/>
  <c r="D266" i="3"/>
  <c r="D306" i="3"/>
  <c r="B307" i="3"/>
  <c r="B307" i="4"/>
  <c r="D306" i="4"/>
  <c r="G664" i="4"/>
  <c r="D664" i="4"/>
  <c r="E664" i="4" s="1"/>
  <c r="F664" i="4" s="1"/>
  <c r="U663" i="3"/>
  <c r="D84" i="3"/>
  <c r="D124" i="4"/>
  <c r="B125" i="4"/>
  <c r="T664" i="4"/>
  <c r="Q664" i="4"/>
  <c r="R664" i="4" s="1"/>
  <c r="S664" i="4" s="1"/>
  <c r="L664" i="4" l="1"/>
  <c r="B665" i="4"/>
  <c r="O665" i="4"/>
  <c r="Y664" i="4"/>
  <c r="H664" i="4"/>
  <c r="D267" i="4"/>
  <c r="B308" i="4"/>
  <c r="D307" i="4"/>
  <c r="B127" i="3"/>
  <c r="D126" i="3"/>
  <c r="B126" i="4"/>
  <c r="D125" i="4"/>
  <c r="D307" i="3"/>
  <c r="B308" i="3"/>
  <c r="U664" i="4"/>
  <c r="D85" i="4"/>
  <c r="T664" i="3"/>
  <c r="Q664" i="3"/>
  <c r="R664" i="3" s="1"/>
  <c r="S664" i="3" s="1"/>
  <c r="G664" i="3"/>
  <c r="D664" i="3"/>
  <c r="E664" i="3" s="1"/>
  <c r="F664" i="3" s="1"/>
  <c r="L664" i="3" l="1"/>
  <c r="B665" i="3"/>
  <c r="Y664" i="3"/>
  <c r="O665" i="3"/>
  <c r="B309" i="3"/>
  <c r="D308" i="3"/>
  <c r="D308" i="4"/>
  <c r="B309" i="4"/>
  <c r="D126" i="4"/>
  <c r="B127" i="4"/>
  <c r="D127" i="3"/>
  <c r="B128" i="3"/>
  <c r="G665" i="4"/>
  <c r="D665" i="4"/>
  <c r="E665" i="4" s="1"/>
  <c r="F665" i="4" s="1"/>
  <c r="H664" i="3"/>
  <c r="D267" i="3"/>
  <c r="T665" i="4"/>
  <c r="Q665" i="4"/>
  <c r="R665" i="4" s="1"/>
  <c r="S665" i="4" s="1"/>
  <c r="U664" i="3"/>
  <c r="D85" i="3"/>
  <c r="B666" i="4" l="1"/>
  <c r="L665" i="4"/>
  <c r="O666" i="4"/>
  <c r="Y665" i="4"/>
  <c r="D128" i="3"/>
  <c r="B129" i="3"/>
  <c r="H665" i="4"/>
  <c r="D268" i="4"/>
  <c r="D309" i="4"/>
  <c r="B310" i="4"/>
  <c r="D127" i="4"/>
  <c r="B128" i="4"/>
  <c r="B310" i="3"/>
  <c r="D309" i="3"/>
  <c r="S665" i="3"/>
  <c r="T665" i="3"/>
  <c r="Q665" i="3"/>
  <c r="R665" i="3" s="1"/>
  <c r="U665" i="4"/>
  <c r="D86" i="4"/>
  <c r="G665" i="3"/>
  <c r="F665" i="3"/>
  <c r="D665" i="3"/>
  <c r="E665" i="3" s="1"/>
  <c r="Y665" i="3" l="1"/>
  <c r="O666" i="3"/>
  <c r="B311" i="4"/>
  <c r="D310" i="4"/>
  <c r="L665" i="3"/>
  <c r="B666" i="3"/>
  <c r="U665" i="3"/>
  <c r="D86" i="3"/>
  <c r="D310" i="3"/>
  <c r="B311" i="3"/>
  <c r="B129" i="4"/>
  <c r="D128" i="4"/>
  <c r="B130" i="3"/>
  <c r="D129" i="3"/>
  <c r="H665" i="3"/>
  <c r="D268" i="3"/>
  <c r="T666" i="4"/>
  <c r="Q666" i="4"/>
  <c r="G666" i="4"/>
  <c r="D666" i="4"/>
  <c r="G666" i="3" l="1"/>
  <c r="D666" i="3"/>
  <c r="D130" i="3"/>
  <c r="B131" i="3"/>
  <c r="E666" i="4"/>
  <c r="F666" i="4" s="1"/>
  <c r="P618" i="4"/>
  <c r="D629" i="4"/>
  <c r="D628" i="4" s="1"/>
  <c r="D311" i="4"/>
  <c r="B312" i="4"/>
  <c r="B312" i="3"/>
  <c r="D311" i="3"/>
  <c r="H666" i="4"/>
  <c r="H629" i="4" s="1"/>
  <c r="D269" i="4"/>
  <c r="R666" i="4"/>
  <c r="S666" i="4" s="1"/>
  <c r="Q618" i="4"/>
  <c r="P619" i="4" s="1"/>
  <c r="Q629" i="4"/>
  <c r="T666" i="3"/>
  <c r="Q666" i="3"/>
  <c r="D129" i="4"/>
  <c r="B130" i="4"/>
  <c r="U666" i="4"/>
  <c r="U629" i="4" s="1"/>
  <c r="D87" i="4"/>
  <c r="B313" i="4" l="1"/>
  <c r="D312" i="4"/>
  <c r="B622" i="4"/>
  <c r="H625" i="4"/>
  <c r="B624" i="4"/>
  <c r="O667" i="4"/>
  <c r="Y666" i="4"/>
  <c r="B313" i="3"/>
  <c r="D312" i="3"/>
  <c r="L666" i="4"/>
  <c r="B667" i="4"/>
  <c r="D131" i="3"/>
  <c r="B132" i="3"/>
  <c r="E666" i="3"/>
  <c r="F666" i="3" s="1"/>
  <c r="P618" i="3"/>
  <c r="D629" i="3"/>
  <c r="D628" i="3" s="1"/>
  <c r="D130" i="4"/>
  <c r="B131" i="4"/>
  <c r="R666" i="3"/>
  <c r="S666" i="3" s="1"/>
  <c r="Q618" i="3"/>
  <c r="Q629" i="3"/>
  <c r="U666" i="3"/>
  <c r="U629" i="3" s="1"/>
  <c r="D87" i="3"/>
  <c r="Q628" i="4"/>
  <c r="I625" i="4"/>
  <c r="H666" i="3"/>
  <c r="H629" i="3" s="1"/>
  <c r="D269" i="3"/>
  <c r="L666" i="3" l="1"/>
  <c r="B667" i="3"/>
  <c r="B625" i="4"/>
  <c r="Q628" i="3"/>
  <c r="I625" i="3"/>
  <c r="P619" i="3"/>
  <c r="Y666" i="3"/>
  <c r="O667" i="3"/>
  <c r="B624" i="3"/>
  <c r="B622" i="3"/>
  <c r="H625" i="3"/>
  <c r="T667" i="4"/>
  <c r="D88" i="4" s="1"/>
  <c r="S667" i="4"/>
  <c r="B132" i="4"/>
  <c r="D131" i="4"/>
  <c r="B133" i="3"/>
  <c r="D132" i="3"/>
  <c r="G667" i="4"/>
  <c r="D270" i="4" s="1"/>
  <c r="F667" i="4"/>
  <c r="D313" i="3"/>
  <c r="B314" i="3"/>
  <c r="D313" i="4"/>
  <c r="B314" i="4"/>
  <c r="B625" i="3" l="1"/>
  <c r="B14" i="2"/>
  <c r="O668" i="4"/>
  <c r="Y667" i="4"/>
  <c r="D132" i="4"/>
  <c r="B133" i="4"/>
  <c r="D314" i="4"/>
  <c r="B315" i="4"/>
  <c r="D314" i="3"/>
  <c r="B315" i="3"/>
  <c r="L667" i="4"/>
  <c r="B668" i="4"/>
  <c r="F667" i="3"/>
  <c r="G667" i="3"/>
  <c r="D270" i="3" s="1"/>
  <c r="T667" i="3"/>
  <c r="D88" i="3" s="1"/>
  <c r="S667" i="3"/>
  <c r="B134" i="3"/>
  <c r="D133" i="3"/>
  <c r="G668" i="4" l="1"/>
  <c r="F668" i="4"/>
  <c r="B316" i="3"/>
  <c r="D315" i="3"/>
  <c r="D315" i="4"/>
  <c r="B316" i="4"/>
  <c r="D133" i="4"/>
  <c r="B134" i="4"/>
  <c r="L667" i="3"/>
  <c r="B668" i="3"/>
  <c r="T668" i="4"/>
  <c r="S668" i="4"/>
  <c r="D134" i="3"/>
  <c r="B135" i="3"/>
  <c r="Y667" i="3"/>
  <c r="O668" i="3"/>
  <c r="T668" i="3" l="1"/>
  <c r="S668" i="3"/>
  <c r="Y668" i="4"/>
  <c r="O669" i="4"/>
  <c r="B135" i="4"/>
  <c r="D134" i="4"/>
  <c r="D316" i="3"/>
  <c r="B317" i="3"/>
  <c r="B136" i="3"/>
  <c r="D135" i="3"/>
  <c r="G668" i="3"/>
  <c r="F668" i="3"/>
  <c r="B317" i="4"/>
  <c r="D316" i="4"/>
  <c r="B669" i="4"/>
  <c r="L668" i="4"/>
  <c r="B318" i="4" l="1"/>
  <c r="D317" i="4"/>
  <c r="L668" i="3"/>
  <c r="B669" i="3"/>
  <c r="B137" i="3"/>
  <c r="D136" i="3"/>
  <c r="B318" i="3"/>
  <c r="D317" i="3"/>
  <c r="S669" i="4"/>
  <c r="T669" i="4"/>
  <c r="G669" i="4"/>
  <c r="F669" i="4"/>
  <c r="B136" i="4"/>
  <c r="D135" i="4"/>
  <c r="O669" i="3"/>
  <c r="Y668" i="3"/>
  <c r="T669" i="3" l="1"/>
  <c r="S669" i="3"/>
  <c r="D136" i="4"/>
  <c r="B137" i="4"/>
  <c r="L669" i="4"/>
  <c r="B670" i="4"/>
  <c r="Y669" i="4"/>
  <c r="O670" i="4"/>
  <c r="D318" i="3"/>
  <c r="B319" i="3"/>
  <c r="G669" i="3"/>
  <c r="F669" i="3"/>
  <c r="D137" i="3"/>
  <c r="B138" i="3"/>
  <c r="D318" i="4"/>
  <c r="B319" i="4"/>
  <c r="B320" i="4" l="1"/>
  <c r="D319" i="4"/>
  <c r="T670" i="4"/>
  <c r="S670" i="4"/>
  <c r="L669" i="3"/>
  <c r="B670" i="3"/>
  <c r="D319" i="3"/>
  <c r="B320" i="3"/>
  <c r="G670" i="4"/>
  <c r="F670" i="4"/>
  <c r="B138" i="4"/>
  <c r="D137" i="4"/>
  <c r="Y669" i="3"/>
  <c r="O670" i="3"/>
  <c r="D138" i="3"/>
  <c r="B139" i="3"/>
  <c r="B140" i="3" l="1"/>
  <c r="D139" i="3"/>
  <c r="T670" i="3"/>
  <c r="S670" i="3"/>
  <c r="B139" i="4"/>
  <c r="D138" i="4"/>
  <c r="D320" i="3"/>
  <c r="B321" i="3"/>
  <c r="O671" i="4"/>
  <c r="Y670" i="4"/>
  <c r="L670" i="4"/>
  <c r="B671" i="4"/>
  <c r="G670" i="3"/>
  <c r="F670" i="3"/>
  <c r="B321" i="4"/>
  <c r="D320" i="4"/>
  <c r="D321" i="4" l="1"/>
  <c r="B322" i="4"/>
  <c r="B671" i="3"/>
  <c r="L670" i="3"/>
  <c r="B322" i="3"/>
  <c r="D321" i="3"/>
  <c r="Y670" i="3"/>
  <c r="O671" i="3"/>
  <c r="F671" i="4"/>
  <c r="G671" i="4"/>
  <c r="T671" i="4"/>
  <c r="S671" i="4"/>
  <c r="D139" i="4"/>
  <c r="B140" i="4"/>
  <c r="D140" i="3"/>
  <c r="B141" i="3"/>
  <c r="D141" i="3" l="1"/>
  <c r="B142" i="3"/>
  <c r="D140" i="4"/>
  <c r="B141" i="4"/>
  <c r="O672" i="4"/>
  <c r="Y671" i="4"/>
  <c r="L671" i="4"/>
  <c r="B672" i="4"/>
  <c r="T671" i="3"/>
  <c r="S671" i="3"/>
  <c r="B323" i="3"/>
  <c r="D322" i="3"/>
  <c r="F671" i="3"/>
  <c r="G671" i="3"/>
  <c r="D322" i="4"/>
  <c r="B323" i="4"/>
  <c r="L671" i="3" l="1"/>
  <c r="B672" i="3"/>
  <c r="T672" i="4"/>
  <c r="S672" i="4"/>
  <c r="B324" i="4"/>
  <c r="D323" i="4"/>
  <c r="D323" i="3"/>
  <c r="B324" i="3"/>
  <c r="O672" i="3"/>
  <c r="Y671" i="3"/>
  <c r="G672" i="4"/>
  <c r="F672" i="4"/>
  <c r="B142" i="4"/>
  <c r="D141" i="4"/>
  <c r="B143" i="3"/>
  <c r="D142" i="3"/>
  <c r="D143" i="3" l="1"/>
  <c r="B144" i="3"/>
  <c r="L672" i="4"/>
  <c r="B673" i="4"/>
  <c r="B325" i="3"/>
  <c r="D324" i="3"/>
  <c r="Y672" i="4"/>
  <c r="O673" i="4"/>
  <c r="D142" i="4"/>
  <c r="B143" i="4"/>
  <c r="T672" i="3"/>
  <c r="S672" i="3"/>
  <c r="D324" i="4"/>
  <c r="B325" i="4"/>
  <c r="G672" i="3"/>
  <c r="F672" i="3"/>
  <c r="G673" i="4" l="1"/>
  <c r="F673" i="4"/>
  <c r="L672" i="3"/>
  <c r="B673" i="3"/>
  <c r="D143" i="4"/>
  <c r="B144" i="4"/>
  <c r="S673" i="4"/>
  <c r="T673" i="4"/>
  <c r="B326" i="3"/>
  <c r="D325" i="3"/>
  <c r="B145" i="3"/>
  <c r="D144" i="3"/>
  <c r="B326" i="4"/>
  <c r="D325" i="4"/>
  <c r="Y672" i="3"/>
  <c r="O673" i="3"/>
  <c r="B327" i="4" l="1"/>
  <c r="D326" i="4"/>
  <c r="D145" i="3"/>
  <c r="B146" i="3"/>
  <c r="B145" i="4"/>
  <c r="D144" i="4"/>
  <c r="G673" i="3"/>
  <c r="F673" i="3"/>
  <c r="T673" i="3"/>
  <c r="S673" i="3"/>
  <c r="Y673" i="4"/>
  <c r="O674" i="4"/>
  <c r="L673" i="4"/>
  <c r="B674" i="4"/>
  <c r="D326" i="3"/>
  <c r="B327" i="3"/>
  <c r="Y673" i="3" l="1"/>
  <c r="O674" i="3"/>
  <c r="B674" i="3"/>
  <c r="L673" i="3"/>
  <c r="B328" i="3"/>
  <c r="D327" i="3"/>
  <c r="G674" i="4"/>
  <c r="F674" i="4"/>
  <c r="D145" i="4"/>
  <c r="B146" i="4"/>
  <c r="T674" i="4"/>
  <c r="S674" i="4"/>
  <c r="D146" i="3"/>
  <c r="B147" i="3"/>
  <c r="B328" i="4"/>
  <c r="D327" i="4"/>
  <c r="D328" i="4" l="1"/>
  <c r="B329" i="4"/>
  <c r="Y674" i="4"/>
  <c r="O675" i="4"/>
  <c r="D146" i="4"/>
  <c r="B147" i="4"/>
  <c r="L674" i="4"/>
  <c r="B675" i="4"/>
  <c r="B148" i="3"/>
  <c r="D147" i="3"/>
  <c r="B329" i="3"/>
  <c r="D328" i="3"/>
  <c r="G674" i="3"/>
  <c r="F674" i="3"/>
  <c r="T674" i="3"/>
  <c r="S674" i="3"/>
  <c r="L674" i="3" l="1"/>
  <c r="B675" i="3"/>
  <c r="O675" i="3"/>
  <c r="Y674" i="3"/>
  <c r="D329" i="3"/>
  <c r="B330" i="3"/>
  <c r="D148" i="3"/>
  <c r="B149" i="3"/>
  <c r="F675" i="4"/>
  <c r="G675" i="4"/>
  <c r="B148" i="4"/>
  <c r="D147" i="4"/>
  <c r="S675" i="4"/>
  <c r="T675" i="4"/>
  <c r="B330" i="4"/>
  <c r="D329" i="4"/>
  <c r="D330" i="4" l="1"/>
  <c r="B331" i="4"/>
  <c r="Y675" i="4"/>
  <c r="O676" i="4"/>
  <c r="B150" i="3"/>
  <c r="D149" i="3"/>
  <c r="D148" i="4"/>
  <c r="B149" i="4"/>
  <c r="B676" i="4"/>
  <c r="L675" i="4"/>
  <c r="B331" i="3"/>
  <c r="D330" i="3"/>
  <c r="T675" i="3"/>
  <c r="S675" i="3"/>
  <c r="G675" i="3"/>
  <c r="F675" i="3"/>
  <c r="D149" i="4" l="1"/>
  <c r="B150" i="4"/>
  <c r="B332" i="3"/>
  <c r="D331" i="3"/>
  <c r="D331" i="4"/>
  <c r="B332" i="4"/>
  <c r="L675" i="3"/>
  <c r="B676" i="3"/>
  <c r="O676" i="3"/>
  <c r="Y675" i="3"/>
  <c r="G676" i="4"/>
  <c r="F676" i="4"/>
  <c r="D150" i="3"/>
  <c r="B151" i="3"/>
  <c r="T676" i="4"/>
  <c r="S676" i="4"/>
  <c r="O677" i="4" l="1"/>
  <c r="Y676" i="4"/>
  <c r="T676" i="3"/>
  <c r="S676" i="3"/>
  <c r="B333" i="3"/>
  <c r="D332" i="3"/>
  <c r="B152" i="3"/>
  <c r="D151" i="3"/>
  <c r="B151" i="4"/>
  <c r="D150" i="4"/>
  <c r="L676" i="4"/>
  <c r="B677" i="4"/>
  <c r="G676" i="3"/>
  <c r="F676" i="3"/>
  <c r="D332" i="4"/>
  <c r="B333" i="4"/>
  <c r="B677" i="3" l="1"/>
  <c r="L676" i="3"/>
  <c r="B334" i="4"/>
  <c r="D333" i="4"/>
  <c r="G677" i="4"/>
  <c r="F677" i="4"/>
  <c r="B152" i="4"/>
  <c r="D151" i="4"/>
  <c r="D152" i="3"/>
  <c r="B153" i="3"/>
  <c r="D333" i="3"/>
  <c r="B334" i="3"/>
  <c r="Y676" i="3"/>
  <c r="O677" i="3"/>
  <c r="T677" i="4"/>
  <c r="S677" i="4"/>
  <c r="B154" i="3" l="1"/>
  <c r="D153" i="3"/>
  <c r="O678" i="4"/>
  <c r="Y677" i="4"/>
  <c r="T677" i="3"/>
  <c r="S677" i="3"/>
  <c r="B335" i="3"/>
  <c r="D334" i="3"/>
  <c r="D152" i="4"/>
  <c r="B153" i="4"/>
  <c r="L677" i="4"/>
  <c r="B678" i="4"/>
  <c r="D334" i="4"/>
  <c r="B335" i="4"/>
  <c r="G677" i="3"/>
  <c r="F677" i="3"/>
  <c r="D153" i="4" l="1"/>
  <c r="B154" i="4"/>
  <c r="O678" i="3"/>
  <c r="Y677" i="3"/>
  <c r="B678" i="3"/>
  <c r="L677" i="3"/>
  <c r="B336" i="4"/>
  <c r="D335" i="4"/>
  <c r="G678" i="4"/>
  <c r="F678" i="4"/>
  <c r="D335" i="3"/>
  <c r="B336" i="3"/>
  <c r="T678" i="4"/>
  <c r="S678" i="4"/>
  <c r="B155" i="3"/>
  <c r="D154" i="3"/>
  <c r="D155" i="3" l="1"/>
  <c r="B156" i="3"/>
  <c r="Y678" i="4"/>
  <c r="O679" i="4"/>
  <c r="B679" i="4"/>
  <c r="L678" i="4"/>
  <c r="D336" i="3"/>
  <c r="B337" i="3"/>
  <c r="B337" i="4"/>
  <c r="D336" i="4"/>
  <c r="G678" i="3"/>
  <c r="F678" i="3"/>
  <c r="S678" i="3"/>
  <c r="T678" i="3"/>
  <c r="B155" i="4"/>
  <c r="D154" i="4"/>
  <c r="O679" i="3" l="1"/>
  <c r="Y678" i="3"/>
  <c r="D155" i="4"/>
  <c r="B156" i="4"/>
  <c r="L678" i="3"/>
  <c r="B679" i="3"/>
  <c r="D337" i="4"/>
  <c r="B338" i="4"/>
  <c r="B338" i="3"/>
  <c r="D337" i="3"/>
  <c r="G679" i="4"/>
  <c r="F679" i="4"/>
  <c r="T679" i="4"/>
  <c r="S679" i="4"/>
  <c r="D156" i="3"/>
  <c r="B157" i="3"/>
  <c r="D338" i="4" l="1"/>
  <c r="B339" i="4"/>
  <c r="B158" i="3"/>
  <c r="D157" i="3"/>
  <c r="O680" i="4"/>
  <c r="Y679" i="4"/>
  <c r="L679" i="4"/>
  <c r="B680" i="4"/>
  <c r="B339" i="3"/>
  <c r="D338" i="3"/>
  <c r="G679" i="3"/>
  <c r="F679" i="3"/>
  <c r="D156" i="4"/>
  <c r="B157" i="4"/>
  <c r="T679" i="3"/>
  <c r="S679" i="3"/>
  <c r="B158" i="4" l="1"/>
  <c r="D157" i="4"/>
  <c r="B680" i="3"/>
  <c r="L679" i="3"/>
  <c r="Y679" i="3"/>
  <c r="O680" i="3"/>
  <c r="D339" i="3"/>
  <c r="B340" i="3"/>
  <c r="G680" i="4"/>
  <c r="F680" i="4"/>
  <c r="T680" i="4"/>
  <c r="S680" i="4"/>
  <c r="D158" i="3"/>
  <c r="B159" i="3"/>
  <c r="B340" i="4"/>
  <c r="D339" i="4"/>
  <c r="B160" i="3" l="1"/>
  <c r="D159" i="3"/>
  <c r="L680" i="4"/>
  <c r="B681" i="4"/>
  <c r="D340" i="4"/>
  <c r="B341" i="4"/>
  <c r="Y680" i="4"/>
  <c r="O681" i="4"/>
  <c r="B341" i="3"/>
  <c r="D340" i="3"/>
  <c r="T680" i="3"/>
  <c r="S680" i="3"/>
  <c r="G680" i="3"/>
  <c r="F680" i="3"/>
  <c r="B159" i="4"/>
  <c r="D158" i="4"/>
  <c r="D159" i="4" l="1"/>
  <c r="B160" i="4"/>
  <c r="Y680" i="3"/>
  <c r="O681" i="3"/>
  <c r="B681" i="3"/>
  <c r="L680" i="3"/>
  <c r="B342" i="4"/>
  <c r="D341" i="4"/>
  <c r="B342" i="3"/>
  <c r="D341" i="3"/>
  <c r="T681" i="4"/>
  <c r="S681" i="4"/>
  <c r="G681" i="4"/>
  <c r="F681" i="4"/>
  <c r="B161" i="3"/>
  <c r="D160" i="3"/>
  <c r="D161" i="3" l="1"/>
  <c r="B162" i="3"/>
  <c r="B682" i="4"/>
  <c r="L681" i="4"/>
  <c r="Y681" i="4"/>
  <c r="O682" i="4"/>
  <c r="D342" i="3"/>
  <c r="B343" i="3"/>
  <c r="G681" i="3"/>
  <c r="F681" i="3"/>
  <c r="B161" i="4"/>
  <c r="D160" i="4"/>
  <c r="B343" i="4"/>
  <c r="D342" i="4"/>
  <c r="S681" i="3"/>
  <c r="T681" i="3"/>
  <c r="B162" i="4" l="1"/>
  <c r="D161" i="4"/>
  <c r="Y681" i="3"/>
  <c r="O682" i="3"/>
  <c r="D343" i="4"/>
  <c r="B344" i="4"/>
  <c r="L681" i="3"/>
  <c r="B682" i="3"/>
  <c r="B344" i="3"/>
  <c r="D343" i="3"/>
  <c r="T682" i="4"/>
  <c r="S682" i="4"/>
  <c r="G682" i="4"/>
  <c r="F682" i="4"/>
  <c r="D162" i="3"/>
  <c r="B163" i="3"/>
  <c r="G682" i="3" l="1"/>
  <c r="F682" i="3"/>
  <c r="D344" i="4"/>
  <c r="B345" i="4"/>
  <c r="S682" i="3"/>
  <c r="T682" i="3"/>
  <c r="B164" i="3"/>
  <c r="D163" i="3"/>
  <c r="L682" i="4"/>
  <c r="B683" i="4"/>
  <c r="O683" i="4"/>
  <c r="Y682" i="4"/>
  <c r="B345" i="3"/>
  <c r="D344" i="3"/>
  <c r="D162" i="4"/>
  <c r="B163" i="4"/>
  <c r="G683" i="4" l="1"/>
  <c r="F683" i="4"/>
  <c r="D164" i="3"/>
  <c r="B165" i="3"/>
  <c r="Y682" i="3"/>
  <c r="O683" i="3"/>
  <c r="D345" i="4"/>
  <c r="B346" i="4"/>
  <c r="B164" i="4"/>
  <c r="D163" i="4"/>
  <c r="D345" i="3"/>
  <c r="B346" i="3"/>
  <c r="T683" i="4"/>
  <c r="S683" i="4"/>
  <c r="L682" i="3"/>
  <c r="B683" i="3"/>
  <c r="B347" i="3" l="1"/>
  <c r="D346" i="3"/>
  <c r="F683" i="3"/>
  <c r="G683" i="3"/>
  <c r="B347" i="4"/>
  <c r="D346" i="4"/>
  <c r="Y683" i="4"/>
  <c r="O684" i="4"/>
  <c r="B165" i="4"/>
  <c r="D164" i="4"/>
  <c r="T683" i="3"/>
  <c r="S683" i="3"/>
  <c r="B166" i="3"/>
  <c r="D165" i="3"/>
  <c r="L683" i="4"/>
  <c r="B684" i="4"/>
  <c r="D166" i="3" l="1"/>
  <c r="B167" i="3"/>
  <c r="D347" i="4"/>
  <c r="B348" i="4"/>
  <c r="G684" i="4"/>
  <c r="F684" i="4"/>
  <c r="Y683" i="3"/>
  <c r="O684" i="3"/>
  <c r="D165" i="4"/>
  <c r="B166" i="4"/>
  <c r="T684" i="4"/>
  <c r="S684" i="4"/>
  <c r="L683" i="3"/>
  <c r="B684" i="3"/>
  <c r="B348" i="3"/>
  <c r="D347" i="3"/>
  <c r="Y684" i="4" l="1"/>
  <c r="O685" i="4"/>
  <c r="B349" i="3"/>
  <c r="D348" i="3"/>
  <c r="B167" i="4"/>
  <c r="D166" i="4"/>
  <c r="T684" i="3"/>
  <c r="S684" i="3"/>
  <c r="B349" i="4"/>
  <c r="D348" i="4"/>
  <c r="F684" i="3"/>
  <c r="G684" i="3"/>
  <c r="B685" i="4"/>
  <c r="L684" i="4"/>
  <c r="B168" i="3"/>
  <c r="D167" i="3"/>
  <c r="L684" i="3" l="1"/>
  <c r="B685" i="3"/>
  <c r="D168" i="3"/>
  <c r="B169" i="3"/>
  <c r="G685" i="4"/>
  <c r="F685" i="4"/>
  <c r="O685" i="3"/>
  <c r="Y684" i="3"/>
  <c r="B168" i="4"/>
  <c r="D167" i="4"/>
  <c r="B350" i="4"/>
  <c r="D349" i="4"/>
  <c r="D349" i="3"/>
  <c r="B350" i="3"/>
  <c r="T685" i="4"/>
  <c r="S685" i="4"/>
  <c r="O686" i="4" l="1"/>
  <c r="Y685" i="4"/>
  <c r="B351" i="3"/>
  <c r="D350" i="3"/>
  <c r="D350" i="4"/>
  <c r="B351" i="4"/>
  <c r="B686" i="4"/>
  <c r="L685" i="4"/>
  <c r="D168" i="4"/>
  <c r="B169" i="4"/>
  <c r="T685" i="3"/>
  <c r="S685" i="3"/>
  <c r="B170" i="3"/>
  <c r="D169" i="3"/>
  <c r="G685" i="3"/>
  <c r="F685" i="3"/>
  <c r="B171" i="3" l="1"/>
  <c r="D170" i="3"/>
  <c r="G686" i="4"/>
  <c r="F686" i="4"/>
  <c r="L685" i="3"/>
  <c r="B686" i="3"/>
  <c r="Y685" i="3"/>
  <c r="O686" i="3"/>
  <c r="D169" i="4"/>
  <c r="B170" i="4"/>
  <c r="D351" i="4"/>
  <c r="B352" i="4"/>
  <c r="D351" i="3"/>
  <c r="B352" i="3"/>
  <c r="T686" i="4"/>
  <c r="S686" i="4"/>
  <c r="T686" i="3" l="1"/>
  <c r="S686" i="3"/>
  <c r="G686" i="3"/>
  <c r="F686" i="3"/>
  <c r="L686" i="4"/>
  <c r="B687" i="4"/>
  <c r="O687" i="4"/>
  <c r="Y686" i="4"/>
  <c r="D352" i="3"/>
  <c r="B353" i="3"/>
  <c r="B353" i="4"/>
  <c r="D352" i="4"/>
  <c r="B171" i="4"/>
  <c r="D170" i="4"/>
  <c r="D171" i="3"/>
  <c r="B172" i="3"/>
  <c r="B173" i="3" l="1"/>
  <c r="D172" i="3"/>
  <c r="D171" i="4"/>
  <c r="B172" i="4"/>
  <c r="D353" i="4"/>
  <c r="B354" i="4"/>
  <c r="B354" i="3"/>
  <c r="D353" i="3"/>
  <c r="T687" i="4"/>
  <c r="S687" i="4"/>
  <c r="G687" i="4"/>
  <c r="F687" i="4"/>
  <c r="B687" i="3"/>
  <c r="L686" i="3"/>
  <c r="Y686" i="3"/>
  <c r="O687" i="3"/>
  <c r="T687" i="3" l="1"/>
  <c r="S687" i="3"/>
  <c r="G687" i="3"/>
  <c r="F687" i="3"/>
  <c r="B688" i="4"/>
  <c r="L687" i="4"/>
  <c r="Y687" i="4"/>
  <c r="O688" i="4"/>
  <c r="B355" i="3"/>
  <c r="D354" i="3"/>
  <c r="B355" i="4"/>
  <c r="D354" i="4"/>
  <c r="D172" i="4"/>
  <c r="B173" i="4"/>
  <c r="B174" i="3"/>
  <c r="D173" i="3"/>
  <c r="D174" i="3" l="1"/>
  <c r="B175" i="3"/>
  <c r="B174" i="4"/>
  <c r="D173" i="4"/>
  <c r="B356" i="4"/>
  <c r="D355" i="4"/>
  <c r="D355" i="3"/>
  <c r="B356" i="3"/>
  <c r="T688" i="4"/>
  <c r="S688" i="4"/>
  <c r="G688" i="4"/>
  <c r="F688" i="4"/>
  <c r="L687" i="3"/>
  <c r="B688" i="3"/>
  <c r="O688" i="3"/>
  <c r="Y687" i="3"/>
  <c r="G688" i="3" l="1"/>
  <c r="F688" i="3"/>
  <c r="B689" i="4"/>
  <c r="L688" i="4"/>
  <c r="Y688" i="4"/>
  <c r="O689" i="4"/>
  <c r="T688" i="3"/>
  <c r="S688" i="3"/>
  <c r="B357" i="3"/>
  <c r="D356" i="3"/>
  <c r="D356" i="4"/>
  <c r="B357" i="4"/>
  <c r="B175" i="4"/>
  <c r="D174" i="4"/>
  <c r="B176" i="3"/>
  <c r="D175" i="3"/>
  <c r="B177" i="3" l="1"/>
  <c r="D176" i="3"/>
  <c r="D175" i="4"/>
  <c r="B176" i="4"/>
  <c r="D357" i="4"/>
  <c r="B358" i="4"/>
  <c r="B358" i="3"/>
  <c r="D357" i="3"/>
  <c r="Y688" i="3"/>
  <c r="O689" i="3"/>
  <c r="S689" i="4"/>
  <c r="T689" i="4"/>
  <c r="G689" i="4"/>
  <c r="F689" i="4"/>
  <c r="B689" i="3"/>
  <c r="L688" i="3"/>
  <c r="T689" i="3" l="1"/>
  <c r="S689" i="3"/>
  <c r="G689" i="3"/>
  <c r="F689" i="3"/>
  <c r="L689" i="4"/>
  <c r="B690" i="4"/>
  <c r="O690" i="4"/>
  <c r="Y689" i="4"/>
  <c r="D358" i="3"/>
  <c r="B359" i="3"/>
  <c r="B359" i="4"/>
  <c r="D358" i="4"/>
  <c r="B177" i="4"/>
  <c r="D176" i="4"/>
  <c r="D177" i="3"/>
  <c r="B178" i="3"/>
  <c r="B179" i="3" l="1"/>
  <c r="D178" i="3"/>
  <c r="B178" i="4"/>
  <c r="D177" i="4"/>
  <c r="D359" i="3"/>
  <c r="B360" i="3"/>
  <c r="G690" i="4"/>
  <c r="F690" i="4"/>
  <c r="B360" i="4"/>
  <c r="D359" i="4"/>
  <c r="T690" i="4"/>
  <c r="S690" i="4"/>
  <c r="L689" i="3"/>
  <c r="B690" i="3"/>
  <c r="O690" i="3"/>
  <c r="Y689" i="3"/>
  <c r="T690" i="3" l="1"/>
  <c r="S690" i="3"/>
  <c r="L690" i="4"/>
  <c r="B691" i="4"/>
  <c r="G690" i="3"/>
  <c r="F690" i="3"/>
  <c r="Y690" i="4"/>
  <c r="O691" i="4"/>
  <c r="D360" i="4"/>
  <c r="B361" i="4"/>
  <c r="B361" i="3"/>
  <c r="D360" i="3"/>
  <c r="D178" i="4"/>
  <c r="B179" i="4"/>
  <c r="B180" i="3"/>
  <c r="D179" i="3"/>
  <c r="B181" i="3" l="1"/>
  <c r="D180" i="3"/>
  <c r="B362" i="4"/>
  <c r="D361" i="4"/>
  <c r="T691" i="4"/>
  <c r="S691" i="4"/>
  <c r="B691" i="3"/>
  <c r="L690" i="3"/>
  <c r="D179" i="4"/>
  <c r="B180" i="4"/>
  <c r="D361" i="3"/>
  <c r="B362" i="3"/>
  <c r="F691" i="4"/>
  <c r="G691" i="4"/>
  <c r="Y690" i="3"/>
  <c r="O691" i="3"/>
  <c r="T691" i="3" l="1"/>
  <c r="S691" i="3"/>
  <c r="B692" i="4"/>
  <c r="L691" i="4"/>
  <c r="D362" i="3"/>
  <c r="B363" i="3"/>
  <c r="Y691" i="4"/>
  <c r="O692" i="4"/>
  <c r="B181" i="4"/>
  <c r="D180" i="4"/>
  <c r="G691" i="3"/>
  <c r="F691" i="3"/>
  <c r="B363" i="4"/>
  <c r="D362" i="4"/>
  <c r="D181" i="3"/>
  <c r="B182" i="3"/>
  <c r="B364" i="3" l="1"/>
  <c r="D363" i="3"/>
  <c r="B183" i="3"/>
  <c r="D182" i="3"/>
  <c r="D363" i="4"/>
  <c r="B364" i="4"/>
  <c r="B692" i="3"/>
  <c r="L691" i="3"/>
  <c r="D181" i="4"/>
  <c r="B182" i="4"/>
  <c r="T692" i="4"/>
  <c r="S692" i="4"/>
  <c r="G692" i="4"/>
  <c r="F692" i="4"/>
  <c r="Y691" i="3"/>
  <c r="O692" i="3"/>
  <c r="T692" i="3" l="1"/>
  <c r="S692" i="3"/>
  <c r="B183" i="4"/>
  <c r="D182" i="4"/>
  <c r="G692" i="3"/>
  <c r="F692" i="3"/>
  <c r="D183" i="3"/>
  <c r="B184" i="3"/>
  <c r="L692" i="4"/>
  <c r="B693" i="4"/>
  <c r="D364" i="4"/>
  <c r="B365" i="4"/>
  <c r="O693" i="4"/>
  <c r="Y692" i="4"/>
  <c r="B365" i="3"/>
  <c r="D364" i="3"/>
  <c r="D365" i="3" l="1"/>
  <c r="B366" i="3"/>
  <c r="T693" i="4"/>
  <c r="S693" i="4"/>
  <c r="B366" i="4"/>
  <c r="D365" i="4"/>
  <c r="G693" i="4"/>
  <c r="F693" i="4"/>
  <c r="D184" i="3"/>
  <c r="B185" i="3"/>
  <c r="B693" i="3"/>
  <c r="L692" i="3"/>
  <c r="B184" i="4"/>
  <c r="D183" i="4"/>
  <c r="Y692" i="3"/>
  <c r="O693" i="3"/>
  <c r="F693" i="3" l="1"/>
  <c r="G693" i="3"/>
  <c r="L693" i="4"/>
  <c r="B694" i="4"/>
  <c r="Y693" i="4"/>
  <c r="O694" i="4"/>
  <c r="T693" i="3"/>
  <c r="S693" i="3"/>
  <c r="D184" i="4"/>
  <c r="B185" i="4"/>
  <c r="B186" i="3"/>
  <c r="D185" i="3"/>
  <c r="D366" i="4"/>
  <c r="B367" i="4"/>
  <c r="B367" i="3"/>
  <c r="D366" i="3"/>
  <c r="D367" i="3" l="1"/>
  <c r="B368" i="3"/>
  <c r="D185" i="4"/>
  <c r="B186" i="4"/>
  <c r="Y693" i="3"/>
  <c r="O694" i="3"/>
  <c r="T694" i="4"/>
  <c r="S694" i="4"/>
  <c r="B368" i="4"/>
  <c r="D367" i="4"/>
  <c r="B187" i="3"/>
  <c r="D186" i="3"/>
  <c r="G694" i="4"/>
  <c r="F694" i="4"/>
  <c r="B694" i="3"/>
  <c r="L693" i="3"/>
  <c r="Y694" i="4" l="1"/>
  <c r="O695" i="4"/>
  <c r="T694" i="3"/>
  <c r="S694" i="3"/>
  <c r="F694" i="3"/>
  <c r="G694" i="3"/>
  <c r="B695" i="4"/>
  <c r="L694" i="4"/>
  <c r="D187" i="3"/>
  <c r="B188" i="3"/>
  <c r="B369" i="4"/>
  <c r="D368" i="4"/>
  <c r="B187" i="4"/>
  <c r="D186" i="4"/>
  <c r="D368" i="3"/>
  <c r="B369" i="3"/>
  <c r="B370" i="3" l="1"/>
  <c r="D369" i="3"/>
  <c r="D187" i="4"/>
  <c r="B188" i="4"/>
  <c r="B189" i="3"/>
  <c r="D188" i="3"/>
  <c r="G695" i="4"/>
  <c r="F695" i="4"/>
  <c r="B695" i="3"/>
  <c r="L694" i="3"/>
  <c r="D369" i="4"/>
  <c r="B370" i="4"/>
  <c r="Y694" i="3"/>
  <c r="O695" i="3"/>
  <c r="T695" i="4"/>
  <c r="S695" i="4"/>
  <c r="L695" i="4" l="1"/>
  <c r="B696" i="4"/>
  <c r="O696" i="4"/>
  <c r="Y695" i="4"/>
  <c r="T695" i="3"/>
  <c r="S695" i="3"/>
  <c r="B371" i="4"/>
  <c r="D370" i="4"/>
  <c r="F695" i="3"/>
  <c r="G695" i="3"/>
  <c r="B190" i="3"/>
  <c r="D189" i="3"/>
  <c r="D188" i="4"/>
  <c r="B189" i="4"/>
  <c r="B371" i="3"/>
  <c r="D370" i="3"/>
  <c r="B190" i="4" l="1"/>
  <c r="D189" i="4"/>
  <c r="D371" i="3"/>
  <c r="B372" i="3"/>
  <c r="D190" i="3"/>
  <c r="B191" i="3"/>
  <c r="B696" i="3"/>
  <c r="L695" i="3"/>
  <c r="B372" i="4"/>
  <c r="D371" i="4"/>
  <c r="Y695" i="3"/>
  <c r="O696" i="3"/>
  <c r="T696" i="4"/>
  <c r="S696" i="4"/>
  <c r="G696" i="4"/>
  <c r="F696" i="4"/>
  <c r="L696" i="4" l="1"/>
  <c r="B697" i="4"/>
  <c r="O697" i="4"/>
  <c r="Y696" i="4"/>
  <c r="D372" i="4"/>
  <c r="B373" i="4"/>
  <c r="S696" i="3"/>
  <c r="T696" i="3"/>
  <c r="G696" i="3"/>
  <c r="F696" i="3"/>
  <c r="D191" i="3"/>
  <c r="B192" i="3"/>
  <c r="B373" i="3"/>
  <c r="D372" i="3"/>
  <c r="B191" i="4"/>
  <c r="D190" i="4"/>
  <c r="B374" i="3" l="1"/>
  <c r="D373" i="3"/>
  <c r="B697" i="3"/>
  <c r="L696" i="3"/>
  <c r="D191" i="4"/>
  <c r="B192" i="4"/>
  <c r="B193" i="3"/>
  <c r="D192" i="3"/>
  <c r="Y696" i="3"/>
  <c r="O697" i="3"/>
  <c r="D373" i="4"/>
  <c r="B374" i="4"/>
  <c r="T697" i="4"/>
  <c r="S697" i="4"/>
  <c r="G697" i="4"/>
  <c r="F697" i="4"/>
  <c r="B698" i="4" l="1"/>
  <c r="L697" i="4"/>
  <c r="B375" i="4"/>
  <c r="D374" i="4"/>
  <c r="D192" i="4"/>
  <c r="B193" i="4"/>
  <c r="Y697" i="4"/>
  <c r="O698" i="4"/>
  <c r="T697" i="3"/>
  <c r="S697" i="3"/>
  <c r="D193" i="3"/>
  <c r="B194" i="3"/>
  <c r="G697" i="3"/>
  <c r="F697" i="3"/>
  <c r="D374" i="3"/>
  <c r="B375" i="3"/>
  <c r="D194" i="3" l="1"/>
  <c r="B195" i="3"/>
  <c r="Y697" i="3"/>
  <c r="O698" i="3"/>
  <c r="D375" i="3"/>
  <c r="B376" i="3"/>
  <c r="L697" i="3"/>
  <c r="B698" i="3"/>
  <c r="T698" i="4"/>
  <c r="S698" i="4"/>
  <c r="B194" i="4"/>
  <c r="D193" i="4"/>
  <c r="B376" i="4"/>
  <c r="D375" i="4"/>
  <c r="F698" i="4"/>
  <c r="G698" i="4"/>
  <c r="D376" i="4" l="1"/>
  <c r="B377" i="4"/>
  <c r="B699" i="4"/>
  <c r="L698" i="4"/>
  <c r="O699" i="4"/>
  <c r="Y698" i="4"/>
  <c r="F698" i="3"/>
  <c r="G698" i="3"/>
  <c r="B377" i="3"/>
  <c r="D376" i="3"/>
  <c r="D194" i="4"/>
  <c r="B195" i="4"/>
  <c r="T698" i="3"/>
  <c r="S698" i="3"/>
  <c r="B196" i="3"/>
  <c r="D195" i="3"/>
  <c r="B197" i="3" l="1"/>
  <c r="D196" i="3"/>
  <c r="Y698" i="3"/>
  <c r="O699" i="3"/>
  <c r="B196" i="4"/>
  <c r="D195" i="4"/>
  <c r="D377" i="3"/>
  <c r="B378" i="3"/>
  <c r="B699" i="3"/>
  <c r="L698" i="3"/>
  <c r="T699" i="4"/>
  <c r="S699" i="4"/>
  <c r="G699" i="4"/>
  <c r="F699" i="4"/>
  <c r="D377" i="4"/>
  <c r="B378" i="4"/>
  <c r="L699" i="4" l="1"/>
  <c r="B700" i="4"/>
  <c r="Y699" i="4"/>
  <c r="O700" i="4"/>
  <c r="B379" i="4"/>
  <c r="D378" i="4"/>
  <c r="G699" i="3"/>
  <c r="F699" i="3"/>
  <c r="D378" i="3"/>
  <c r="B379" i="3"/>
  <c r="B197" i="4"/>
  <c r="D196" i="4"/>
  <c r="T699" i="3"/>
  <c r="S699" i="3"/>
  <c r="D197" i="3"/>
  <c r="B198" i="3"/>
  <c r="O700" i="3" l="1"/>
  <c r="Y699" i="3"/>
  <c r="B199" i="3"/>
  <c r="D198" i="3"/>
  <c r="B700" i="3"/>
  <c r="L699" i="3"/>
  <c r="D197" i="4"/>
  <c r="B198" i="4"/>
  <c r="B380" i="3"/>
  <c r="D379" i="3"/>
  <c r="D379" i="4"/>
  <c r="B380" i="4"/>
  <c r="S700" i="4"/>
  <c r="T700" i="4"/>
  <c r="G700" i="4"/>
  <c r="F700" i="4"/>
  <c r="B701" i="4" l="1"/>
  <c r="L700" i="4"/>
  <c r="D380" i="4"/>
  <c r="B381" i="4"/>
  <c r="D198" i="4"/>
  <c r="B199" i="4"/>
  <c r="Y700" i="4"/>
  <c r="O701" i="4"/>
  <c r="B381" i="3"/>
  <c r="D380" i="3"/>
  <c r="G700" i="3"/>
  <c r="F700" i="3"/>
  <c r="B200" i="3"/>
  <c r="D199" i="3"/>
  <c r="T700" i="3"/>
  <c r="S700" i="3"/>
  <c r="D200" i="3" l="1"/>
  <c r="B201" i="3"/>
  <c r="B200" i="4"/>
  <c r="D199" i="4"/>
  <c r="B382" i="4"/>
  <c r="D381" i="4"/>
  <c r="O701" i="3"/>
  <c r="Y700" i="3"/>
  <c r="L700" i="3"/>
  <c r="B701" i="3"/>
  <c r="D381" i="3"/>
  <c r="B382" i="3"/>
  <c r="T701" i="4"/>
  <c r="S701" i="4"/>
  <c r="G701" i="4"/>
  <c r="F701" i="4"/>
  <c r="B383" i="3" l="1"/>
  <c r="D382" i="3"/>
  <c r="G701" i="3"/>
  <c r="F701" i="3"/>
  <c r="D382" i="4"/>
  <c r="B383" i="4"/>
  <c r="L701" i="4"/>
  <c r="B702" i="4"/>
  <c r="O702" i="4"/>
  <c r="Y701" i="4"/>
  <c r="T701" i="3"/>
  <c r="S701" i="3"/>
  <c r="D200" i="4"/>
  <c r="B201" i="4"/>
  <c r="B202" i="3"/>
  <c r="D201" i="3"/>
  <c r="B203" i="3" l="1"/>
  <c r="D202" i="3"/>
  <c r="F702" i="4"/>
  <c r="G702" i="4"/>
  <c r="D383" i="4"/>
  <c r="B384" i="4"/>
  <c r="B702" i="3"/>
  <c r="L701" i="3"/>
  <c r="D201" i="4"/>
  <c r="B202" i="4"/>
  <c r="Y701" i="3"/>
  <c r="O702" i="3"/>
  <c r="T702" i="4"/>
  <c r="S702" i="4"/>
  <c r="D383" i="3"/>
  <c r="B384" i="3"/>
  <c r="O703" i="4" l="1"/>
  <c r="Y702" i="4"/>
  <c r="T702" i="3"/>
  <c r="S702" i="3"/>
  <c r="B203" i="4"/>
  <c r="D202" i="4"/>
  <c r="D384" i="3"/>
  <c r="B385" i="3"/>
  <c r="G702" i="3"/>
  <c r="F702" i="3"/>
  <c r="B385" i="4"/>
  <c r="D384" i="4"/>
  <c r="L702" i="4"/>
  <c r="B703" i="4"/>
  <c r="D203" i="3"/>
  <c r="B204" i="3"/>
  <c r="D385" i="4" l="1"/>
  <c r="B386" i="4"/>
  <c r="G703" i="4"/>
  <c r="F703" i="4"/>
  <c r="L702" i="3"/>
  <c r="B703" i="3"/>
  <c r="D203" i="4"/>
  <c r="B204" i="4"/>
  <c r="D204" i="3"/>
  <c r="B205" i="3"/>
  <c r="B386" i="3"/>
  <c r="D385" i="3"/>
  <c r="O703" i="3"/>
  <c r="Y702" i="3"/>
  <c r="T703" i="4"/>
  <c r="S703" i="4"/>
  <c r="T703" i="3" l="1"/>
  <c r="S703" i="3"/>
  <c r="B387" i="3"/>
  <c r="D386" i="3"/>
  <c r="Y703" i="4"/>
  <c r="O704" i="4"/>
  <c r="B206" i="3"/>
  <c r="D205" i="3"/>
  <c r="D204" i="4"/>
  <c r="B205" i="4"/>
  <c r="G703" i="3"/>
  <c r="F703" i="3"/>
  <c r="B704" i="4"/>
  <c r="L703" i="4"/>
  <c r="D386" i="4"/>
  <c r="B387" i="4"/>
  <c r="B388" i="4" l="1"/>
  <c r="D387" i="4"/>
  <c r="L703" i="3"/>
  <c r="B704" i="3"/>
  <c r="Y703" i="3"/>
  <c r="O704" i="3"/>
  <c r="G704" i="4"/>
  <c r="F704" i="4"/>
  <c r="B206" i="4"/>
  <c r="D205" i="4"/>
  <c r="D206" i="3"/>
  <c r="B207" i="3"/>
  <c r="T704" i="4"/>
  <c r="S704" i="4"/>
  <c r="D387" i="3"/>
  <c r="B388" i="3"/>
  <c r="D207" i="3" l="1"/>
  <c r="B208" i="3"/>
  <c r="T704" i="3"/>
  <c r="S704" i="3"/>
  <c r="Y704" i="4"/>
  <c r="O705" i="4"/>
  <c r="B207" i="4"/>
  <c r="D206" i="4"/>
  <c r="L704" i="4"/>
  <c r="B705" i="4"/>
  <c r="G704" i="3"/>
  <c r="F704" i="3"/>
  <c r="D388" i="3"/>
  <c r="B389" i="3"/>
  <c r="D388" i="4"/>
  <c r="B389" i="4"/>
  <c r="B390" i="3" l="1"/>
  <c r="D389" i="3"/>
  <c r="B705" i="3"/>
  <c r="L704" i="3"/>
  <c r="D389" i="4"/>
  <c r="B390" i="4"/>
  <c r="G705" i="4"/>
  <c r="F705" i="4"/>
  <c r="S705" i="4"/>
  <c r="T705" i="4"/>
  <c r="Y704" i="3"/>
  <c r="O705" i="3"/>
  <c r="D207" i="4"/>
  <c r="B208" i="4"/>
  <c r="B209" i="3"/>
  <c r="D208" i="3"/>
  <c r="D209" i="3" l="1"/>
  <c r="B210" i="3"/>
  <c r="O706" i="4"/>
  <c r="Y705" i="4"/>
  <c r="L705" i="4"/>
  <c r="B706" i="4"/>
  <c r="B391" i="4"/>
  <c r="D390" i="4"/>
  <c r="D208" i="4"/>
  <c r="B209" i="4"/>
  <c r="T705" i="3"/>
  <c r="S705" i="3"/>
  <c r="G705" i="3"/>
  <c r="F705" i="3"/>
  <c r="D390" i="3"/>
  <c r="B391" i="3"/>
  <c r="D391" i="3" l="1"/>
  <c r="B392" i="3"/>
  <c r="B706" i="3"/>
  <c r="L705" i="3"/>
  <c r="O706" i="3"/>
  <c r="Y705" i="3"/>
  <c r="B210" i="4"/>
  <c r="D209" i="4"/>
  <c r="B392" i="4"/>
  <c r="D391" i="4"/>
  <c r="G706" i="4"/>
  <c r="F706" i="4"/>
  <c r="T706" i="4"/>
  <c r="S706" i="4"/>
  <c r="D210" i="3"/>
  <c r="B211" i="3"/>
  <c r="B212" i="3" l="1"/>
  <c r="D211" i="3"/>
  <c r="Y706" i="4"/>
  <c r="O707" i="4"/>
  <c r="L706" i="4"/>
  <c r="B707" i="4"/>
  <c r="D392" i="4"/>
  <c r="B393" i="4"/>
  <c r="D210" i="4"/>
  <c r="B211" i="4"/>
  <c r="S706" i="3"/>
  <c r="T706" i="3"/>
  <c r="G706" i="3"/>
  <c r="F706" i="3"/>
  <c r="B393" i="3"/>
  <c r="D392" i="3"/>
  <c r="D393" i="4" l="1"/>
  <c r="B394" i="4"/>
  <c r="D393" i="3"/>
  <c r="B394" i="3"/>
  <c r="D211" i="4"/>
  <c r="B212" i="4"/>
  <c r="F707" i="4"/>
  <c r="G707" i="4"/>
  <c r="T707" i="4"/>
  <c r="S707" i="4"/>
  <c r="L706" i="3"/>
  <c r="B707" i="3"/>
  <c r="O707" i="3"/>
  <c r="Y706" i="3"/>
  <c r="B213" i="3"/>
  <c r="D212" i="3"/>
  <c r="G707" i="3" l="1"/>
  <c r="F707" i="3"/>
  <c r="D213" i="3"/>
  <c r="B214" i="3"/>
  <c r="B213" i="4"/>
  <c r="D212" i="4"/>
  <c r="D394" i="3"/>
  <c r="B395" i="3"/>
  <c r="T707" i="3"/>
  <c r="S707" i="3"/>
  <c r="Y707" i="4"/>
  <c r="O708" i="4"/>
  <c r="B708" i="4"/>
  <c r="L707" i="4"/>
  <c r="B395" i="4"/>
  <c r="D394" i="4"/>
  <c r="D395" i="4" l="1"/>
  <c r="B396" i="4"/>
  <c r="G708" i="4"/>
  <c r="F708" i="4"/>
  <c r="Y707" i="3"/>
  <c r="O708" i="3"/>
  <c r="T708" i="4"/>
  <c r="S708" i="4"/>
  <c r="B396" i="3"/>
  <c r="D395" i="3"/>
  <c r="D213" i="4"/>
  <c r="B214" i="4"/>
  <c r="B215" i="3"/>
  <c r="D214" i="3"/>
  <c r="B708" i="3"/>
  <c r="L707" i="3"/>
  <c r="G708" i="3" l="1"/>
  <c r="F708" i="3"/>
  <c r="O709" i="4"/>
  <c r="Y708" i="4"/>
  <c r="D215" i="3"/>
  <c r="B216" i="3"/>
  <c r="D214" i="4"/>
  <c r="B215" i="4"/>
  <c r="B397" i="3"/>
  <c r="D396" i="3"/>
  <c r="T708" i="3"/>
  <c r="S708" i="3"/>
  <c r="L708" i="4"/>
  <c r="B709" i="4"/>
  <c r="D396" i="4"/>
  <c r="B397" i="4"/>
  <c r="G709" i="4" l="1"/>
  <c r="F709" i="4"/>
  <c r="O709" i="3"/>
  <c r="Y708" i="3"/>
  <c r="B216" i="4"/>
  <c r="D215" i="4"/>
  <c r="D216" i="3"/>
  <c r="B217" i="3"/>
  <c r="B709" i="3"/>
  <c r="L708" i="3"/>
  <c r="B398" i="4"/>
  <c r="D397" i="4"/>
  <c r="D397" i="3"/>
  <c r="B398" i="3"/>
  <c r="S709" i="4"/>
  <c r="T709" i="4"/>
  <c r="B399" i="3" l="1"/>
  <c r="D398" i="3"/>
  <c r="G709" i="3"/>
  <c r="F709" i="3"/>
  <c r="Y709" i="4"/>
  <c r="O710" i="4"/>
  <c r="D216" i="4"/>
  <c r="B217" i="4"/>
  <c r="D398" i="4"/>
  <c r="B399" i="4"/>
  <c r="B218" i="3"/>
  <c r="D217" i="3"/>
  <c r="T709" i="3"/>
  <c r="S709" i="3"/>
  <c r="L709" i="4"/>
  <c r="B710" i="4"/>
  <c r="Y709" i="3" l="1"/>
  <c r="O710" i="3"/>
  <c r="G710" i="4"/>
  <c r="F710" i="4"/>
  <c r="B219" i="3"/>
  <c r="D218" i="3"/>
  <c r="D399" i="4"/>
  <c r="B400" i="4"/>
  <c r="D217" i="4"/>
  <c r="B218" i="4"/>
  <c r="T710" i="4"/>
  <c r="S710" i="4"/>
  <c r="L709" i="3"/>
  <c r="B710" i="3"/>
  <c r="D399" i="3"/>
  <c r="B400" i="3"/>
  <c r="B219" i="4" l="1"/>
  <c r="D218" i="4"/>
  <c r="D400" i="3"/>
  <c r="B401" i="3"/>
  <c r="B401" i="4"/>
  <c r="D400" i="4"/>
  <c r="G710" i="3"/>
  <c r="F710" i="3"/>
  <c r="Y710" i="4"/>
  <c r="O711" i="4"/>
  <c r="D219" i="3"/>
  <c r="B220" i="3"/>
  <c r="B711" i="4"/>
  <c r="L710" i="4"/>
  <c r="T710" i="3"/>
  <c r="S710" i="3"/>
  <c r="G711" i="4" l="1"/>
  <c r="F711" i="4"/>
  <c r="Y710" i="3"/>
  <c r="O711" i="3"/>
  <c r="B711" i="3"/>
  <c r="L710" i="3"/>
  <c r="D220" i="3"/>
  <c r="B221" i="3"/>
  <c r="T711" i="4"/>
  <c r="S711" i="4"/>
  <c r="D401" i="4"/>
  <c r="B402" i="4"/>
  <c r="B402" i="3"/>
  <c r="D401" i="3"/>
  <c r="D219" i="4"/>
  <c r="B220" i="4"/>
  <c r="B403" i="3" l="1"/>
  <c r="D402" i="3"/>
  <c r="O712" i="4"/>
  <c r="Y711" i="4"/>
  <c r="D220" i="4"/>
  <c r="B221" i="4"/>
  <c r="D402" i="4"/>
  <c r="B403" i="4"/>
  <c r="B222" i="3"/>
  <c r="D221" i="3"/>
  <c r="G711" i="3"/>
  <c r="F711" i="3"/>
  <c r="T711" i="3"/>
  <c r="S711" i="3"/>
  <c r="L711" i="4"/>
  <c r="B712" i="4"/>
  <c r="L711" i="3" l="1"/>
  <c r="B712" i="3"/>
  <c r="G712" i="4"/>
  <c r="F712" i="4"/>
  <c r="Y711" i="3"/>
  <c r="O712" i="3"/>
  <c r="B404" i="4"/>
  <c r="D403" i="4"/>
  <c r="B222" i="4"/>
  <c r="D221" i="4"/>
  <c r="D222" i="3"/>
  <c r="B223" i="3"/>
  <c r="T712" i="4"/>
  <c r="S712" i="4"/>
  <c r="D403" i="3"/>
  <c r="B404" i="3"/>
  <c r="Y712" i="4" l="1"/>
  <c r="O713" i="4"/>
  <c r="D223" i="3"/>
  <c r="B224" i="3"/>
  <c r="B223" i="4"/>
  <c r="D222" i="4"/>
  <c r="D404" i="3"/>
  <c r="B405" i="3"/>
  <c r="D404" i="4"/>
  <c r="B405" i="4"/>
  <c r="S712" i="3"/>
  <c r="T712" i="3"/>
  <c r="L712" i="4"/>
  <c r="B713" i="4"/>
  <c r="G712" i="3"/>
  <c r="F712" i="3"/>
  <c r="L712" i="3" l="1"/>
  <c r="B713" i="3"/>
  <c r="D405" i="4"/>
  <c r="B406" i="4"/>
  <c r="B406" i="3"/>
  <c r="D405" i="3"/>
  <c r="D223" i="4"/>
  <c r="B224" i="4"/>
  <c r="G713" i="4"/>
  <c r="F713" i="4"/>
  <c r="O713" i="3"/>
  <c r="Y712" i="3"/>
  <c r="B225" i="3"/>
  <c r="D224" i="3"/>
  <c r="T713" i="4"/>
  <c r="S713" i="4"/>
  <c r="D225" i="3" l="1"/>
  <c r="B226" i="3"/>
  <c r="B714" i="4"/>
  <c r="L713" i="4"/>
  <c r="D224" i="4"/>
  <c r="B225" i="4"/>
  <c r="Y713" i="4"/>
  <c r="O714" i="4"/>
  <c r="T713" i="3"/>
  <c r="S713" i="3"/>
  <c r="D406" i="3"/>
  <c r="B407" i="3"/>
  <c r="B407" i="4"/>
  <c r="D406" i="4"/>
  <c r="G713" i="3"/>
  <c r="F713" i="3"/>
  <c r="B408" i="4" l="1"/>
  <c r="D407" i="4"/>
  <c r="D407" i="3"/>
  <c r="B408" i="3"/>
  <c r="O714" i="3"/>
  <c r="Y713" i="3"/>
  <c r="T714" i="4"/>
  <c r="S714" i="4"/>
  <c r="B226" i="4"/>
  <c r="D225" i="4"/>
  <c r="L713" i="3"/>
  <c r="B714" i="3"/>
  <c r="G714" i="4"/>
  <c r="F714" i="4"/>
  <c r="D226" i="3"/>
  <c r="B227" i="3"/>
  <c r="B228" i="3" l="1"/>
  <c r="D227" i="3"/>
  <c r="B715" i="4"/>
  <c r="L714" i="4"/>
  <c r="F714" i="3"/>
  <c r="G714" i="3"/>
  <c r="D226" i="4"/>
  <c r="B227" i="4"/>
  <c r="O715" i="4"/>
  <c r="Y714" i="4"/>
  <c r="T714" i="3"/>
  <c r="S714" i="3"/>
  <c r="B409" i="3"/>
  <c r="D408" i="3"/>
  <c r="D408" i="4"/>
  <c r="B409" i="4"/>
  <c r="D409" i="4" l="1"/>
  <c r="B410" i="4"/>
  <c r="D409" i="3"/>
  <c r="B410" i="3"/>
  <c r="Y714" i="3"/>
  <c r="O715" i="3"/>
  <c r="B228" i="4"/>
  <c r="D227" i="4"/>
  <c r="T715" i="4"/>
  <c r="S715" i="4"/>
  <c r="B715" i="3"/>
  <c r="L714" i="3"/>
  <c r="G715" i="4"/>
  <c r="F715" i="4"/>
  <c r="B229" i="3"/>
  <c r="D228" i="3"/>
  <c r="T715" i="3" l="1"/>
  <c r="S715" i="3"/>
  <c r="D229" i="3"/>
  <c r="B230" i="3"/>
  <c r="L715" i="4"/>
  <c r="B716" i="4"/>
  <c r="G715" i="3"/>
  <c r="F715" i="3"/>
  <c r="Y715" i="4"/>
  <c r="O716" i="4"/>
  <c r="B229" i="4"/>
  <c r="D228" i="4"/>
  <c r="D410" i="3"/>
  <c r="B411" i="3"/>
  <c r="B411" i="4"/>
  <c r="D410" i="4"/>
  <c r="D411" i="4" l="1"/>
  <c r="B412" i="4"/>
  <c r="S716" i="4"/>
  <c r="T716" i="4"/>
  <c r="B716" i="3"/>
  <c r="L715" i="3"/>
  <c r="G716" i="4"/>
  <c r="F716" i="4"/>
  <c r="B412" i="3"/>
  <c r="D411" i="3"/>
  <c r="D229" i="4"/>
  <c r="B230" i="4"/>
  <c r="B231" i="3"/>
  <c r="D230" i="3"/>
  <c r="O716" i="3"/>
  <c r="Y715" i="3"/>
  <c r="T716" i="3" l="1"/>
  <c r="S716" i="3"/>
  <c r="D230" i="4"/>
  <c r="B231" i="4"/>
  <c r="B413" i="3"/>
  <c r="D412" i="3"/>
  <c r="G716" i="3"/>
  <c r="F716" i="3"/>
  <c r="B232" i="3"/>
  <c r="D232" i="3" s="1"/>
  <c r="D40" i="3" s="1"/>
  <c r="D231" i="3"/>
  <c r="B717" i="4"/>
  <c r="L716" i="4"/>
  <c r="Y716" i="4"/>
  <c r="O717" i="4"/>
  <c r="D412" i="4"/>
  <c r="B413" i="4"/>
  <c r="B414" i="4" l="1"/>
  <c r="D414" i="4" s="1"/>
  <c r="D43" i="4" s="1"/>
  <c r="D413" i="4"/>
  <c r="T717" i="4"/>
  <c r="S717" i="4"/>
  <c r="G717" i="4"/>
  <c r="F717" i="4"/>
  <c r="D413" i="3"/>
  <c r="B414" i="3"/>
  <c r="D414" i="3" s="1"/>
  <c r="D43" i="3" s="1"/>
  <c r="D41" i="3"/>
  <c r="D42" i="3"/>
  <c r="L716" i="3"/>
  <c r="B717" i="3"/>
  <c r="B232" i="4"/>
  <c r="D232" i="4" s="1"/>
  <c r="D40" i="4" s="1"/>
  <c r="D231" i="4"/>
  <c r="O717" i="3"/>
  <c r="Y716" i="3"/>
  <c r="D44" i="3" l="1"/>
  <c r="D45" i="3"/>
  <c r="D46" i="3" s="1"/>
  <c r="L717" i="4"/>
  <c r="B718" i="4"/>
  <c r="O718" i="4"/>
  <c r="Y717" i="4"/>
  <c r="T717" i="3"/>
  <c r="S717" i="3"/>
  <c r="D36" i="3"/>
  <c r="D37" i="3" s="1"/>
  <c r="D42" i="4"/>
  <c r="D41" i="4"/>
  <c r="D36" i="4"/>
  <c r="D37" i="4" s="1"/>
  <c r="G717" i="3"/>
  <c r="F717" i="3"/>
  <c r="D45" i="4"/>
  <c r="D44" i="4"/>
  <c r="N37" i="3" l="1"/>
  <c r="C624" i="3"/>
  <c r="B718" i="3"/>
  <c r="L717" i="3"/>
  <c r="D46" i="4"/>
  <c r="Y717" i="3"/>
  <c r="O718" i="3"/>
  <c r="F718" i="4"/>
  <c r="G718" i="4"/>
  <c r="N37" i="4"/>
  <c r="C624" i="4"/>
  <c r="T718" i="4"/>
  <c r="S718" i="4"/>
  <c r="L718" i="4" l="1"/>
  <c r="B719" i="4"/>
  <c r="T718" i="3"/>
  <c r="S718" i="3"/>
  <c r="Y718" i="4"/>
  <c r="O719" i="4"/>
  <c r="G718" i="3"/>
  <c r="F718" i="3"/>
  <c r="T719" i="4" l="1"/>
  <c r="S719" i="4"/>
  <c r="L718" i="3"/>
  <c r="B719" i="3"/>
  <c r="O719" i="3"/>
  <c r="Y718" i="3"/>
  <c r="G719" i="4"/>
  <c r="F719" i="4"/>
  <c r="T719" i="3" l="1"/>
  <c r="S719" i="3"/>
  <c r="B720" i="4"/>
  <c r="L719" i="4"/>
  <c r="G719" i="3"/>
  <c r="F719" i="3"/>
  <c r="Y719" i="4"/>
  <c r="O720" i="4"/>
  <c r="T720" i="4" l="1"/>
  <c r="S720" i="4"/>
  <c r="L719" i="3"/>
  <c r="B720" i="3"/>
  <c r="F720" i="4"/>
  <c r="G720" i="4"/>
  <c r="Y719" i="3"/>
  <c r="O720" i="3"/>
  <c r="T720" i="3" l="1"/>
  <c r="S720" i="3"/>
  <c r="L720" i="4"/>
  <c r="B721" i="4"/>
  <c r="G720" i="3"/>
  <c r="F720" i="3"/>
  <c r="Y720" i="4"/>
  <c r="O721" i="4"/>
  <c r="S721" i="4" l="1"/>
  <c r="T721" i="4"/>
  <c r="B721" i="3"/>
  <c r="L720" i="3"/>
  <c r="G721" i="4"/>
  <c r="F721" i="4"/>
  <c r="Y720" i="3"/>
  <c r="O721" i="3"/>
  <c r="T721" i="3" l="1"/>
  <c r="S721" i="3"/>
  <c r="L721" i="4"/>
  <c r="B722" i="4"/>
  <c r="G721" i="3"/>
  <c r="F721" i="3"/>
  <c r="Y721" i="4"/>
  <c r="O722" i="4"/>
  <c r="T722" i="4" l="1"/>
  <c r="S722" i="4"/>
  <c r="B722" i="3"/>
  <c r="L721" i="3"/>
  <c r="G722" i="4"/>
  <c r="F722" i="4"/>
  <c r="O722" i="3"/>
  <c r="Y721" i="3"/>
  <c r="T722" i="3" l="1"/>
  <c r="S722" i="3"/>
  <c r="L722" i="4"/>
  <c r="B723" i="4"/>
  <c r="G722" i="3"/>
  <c r="F722" i="3"/>
  <c r="Y722" i="4"/>
  <c r="O723" i="4"/>
  <c r="T723" i="4" l="1"/>
  <c r="S723" i="4"/>
  <c r="L722" i="3"/>
  <c r="B723" i="3"/>
  <c r="F723" i="4"/>
  <c r="G723" i="4"/>
  <c r="O723" i="3"/>
  <c r="Y722" i="3"/>
  <c r="L723" i="4" l="1"/>
  <c r="B724" i="4"/>
  <c r="T723" i="3"/>
  <c r="S723" i="3"/>
  <c r="G723" i="3"/>
  <c r="F723" i="3"/>
  <c r="Y723" i="4"/>
  <c r="O724" i="4"/>
  <c r="B724" i="3" l="1"/>
  <c r="L723" i="3"/>
  <c r="T724" i="4"/>
  <c r="S724" i="4"/>
  <c r="Y723" i="3"/>
  <c r="O724" i="3"/>
  <c r="G724" i="4"/>
  <c r="F724" i="4"/>
  <c r="L724" i="4" l="1"/>
  <c r="B725" i="4"/>
  <c r="O725" i="4"/>
  <c r="Y724" i="4"/>
  <c r="T724" i="3"/>
  <c r="S724" i="3"/>
  <c r="F724" i="3"/>
  <c r="G724" i="3"/>
  <c r="B725" i="3" l="1"/>
  <c r="L724" i="3"/>
  <c r="O725" i="3"/>
  <c r="Y724" i="3"/>
  <c r="T725" i="4"/>
  <c r="S725" i="4"/>
  <c r="G725" i="4"/>
  <c r="F725" i="4"/>
  <c r="L725" i="4" l="1"/>
  <c r="B726" i="4"/>
  <c r="Y725" i="4"/>
  <c r="O726" i="4"/>
  <c r="S725" i="3"/>
  <c r="T725" i="3"/>
  <c r="G725" i="3"/>
  <c r="F725" i="3"/>
  <c r="L725" i="3" l="1"/>
  <c r="B726" i="3"/>
  <c r="O726" i="3"/>
  <c r="Y725" i="3"/>
  <c r="T726" i="4"/>
  <c r="S726" i="4"/>
  <c r="F726" i="4"/>
  <c r="G726" i="4"/>
  <c r="O727" i="4" l="1"/>
  <c r="Y726" i="4"/>
  <c r="B727" i="4"/>
  <c r="L726" i="4"/>
  <c r="T726" i="3"/>
  <c r="S726" i="3"/>
  <c r="G726" i="3"/>
  <c r="F726" i="3"/>
  <c r="B727" i="3" l="1"/>
  <c r="L726" i="3"/>
  <c r="Y726" i="3"/>
  <c r="O727" i="3"/>
  <c r="G727" i="4"/>
  <c r="F727" i="4"/>
  <c r="T727" i="4"/>
  <c r="S727" i="4"/>
  <c r="B728" i="4" l="1"/>
  <c r="L727" i="4"/>
  <c r="O728" i="4"/>
  <c r="Y727" i="4"/>
  <c r="T727" i="3"/>
  <c r="S727" i="3"/>
  <c r="G727" i="3"/>
  <c r="F727" i="3"/>
  <c r="Y727" i="3" l="1"/>
  <c r="O728" i="3"/>
  <c r="B728" i="3"/>
  <c r="L727" i="3"/>
  <c r="T728" i="4"/>
  <c r="S728" i="4"/>
  <c r="G728" i="4"/>
  <c r="F728" i="4"/>
  <c r="Y728" i="4" l="1"/>
  <c r="O729" i="4"/>
  <c r="L728" i="4"/>
  <c r="B729" i="4"/>
  <c r="G728" i="3"/>
  <c r="F728" i="3"/>
  <c r="S728" i="3"/>
  <c r="T728" i="3"/>
  <c r="O729" i="3" l="1"/>
  <c r="Y728" i="3"/>
  <c r="L728" i="3"/>
  <c r="B729" i="3"/>
  <c r="G729" i="4"/>
  <c r="F729" i="4"/>
  <c r="T729" i="4"/>
  <c r="S729" i="4"/>
  <c r="Y729" i="4" l="1"/>
  <c r="O730" i="4"/>
  <c r="B730" i="4"/>
  <c r="L729" i="4"/>
  <c r="G729" i="3"/>
  <c r="F729" i="3"/>
  <c r="T729" i="3"/>
  <c r="S729" i="3"/>
  <c r="Y729" i="3" l="1"/>
  <c r="O730" i="3"/>
  <c r="G730" i="4"/>
  <c r="F730" i="4"/>
  <c r="L729" i="3"/>
  <c r="B730" i="3"/>
  <c r="S730" i="4"/>
  <c r="T730" i="4"/>
  <c r="B731" i="4" l="1"/>
  <c r="L730" i="4"/>
  <c r="O731" i="4"/>
  <c r="Y730" i="4"/>
  <c r="F730" i="3"/>
  <c r="G730" i="3"/>
  <c r="T730" i="3"/>
  <c r="S730" i="3"/>
  <c r="Y730" i="3" l="1"/>
  <c r="O731" i="3"/>
  <c r="B731" i="3"/>
  <c r="L730" i="3"/>
  <c r="S731" i="4"/>
  <c r="T731" i="4"/>
  <c r="G731" i="4"/>
  <c r="F731" i="4"/>
  <c r="L731" i="4" l="1"/>
  <c r="B732" i="4"/>
  <c r="T731" i="3"/>
  <c r="S731" i="3"/>
  <c r="O732" i="4"/>
  <c r="Y731" i="4"/>
  <c r="G731" i="3"/>
  <c r="F731" i="3"/>
  <c r="T732" i="4" l="1"/>
  <c r="S732" i="4"/>
  <c r="O732" i="3"/>
  <c r="Y731" i="3"/>
  <c r="L731" i="3"/>
  <c r="B732" i="3"/>
  <c r="F732" i="4"/>
  <c r="G732" i="4"/>
  <c r="G732" i="3" l="1"/>
  <c r="F732" i="3"/>
  <c r="L732" i="4"/>
  <c r="B733" i="4"/>
  <c r="T732" i="3"/>
  <c r="S732" i="3"/>
  <c r="Y732" i="4"/>
  <c r="O733" i="4"/>
  <c r="Y732" i="3" l="1"/>
  <c r="O733" i="3"/>
  <c r="G733" i="4"/>
  <c r="F733" i="4"/>
  <c r="T733" i="4"/>
  <c r="S733" i="4"/>
  <c r="L732" i="3"/>
  <c r="B733" i="3"/>
  <c r="G733" i="3" l="1"/>
  <c r="F733" i="3"/>
  <c r="O734" i="4"/>
  <c r="Y733" i="4"/>
  <c r="L733" i="4"/>
  <c r="B734" i="4"/>
  <c r="T733" i="3"/>
  <c r="S733" i="3"/>
  <c r="Y733" i="3" l="1"/>
  <c r="O734" i="3"/>
  <c r="G734" i="4"/>
  <c r="F734" i="4"/>
  <c r="T734" i="4"/>
  <c r="S734" i="4"/>
  <c r="B734" i="3"/>
  <c r="L733" i="3"/>
  <c r="G734" i="3" l="1"/>
  <c r="F734" i="3"/>
  <c r="O735" i="4"/>
  <c r="Y734" i="4"/>
  <c r="L734" i="4"/>
  <c r="B735" i="4"/>
  <c r="T734" i="3"/>
  <c r="S734" i="3"/>
  <c r="O735" i="3" l="1"/>
  <c r="Y734" i="3"/>
  <c r="G735" i="4"/>
  <c r="F735" i="4"/>
  <c r="T735" i="4"/>
  <c r="S735" i="4"/>
  <c r="L734" i="3"/>
  <c r="B735" i="3"/>
  <c r="Y735" i="4" l="1"/>
  <c r="O736" i="4"/>
  <c r="G735" i="3"/>
  <c r="F735" i="3"/>
  <c r="B736" i="4"/>
  <c r="L735" i="4"/>
  <c r="T735" i="3"/>
  <c r="S735" i="3"/>
  <c r="O736" i="3" l="1"/>
  <c r="Y735" i="3"/>
  <c r="G736" i="4"/>
  <c r="F736" i="4"/>
  <c r="L735" i="3"/>
  <c r="B736" i="3"/>
  <c r="T736" i="4"/>
  <c r="S736" i="4"/>
  <c r="O737" i="4" l="1"/>
  <c r="Y736" i="4"/>
  <c r="L736" i="4"/>
  <c r="B737" i="4"/>
  <c r="G736" i="3"/>
  <c r="F736" i="3"/>
  <c r="T736" i="3"/>
  <c r="S736" i="3"/>
  <c r="B737" i="3" l="1"/>
  <c r="L736" i="3"/>
  <c r="Y736" i="3"/>
  <c r="O737" i="3"/>
  <c r="G737" i="4"/>
  <c r="F737" i="4"/>
  <c r="T737" i="4"/>
  <c r="S737" i="4"/>
  <c r="O738" i="4" l="1"/>
  <c r="Y737" i="4"/>
  <c r="L737" i="4"/>
  <c r="B738" i="4"/>
  <c r="T737" i="3"/>
  <c r="S737" i="3"/>
  <c r="G737" i="3"/>
  <c r="F737" i="3"/>
  <c r="B738" i="3" l="1"/>
  <c r="L737" i="3"/>
  <c r="O738" i="3"/>
  <c r="Y737" i="3"/>
  <c r="G738" i="4"/>
  <c r="F738" i="4"/>
  <c r="T738" i="4"/>
  <c r="S738" i="4"/>
  <c r="B739" i="4" l="1"/>
  <c r="L738" i="4"/>
  <c r="O739" i="4"/>
  <c r="Y738" i="4"/>
  <c r="T738" i="3"/>
  <c r="S738" i="3"/>
  <c r="G738" i="3"/>
  <c r="F738" i="3"/>
  <c r="Y738" i="3" l="1"/>
  <c r="O739" i="3"/>
  <c r="L738" i="3"/>
  <c r="B739" i="3"/>
  <c r="T739" i="4"/>
  <c r="S739" i="4"/>
  <c r="G739" i="4"/>
  <c r="F739" i="4"/>
  <c r="L739" i="4" l="1"/>
  <c r="B740" i="4"/>
  <c r="Y739" i="4"/>
  <c r="O740" i="4"/>
  <c r="G739" i="3"/>
  <c r="F739" i="3"/>
  <c r="T739" i="3"/>
  <c r="S739" i="3"/>
  <c r="Y739" i="3" l="1"/>
  <c r="O740" i="3"/>
  <c r="B740" i="3"/>
  <c r="L739" i="3"/>
  <c r="S740" i="4"/>
  <c r="T740" i="4"/>
  <c r="G740" i="4"/>
  <c r="F740" i="4"/>
  <c r="L740" i="4" l="1"/>
  <c r="B741" i="4"/>
  <c r="O741" i="4"/>
  <c r="Y740" i="4"/>
  <c r="G740" i="3"/>
  <c r="F740" i="3"/>
  <c r="T740" i="3"/>
  <c r="S740" i="3"/>
  <c r="L740" i="3" l="1"/>
  <c r="B741" i="3"/>
  <c r="O741" i="3"/>
  <c r="Y740" i="3"/>
  <c r="S741" i="4"/>
  <c r="T741" i="4"/>
  <c r="G741" i="4"/>
  <c r="F741" i="4"/>
  <c r="L741" i="4" l="1"/>
  <c r="B742" i="4"/>
  <c r="O742" i="4"/>
  <c r="Y741" i="4"/>
  <c r="T741" i="3"/>
  <c r="S741" i="3"/>
  <c r="G741" i="3"/>
  <c r="F741" i="3"/>
  <c r="L741" i="3" l="1"/>
  <c r="B742" i="3"/>
  <c r="O742" i="3"/>
  <c r="Y741" i="3"/>
  <c r="T742" i="4"/>
  <c r="S742" i="4"/>
  <c r="F742" i="4"/>
  <c r="G742" i="4"/>
  <c r="O743" i="4" l="1"/>
  <c r="Y742" i="4"/>
  <c r="L742" i="4"/>
  <c r="B743" i="4"/>
  <c r="T742" i="3"/>
  <c r="S742" i="3"/>
  <c r="G742" i="3"/>
  <c r="F742" i="3"/>
  <c r="B743" i="3" l="1"/>
  <c r="L742" i="3"/>
  <c r="Y742" i="3"/>
  <c r="O743" i="3"/>
  <c r="G743" i="4"/>
  <c r="F743" i="4"/>
  <c r="T743" i="4"/>
  <c r="S743" i="4"/>
  <c r="L743" i="4" l="1"/>
  <c r="B744" i="4"/>
  <c r="T743" i="3"/>
  <c r="S743" i="3"/>
  <c r="O744" i="4"/>
  <c r="Y743" i="4"/>
  <c r="G743" i="3"/>
  <c r="F743" i="3"/>
  <c r="B744" i="3" l="1"/>
  <c r="L743" i="3"/>
  <c r="Y743" i="3"/>
  <c r="O744" i="3"/>
  <c r="S744" i="4"/>
  <c r="T744" i="4"/>
  <c r="G744" i="4"/>
  <c r="F744" i="4"/>
  <c r="L744" i="4" l="1"/>
  <c r="B745" i="4"/>
  <c r="O745" i="4"/>
  <c r="Y744" i="4"/>
  <c r="S744" i="3"/>
  <c r="T744" i="3"/>
  <c r="G744" i="3"/>
  <c r="F744" i="3"/>
  <c r="L744" i="3" l="1"/>
  <c r="B745" i="3"/>
  <c r="Y744" i="3"/>
  <c r="O745" i="3"/>
  <c r="T745" i="4"/>
  <c r="S745" i="4"/>
  <c r="G745" i="4"/>
  <c r="F745" i="4"/>
  <c r="B746" i="4" l="1"/>
  <c r="L745" i="4"/>
  <c r="Y745" i="4"/>
  <c r="O746" i="4"/>
  <c r="T745" i="3"/>
  <c r="S745" i="3"/>
  <c r="G745" i="3"/>
  <c r="F745" i="3"/>
  <c r="L745" i="3" l="1"/>
  <c r="B746" i="3"/>
  <c r="Y745" i="3"/>
  <c r="O746" i="3"/>
  <c r="S746" i="4"/>
  <c r="T746" i="4"/>
  <c r="G746" i="4"/>
  <c r="F746" i="4"/>
  <c r="F746" i="3" l="1"/>
  <c r="G746" i="3"/>
  <c r="L746" i="4"/>
  <c r="B747" i="4"/>
  <c r="O747" i="4"/>
  <c r="Y746" i="4"/>
  <c r="T746" i="3"/>
  <c r="S746" i="3"/>
  <c r="Y746" i="3" l="1"/>
  <c r="O747" i="3"/>
  <c r="T747" i="4"/>
  <c r="S747" i="4"/>
  <c r="G747" i="4"/>
  <c r="F747" i="4"/>
  <c r="B747" i="3"/>
  <c r="L746" i="3"/>
  <c r="L747" i="4" l="1"/>
  <c r="B748" i="4"/>
  <c r="T747" i="3"/>
  <c r="S747" i="3"/>
  <c r="G747" i="3"/>
  <c r="F747" i="3"/>
  <c r="O748" i="4"/>
  <c r="Y747" i="4"/>
  <c r="L747" i="3" l="1"/>
  <c r="B748" i="3"/>
  <c r="O748" i="3"/>
  <c r="Y747" i="3"/>
  <c r="T748" i="4"/>
  <c r="S748" i="4"/>
  <c r="G748" i="4"/>
  <c r="F748" i="4"/>
  <c r="B749" i="4" l="1"/>
  <c r="L748" i="4"/>
  <c r="Y748" i="4"/>
  <c r="O749" i="4"/>
  <c r="T748" i="3"/>
  <c r="S748" i="3"/>
  <c r="G748" i="3"/>
  <c r="F748" i="3"/>
  <c r="L748" i="3" l="1"/>
  <c r="B749" i="3"/>
  <c r="Y748" i="3"/>
  <c r="O749" i="3"/>
  <c r="T749" i="4"/>
  <c r="S749" i="4"/>
  <c r="G749" i="4"/>
  <c r="F749" i="4"/>
  <c r="B750" i="4" l="1"/>
  <c r="L749" i="4"/>
  <c r="O750" i="4"/>
  <c r="Y749" i="4"/>
  <c r="T749" i="3"/>
  <c r="S749" i="3"/>
  <c r="G749" i="3"/>
  <c r="F749" i="3"/>
  <c r="O750" i="3" l="1"/>
  <c r="Y749" i="3"/>
  <c r="L749" i="3"/>
  <c r="B750" i="3"/>
  <c r="T750" i="4"/>
  <c r="S750" i="4"/>
  <c r="G750" i="4"/>
  <c r="F750" i="4"/>
  <c r="Y750" i="4" l="1"/>
  <c r="O751" i="4"/>
  <c r="L750" i="4"/>
  <c r="B751" i="4"/>
  <c r="G750" i="3"/>
  <c r="F750" i="3"/>
  <c r="T750" i="3"/>
  <c r="S750" i="3"/>
  <c r="L750" i="3" l="1"/>
  <c r="B751" i="3"/>
  <c r="O751" i="3"/>
  <c r="Y750" i="3"/>
  <c r="G751" i="4"/>
  <c r="F751" i="4"/>
  <c r="T751" i="4"/>
  <c r="S751" i="4"/>
  <c r="Y751" i="4" l="1"/>
  <c r="O752" i="4"/>
  <c r="B752" i="4"/>
  <c r="L751" i="4"/>
  <c r="T751" i="3"/>
  <c r="S751" i="3"/>
  <c r="G751" i="3"/>
  <c r="F751" i="3"/>
  <c r="B752" i="3" l="1"/>
  <c r="L751" i="3"/>
  <c r="Y751" i="3"/>
  <c r="O752" i="3"/>
  <c r="G752" i="4"/>
  <c r="F752" i="4"/>
  <c r="T752" i="4"/>
  <c r="S752" i="4"/>
  <c r="O753" i="4" l="1"/>
  <c r="Y752" i="4"/>
  <c r="L752" i="4"/>
  <c r="B753" i="4"/>
  <c r="T752" i="3"/>
  <c r="S752" i="3"/>
  <c r="F752" i="3"/>
  <c r="G752" i="3"/>
  <c r="O753" i="3" l="1"/>
  <c r="Y752" i="3"/>
  <c r="B753" i="3"/>
  <c r="L752" i="3"/>
  <c r="G753" i="4"/>
  <c r="F753" i="4"/>
  <c r="T753" i="4"/>
  <c r="S753" i="4"/>
  <c r="L753" i="4" l="1"/>
  <c r="B754" i="4"/>
  <c r="O754" i="4"/>
  <c r="Y753" i="4"/>
  <c r="G753" i="3"/>
  <c r="F753" i="3"/>
  <c r="S753" i="3"/>
  <c r="T753" i="3"/>
  <c r="O754" i="3" l="1"/>
  <c r="Y753" i="3"/>
  <c r="L753" i="3"/>
  <c r="B754" i="3"/>
  <c r="T754" i="4"/>
  <c r="S754" i="4"/>
  <c r="G754" i="4"/>
  <c r="F754" i="4"/>
  <c r="Y754" i="4" l="1"/>
  <c r="O755" i="4"/>
  <c r="B755" i="4"/>
  <c r="L754" i="4"/>
  <c r="G754" i="3"/>
  <c r="F754" i="3"/>
  <c r="T754" i="3"/>
  <c r="S754" i="3"/>
  <c r="Y754" i="3" l="1"/>
  <c r="O755" i="3"/>
  <c r="B755" i="3"/>
  <c r="L754" i="3"/>
  <c r="G755" i="4"/>
  <c r="F755" i="4"/>
  <c r="T755" i="4"/>
  <c r="S755" i="4"/>
  <c r="Y755" i="4" l="1"/>
  <c r="O756" i="4"/>
  <c r="B756" i="4"/>
  <c r="L755" i="4"/>
  <c r="G755" i="3"/>
  <c r="F755" i="3"/>
  <c r="T755" i="3"/>
  <c r="S755" i="3"/>
  <c r="O756" i="3" l="1"/>
  <c r="Y755" i="3"/>
  <c r="L755" i="3"/>
  <c r="B756" i="3"/>
  <c r="G756" i="4"/>
  <c r="F756" i="4"/>
  <c r="S756" i="4"/>
  <c r="T756" i="4"/>
  <c r="O757" i="4" l="1"/>
  <c r="Y756" i="4"/>
  <c r="L756" i="4"/>
  <c r="B757" i="4"/>
  <c r="G756" i="3"/>
  <c r="F756" i="3"/>
  <c r="T756" i="3"/>
  <c r="S756" i="3"/>
  <c r="Y756" i="3" l="1"/>
  <c r="O757" i="3"/>
  <c r="L756" i="3"/>
  <c r="B757" i="3"/>
  <c r="G757" i="4"/>
  <c r="F757" i="4"/>
  <c r="S757" i="4"/>
  <c r="T757" i="4"/>
  <c r="Y757" i="4" l="1"/>
  <c r="O758" i="4"/>
  <c r="L757" i="4"/>
  <c r="B758" i="4"/>
  <c r="G757" i="3"/>
  <c r="F757" i="3"/>
  <c r="T757" i="3"/>
  <c r="S757" i="3"/>
  <c r="B758" i="3" l="1"/>
  <c r="L757" i="3"/>
  <c r="Y757" i="3"/>
  <c r="O758" i="3"/>
  <c r="F758" i="4"/>
  <c r="G758" i="4"/>
  <c r="T758" i="4"/>
  <c r="S758" i="4"/>
  <c r="Y758" i="4" l="1"/>
  <c r="O759" i="4"/>
  <c r="B759" i="4"/>
  <c r="L758" i="4"/>
  <c r="T758" i="3"/>
  <c r="S758" i="3"/>
  <c r="G758" i="3"/>
  <c r="F758" i="3"/>
  <c r="O759" i="3" l="1"/>
  <c r="Y758" i="3"/>
  <c r="B759" i="3"/>
  <c r="L758" i="3"/>
  <c r="G759" i="4"/>
  <c r="F759" i="4"/>
  <c r="T759" i="4"/>
  <c r="S759" i="4"/>
  <c r="O760" i="4" l="1"/>
  <c r="Y759" i="4"/>
  <c r="L759" i="4"/>
  <c r="B760" i="4"/>
  <c r="G759" i="3"/>
  <c r="F759" i="3"/>
  <c r="T759" i="3"/>
  <c r="S759" i="3"/>
  <c r="O760" i="3" l="1"/>
  <c r="Y759" i="3"/>
  <c r="L759" i="3"/>
  <c r="B760" i="3"/>
  <c r="G760" i="4"/>
  <c r="F760" i="4"/>
  <c r="S760" i="4"/>
  <c r="T760" i="4"/>
  <c r="L760" i="4" l="1"/>
  <c r="B761" i="4"/>
  <c r="O761" i="4"/>
  <c r="Y760" i="4"/>
  <c r="G760" i="3"/>
  <c r="F760" i="3"/>
  <c r="S760" i="3"/>
  <c r="T760" i="3"/>
  <c r="B761" i="3" l="1"/>
  <c r="L760" i="3"/>
  <c r="Y760" i="3"/>
  <c r="O761" i="3"/>
  <c r="T761" i="4"/>
  <c r="S761" i="4"/>
  <c r="G761" i="4"/>
  <c r="F761" i="4"/>
  <c r="B762" i="4" l="1"/>
  <c r="L761" i="4"/>
  <c r="Y761" i="4"/>
  <c r="O762" i="4"/>
  <c r="T761" i="3"/>
  <c r="S761" i="3"/>
  <c r="G761" i="3"/>
  <c r="F761" i="3"/>
  <c r="B762" i="3" l="1"/>
  <c r="L761" i="3"/>
  <c r="Y761" i="3"/>
  <c r="O762" i="3"/>
  <c r="T762" i="4"/>
  <c r="S762" i="4"/>
  <c r="G762" i="4"/>
  <c r="F762" i="4"/>
  <c r="B763" i="4" l="1"/>
  <c r="L762" i="4"/>
  <c r="O763" i="4"/>
  <c r="Y762" i="4"/>
  <c r="S762" i="3"/>
  <c r="T762" i="3"/>
  <c r="G762" i="3"/>
  <c r="F762" i="3"/>
  <c r="L762" i="3" l="1"/>
  <c r="B763" i="3"/>
  <c r="Y762" i="3"/>
  <c r="O763" i="3"/>
  <c r="T763" i="4"/>
  <c r="S763" i="4"/>
  <c r="G763" i="4"/>
  <c r="F763" i="4"/>
  <c r="L763" i="4" l="1"/>
  <c r="B764" i="4"/>
  <c r="O764" i="4"/>
  <c r="Y763" i="4"/>
  <c r="T763" i="3"/>
  <c r="S763" i="3"/>
  <c r="G763" i="3"/>
  <c r="F763" i="3"/>
  <c r="Y763" i="3" l="1"/>
  <c r="O764" i="3"/>
  <c r="L763" i="3"/>
  <c r="B764" i="3"/>
  <c r="T764" i="4"/>
  <c r="S764" i="4"/>
  <c r="G764" i="4"/>
  <c r="F764" i="4"/>
  <c r="Y764" i="4" l="1"/>
  <c r="O765" i="4"/>
  <c r="B765" i="4"/>
  <c r="L764" i="4"/>
  <c r="F764" i="3"/>
  <c r="G764" i="3"/>
  <c r="T764" i="3"/>
  <c r="S764" i="3"/>
  <c r="Y764" i="3" l="1"/>
  <c r="O765" i="3"/>
  <c r="B765" i="3"/>
  <c r="L764" i="3"/>
  <c r="G765" i="4"/>
  <c r="F765" i="4"/>
  <c r="T765" i="4"/>
  <c r="S765" i="4"/>
  <c r="O766" i="4" l="1"/>
  <c r="Y765" i="4"/>
  <c r="L765" i="4"/>
  <c r="B766" i="4"/>
  <c r="G765" i="3"/>
  <c r="F765" i="3"/>
  <c r="T765" i="3"/>
  <c r="S765" i="3"/>
  <c r="O766" i="3" l="1"/>
  <c r="Y765" i="3"/>
  <c r="L765" i="3"/>
  <c r="B766" i="3"/>
  <c r="G766" i="4"/>
  <c r="F766" i="4"/>
  <c r="T766" i="4"/>
  <c r="S766" i="4"/>
  <c r="Y766" i="4" l="1"/>
  <c r="O767" i="4"/>
  <c r="L766" i="4"/>
  <c r="B767" i="4"/>
  <c r="G766" i="3"/>
  <c r="F766" i="3"/>
  <c r="T766" i="3"/>
  <c r="S766" i="3"/>
  <c r="O767" i="3" l="1"/>
  <c r="Y766" i="3"/>
  <c r="L766" i="3"/>
  <c r="B767" i="3"/>
  <c r="G767" i="4"/>
  <c r="F767" i="4"/>
  <c r="S767" i="4"/>
  <c r="T767" i="4"/>
  <c r="B768" i="4" l="1"/>
  <c r="L767" i="4"/>
  <c r="Y767" i="4"/>
  <c r="O768" i="4"/>
  <c r="G767" i="3"/>
  <c r="F767" i="3"/>
  <c r="T767" i="3"/>
  <c r="S767" i="3"/>
  <c r="Y767" i="3" l="1"/>
  <c r="O768" i="3"/>
  <c r="B768" i="3"/>
  <c r="L767" i="3"/>
  <c r="T768" i="4"/>
  <c r="S768" i="4"/>
  <c r="G768" i="4"/>
  <c r="F768" i="4"/>
  <c r="O769" i="4" l="1"/>
  <c r="Y768" i="4"/>
  <c r="L768" i="4"/>
  <c r="B769" i="4"/>
  <c r="G768" i="3"/>
  <c r="F768" i="3"/>
  <c r="T768" i="3"/>
  <c r="S768" i="3"/>
  <c r="O769" i="3" l="1"/>
  <c r="Y768" i="3"/>
  <c r="B769" i="3"/>
  <c r="L768" i="3"/>
  <c r="G769" i="4"/>
  <c r="F769" i="4"/>
  <c r="T769" i="4"/>
  <c r="S769" i="4"/>
  <c r="O770" i="4" l="1"/>
  <c r="Y769" i="4"/>
  <c r="L769" i="4"/>
  <c r="B770" i="4"/>
  <c r="G769" i="3"/>
  <c r="F769" i="3"/>
  <c r="T769" i="3"/>
  <c r="S769" i="3"/>
  <c r="O770" i="3" l="1"/>
  <c r="Y769" i="3"/>
  <c r="L769" i="3"/>
  <c r="B770" i="3"/>
  <c r="G770" i="4"/>
  <c r="F770" i="4"/>
  <c r="T770" i="4"/>
  <c r="S770" i="4"/>
  <c r="Y770" i="4" l="1"/>
  <c r="O771" i="4"/>
  <c r="B771" i="4"/>
  <c r="L770" i="4"/>
  <c r="G770" i="3"/>
  <c r="F770" i="3"/>
  <c r="T770" i="3"/>
  <c r="S770" i="3"/>
  <c r="Y770" i="3" l="1"/>
  <c r="O771" i="3"/>
  <c r="B771" i="3"/>
  <c r="L770" i="3"/>
  <c r="G771" i="4"/>
  <c r="F771" i="4"/>
  <c r="T771" i="4"/>
  <c r="S771" i="4"/>
  <c r="Y771" i="4" l="1"/>
  <c r="O772" i="4"/>
  <c r="L771" i="4"/>
  <c r="B772" i="4"/>
  <c r="G771" i="3"/>
  <c r="F771" i="3"/>
  <c r="T771" i="3"/>
  <c r="S771" i="3"/>
  <c r="O772" i="3" l="1"/>
  <c r="Y771" i="3"/>
  <c r="L771" i="3"/>
  <c r="B772" i="3"/>
  <c r="G772" i="4"/>
  <c r="F772" i="4"/>
  <c r="S772" i="4"/>
  <c r="T772" i="4"/>
  <c r="O773" i="4" l="1"/>
  <c r="Y772" i="4"/>
  <c r="L772" i="4"/>
  <c r="B773" i="4"/>
  <c r="G772" i="3"/>
  <c r="F772" i="3"/>
  <c r="T772" i="3"/>
  <c r="S772" i="3"/>
  <c r="O773" i="3" l="1"/>
  <c r="Y772" i="3"/>
  <c r="L772" i="3"/>
  <c r="B773" i="3"/>
  <c r="G773" i="4"/>
  <c r="F773" i="4"/>
  <c r="T773" i="4"/>
  <c r="S773" i="4"/>
  <c r="Y773" i="4" l="1"/>
  <c r="O774" i="4"/>
  <c r="L773" i="4"/>
  <c r="B774" i="4"/>
  <c r="G773" i="3"/>
  <c r="F773" i="3"/>
  <c r="T773" i="3"/>
  <c r="S773" i="3"/>
  <c r="Y773" i="3" l="1"/>
  <c r="O774" i="3"/>
  <c r="B774" i="3"/>
  <c r="L773" i="3"/>
  <c r="F774" i="4"/>
  <c r="G774" i="4"/>
  <c r="T774" i="4"/>
  <c r="S774" i="4"/>
  <c r="Y774" i="4" l="1"/>
  <c r="O775" i="4"/>
  <c r="B775" i="4"/>
  <c r="L774" i="4"/>
  <c r="F774" i="3"/>
  <c r="G774" i="3"/>
  <c r="T774" i="3"/>
  <c r="S774" i="3"/>
  <c r="O775" i="3" l="1"/>
  <c r="Y774" i="3"/>
  <c r="B775" i="3"/>
  <c r="L774" i="3"/>
  <c r="G775" i="4"/>
  <c r="F775" i="4"/>
  <c r="T775" i="4"/>
  <c r="S775" i="4"/>
  <c r="L775" i="4" l="1"/>
  <c r="B776" i="4"/>
  <c r="O776" i="4"/>
  <c r="Y775" i="4"/>
  <c r="G775" i="3"/>
  <c r="F775" i="3"/>
  <c r="T775" i="3"/>
  <c r="S775" i="3"/>
  <c r="L775" i="3" l="1"/>
  <c r="B776" i="3"/>
  <c r="O776" i="3"/>
  <c r="Y775" i="3"/>
  <c r="S776" i="4"/>
  <c r="T776" i="4"/>
  <c r="G776" i="4"/>
  <c r="F776" i="4"/>
  <c r="L776" i="4" l="1"/>
  <c r="B777" i="4"/>
  <c r="O777" i="4"/>
  <c r="Y776" i="4"/>
  <c r="T776" i="3"/>
  <c r="S776" i="3"/>
  <c r="G776" i="3"/>
  <c r="F776" i="3"/>
  <c r="Y776" i="3" l="1"/>
  <c r="O777" i="3"/>
  <c r="B777" i="3"/>
  <c r="L776" i="3"/>
  <c r="T777" i="4"/>
  <c r="S777" i="4"/>
  <c r="G777" i="4"/>
  <c r="F777" i="4"/>
  <c r="B778" i="4" l="1"/>
  <c r="L777" i="4"/>
  <c r="Y777" i="4"/>
  <c r="O778" i="4"/>
  <c r="G777" i="3"/>
  <c r="F777" i="3"/>
  <c r="T777" i="3"/>
  <c r="S777" i="3"/>
  <c r="Y777" i="3" l="1"/>
  <c r="O778" i="3"/>
  <c r="L777" i="3"/>
  <c r="B778" i="3"/>
  <c r="T778" i="4"/>
  <c r="S778" i="4"/>
  <c r="G778" i="4"/>
  <c r="F778" i="4"/>
  <c r="O779" i="4" l="1"/>
  <c r="Y778" i="4"/>
  <c r="B779" i="4"/>
  <c r="L778" i="4"/>
  <c r="G778" i="3"/>
  <c r="F778" i="3"/>
  <c r="S778" i="3"/>
  <c r="T778" i="3"/>
  <c r="L778" i="3" l="1"/>
  <c r="B779" i="3"/>
  <c r="Y778" i="3"/>
  <c r="O779" i="3"/>
  <c r="G779" i="4"/>
  <c r="F779" i="4"/>
  <c r="T779" i="4"/>
  <c r="S779" i="4"/>
  <c r="L779" i="4" l="1"/>
  <c r="B780" i="4"/>
  <c r="O780" i="4"/>
  <c r="Y779" i="4"/>
  <c r="T779" i="3"/>
  <c r="S779" i="3"/>
  <c r="G779" i="3"/>
  <c r="F779" i="3"/>
  <c r="Y779" i="3" l="1"/>
  <c r="O780" i="3"/>
  <c r="L779" i="3"/>
  <c r="B780" i="3"/>
  <c r="T780" i="4"/>
  <c r="S780" i="4"/>
  <c r="G780" i="4"/>
  <c r="F780" i="4"/>
  <c r="Y780" i="4" l="1"/>
  <c r="O781" i="4"/>
  <c r="B781" i="4"/>
  <c r="L780" i="4"/>
  <c r="F780" i="3"/>
  <c r="G780" i="3"/>
  <c r="T780" i="3"/>
  <c r="S780" i="3"/>
  <c r="Y780" i="3" l="1"/>
  <c r="O781" i="3"/>
  <c r="B781" i="3"/>
  <c r="L780" i="3"/>
  <c r="G781" i="4"/>
  <c r="F781" i="4"/>
  <c r="T781" i="4"/>
  <c r="S781" i="4"/>
  <c r="B782" i="4" l="1"/>
  <c r="L781" i="4"/>
  <c r="O782" i="4"/>
  <c r="Y781" i="4"/>
  <c r="G781" i="3"/>
  <c r="F781" i="3"/>
  <c r="T781" i="3"/>
  <c r="S781" i="3"/>
  <c r="B782" i="3" l="1"/>
  <c r="L781" i="3"/>
  <c r="O782" i="3"/>
  <c r="Y781" i="3"/>
  <c r="T782" i="4"/>
  <c r="S782" i="4"/>
  <c r="G782" i="4"/>
  <c r="F782" i="4"/>
  <c r="O783" i="4" l="1"/>
  <c r="Y782" i="4"/>
  <c r="L782" i="4"/>
  <c r="B783" i="4"/>
  <c r="S782" i="3"/>
  <c r="T782" i="3"/>
  <c r="G782" i="3"/>
  <c r="F782" i="3"/>
  <c r="L782" i="3" l="1"/>
  <c r="B783" i="3"/>
  <c r="O783" i="3"/>
  <c r="Y782" i="3"/>
  <c r="G783" i="4"/>
  <c r="F783" i="4"/>
  <c r="T783" i="4"/>
  <c r="S783" i="4"/>
  <c r="Y783" i="4" l="1"/>
  <c r="O784" i="4"/>
  <c r="B784" i="4"/>
  <c r="L783" i="4"/>
  <c r="T783" i="3"/>
  <c r="S783" i="3"/>
  <c r="G783" i="3"/>
  <c r="F783" i="3"/>
  <c r="B784" i="3" l="1"/>
  <c r="L783" i="3"/>
  <c r="Y783" i="3"/>
  <c r="O784" i="3"/>
  <c r="T784" i="4"/>
  <c r="S784" i="4"/>
  <c r="G784" i="4"/>
  <c r="F784" i="4"/>
  <c r="O785" i="4" l="1"/>
  <c r="Y784" i="4"/>
  <c r="L784" i="4"/>
  <c r="B785" i="4"/>
  <c r="T784" i="3"/>
  <c r="S784" i="3"/>
  <c r="G784" i="3"/>
  <c r="F784" i="3"/>
  <c r="B785" i="3" l="1"/>
  <c r="L784" i="3"/>
  <c r="O785" i="3"/>
  <c r="Y784" i="3"/>
  <c r="G785" i="4"/>
  <c r="F785" i="4"/>
  <c r="T785" i="4"/>
  <c r="S785" i="4"/>
  <c r="Y785" i="4" l="1"/>
  <c r="O786" i="4"/>
  <c r="T785" i="3"/>
  <c r="S785" i="3"/>
  <c r="L785" i="4"/>
  <c r="B786" i="4"/>
  <c r="F785" i="3"/>
  <c r="G785" i="3"/>
  <c r="L785" i="3" l="1"/>
  <c r="B786" i="3"/>
  <c r="G786" i="4"/>
  <c r="F786" i="4"/>
  <c r="Y785" i="3"/>
  <c r="O786" i="3"/>
  <c r="S786" i="4"/>
  <c r="T786" i="4"/>
  <c r="Y786" i="4" l="1"/>
  <c r="O787" i="4"/>
  <c r="T786" i="3"/>
  <c r="S786" i="3"/>
  <c r="B787" i="4"/>
  <c r="L786" i="4"/>
  <c r="G786" i="3"/>
  <c r="F786" i="3"/>
  <c r="B787" i="3" l="1"/>
  <c r="L786" i="3"/>
  <c r="G787" i="4"/>
  <c r="F787" i="4"/>
  <c r="Y786" i="3"/>
  <c r="O787" i="3"/>
  <c r="T787" i="4"/>
  <c r="S787" i="4"/>
  <c r="T787" i="3" l="1"/>
  <c r="S787" i="3"/>
  <c r="Y787" i="4"/>
  <c r="O788" i="4"/>
  <c r="L787" i="4"/>
  <c r="B788" i="4"/>
  <c r="G787" i="3"/>
  <c r="F787" i="3"/>
  <c r="L787" i="3" l="1"/>
  <c r="B788" i="3"/>
  <c r="G788" i="4"/>
  <c r="F788" i="4"/>
  <c r="S788" i="4"/>
  <c r="T788" i="4"/>
  <c r="O788" i="3"/>
  <c r="Y787" i="3"/>
  <c r="T788" i="3" l="1"/>
  <c r="S788" i="3"/>
  <c r="O789" i="4"/>
  <c r="Y788" i="4"/>
  <c r="L788" i="4"/>
  <c r="B789" i="4"/>
  <c r="G788" i="3"/>
  <c r="F788" i="3"/>
  <c r="O789" i="3" l="1"/>
  <c r="Y788" i="3"/>
  <c r="L788" i="3"/>
  <c r="B789" i="3"/>
  <c r="G789" i="4"/>
  <c r="F789" i="4"/>
  <c r="T789" i="4"/>
  <c r="S789" i="4"/>
  <c r="L789" i="4" l="1"/>
  <c r="B790" i="4"/>
  <c r="Y789" i="4"/>
  <c r="O790" i="4"/>
  <c r="G789" i="3"/>
  <c r="F789" i="3"/>
  <c r="T789" i="3"/>
  <c r="S789" i="3"/>
  <c r="Y789" i="3" l="1"/>
  <c r="O790" i="3"/>
  <c r="B790" i="3"/>
  <c r="L789" i="3"/>
  <c r="T790" i="4"/>
  <c r="S790" i="4"/>
  <c r="F790" i="4"/>
  <c r="G790" i="4"/>
  <c r="L790" i="4" l="1"/>
  <c r="B791" i="4"/>
  <c r="Y790" i="4"/>
  <c r="O791" i="4"/>
  <c r="T790" i="3"/>
  <c r="S790" i="3"/>
  <c r="G790" i="3"/>
  <c r="F790" i="3"/>
  <c r="B791" i="3" l="1"/>
  <c r="L790" i="3"/>
  <c r="O791" i="3"/>
  <c r="Y790" i="3"/>
  <c r="T791" i="4"/>
  <c r="S791" i="4"/>
  <c r="G791" i="4"/>
  <c r="F791" i="4"/>
  <c r="O792" i="4" l="1"/>
  <c r="Y791" i="4"/>
  <c r="L791" i="4"/>
  <c r="B792" i="4"/>
  <c r="T791" i="3"/>
  <c r="S791" i="3"/>
  <c r="G791" i="3"/>
  <c r="F791" i="3"/>
  <c r="O792" i="3" l="1"/>
  <c r="Y791" i="3"/>
  <c r="L791" i="3"/>
  <c r="B792" i="3"/>
  <c r="G792" i="4"/>
  <c r="F792" i="4"/>
  <c r="T792" i="4"/>
  <c r="S792" i="4"/>
  <c r="L792" i="4" l="1"/>
  <c r="B793" i="4"/>
  <c r="O793" i="4"/>
  <c r="Y792" i="4"/>
  <c r="G792" i="3"/>
  <c r="F792" i="3"/>
  <c r="T792" i="3"/>
  <c r="S792" i="3"/>
  <c r="Y792" i="3" l="1"/>
  <c r="O793" i="3"/>
  <c r="B793" i="3"/>
  <c r="L792" i="3"/>
  <c r="T793" i="4"/>
  <c r="S793" i="4"/>
  <c r="G793" i="4"/>
  <c r="F793" i="4"/>
  <c r="Y793" i="4" l="1"/>
  <c r="O794" i="4"/>
  <c r="B794" i="4"/>
  <c r="L793" i="4"/>
  <c r="G793" i="3"/>
  <c r="F793" i="3"/>
  <c r="T793" i="3"/>
  <c r="S793" i="3"/>
  <c r="L793" i="3" l="1"/>
  <c r="B794" i="3"/>
  <c r="Y793" i="3"/>
  <c r="O794" i="3"/>
  <c r="G794" i="4"/>
  <c r="F794" i="4"/>
  <c r="T794" i="4"/>
  <c r="S794" i="4"/>
  <c r="S794" i="3" l="1"/>
  <c r="T794" i="3"/>
  <c r="B795" i="4"/>
  <c r="L794" i="4"/>
  <c r="O795" i="4"/>
  <c r="Y794" i="4"/>
  <c r="G794" i="3"/>
  <c r="F794" i="3"/>
  <c r="L794" i="3" l="1"/>
  <c r="B795" i="3"/>
  <c r="S795" i="4"/>
  <c r="T795" i="4"/>
  <c r="G795" i="4"/>
  <c r="F795" i="4"/>
  <c r="O795" i="3"/>
  <c r="Y794" i="3"/>
  <c r="T795" i="3" l="1"/>
  <c r="S795" i="3"/>
  <c r="L795" i="4"/>
  <c r="B796" i="4"/>
  <c r="O796" i="4"/>
  <c r="Y795" i="4"/>
  <c r="G795" i="3"/>
  <c r="F795" i="3"/>
  <c r="G796" i="4" l="1"/>
  <c r="F796" i="4"/>
  <c r="L795" i="3"/>
  <c r="B796" i="3"/>
  <c r="S796" i="4"/>
  <c r="T796" i="4"/>
  <c r="Y795" i="3"/>
  <c r="O796" i="3"/>
  <c r="T796" i="3" l="1"/>
  <c r="S796" i="3"/>
  <c r="Y796" i="4"/>
  <c r="O797" i="4"/>
  <c r="F796" i="3"/>
  <c r="G796" i="3"/>
  <c r="B797" i="4"/>
  <c r="L796" i="4"/>
  <c r="T797" i="4" l="1"/>
  <c r="S797" i="4"/>
  <c r="G797" i="4"/>
  <c r="F797" i="4"/>
  <c r="B797" i="3"/>
  <c r="L796" i="3"/>
  <c r="Y796" i="3"/>
  <c r="O797" i="3"/>
  <c r="T797" i="3" l="1"/>
  <c r="S797" i="3"/>
  <c r="G797" i="3"/>
  <c r="F797" i="3"/>
  <c r="L797" i="4"/>
  <c r="B798" i="4"/>
  <c r="O798" i="4"/>
  <c r="Y797" i="4"/>
  <c r="F798" i="4" l="1"/>
  <c r="G798" i="4"/>
  <c r="B798" i="3"/>
  <c r="L797" i="3"/>
  <c r="T798" i="4"/>
  <c r="S798" i="4"/>
  <c r="O798" i="3"/>
  <c r="Y797" i="3"/>
  <c r="S798" i="3" l="1"/>
  <c r="T798" i="3"/>
  <c r="O799" i="4"/>
  <c r="Y798" i="4"/>
  <c r="G798" i="3"/>
  <c r="F798" i="3"/>
  <c r="L798" i="4"/>
  <c r="B799" i="4"/>
  <c r="G799" i="4" l="1"/>
  <c r="F799" i="4"/>
  <c r="L798" i="3"/>
  <c r="B799" i="3"/>
  <c r="T799" i="4"/>
  <c r="S799" i="4"/>
  <c r="O799" i="3"/>
  <c r="Y798" i="3"/>
  <c r="T799" i="3" l="1"/>
  <c r="S799" i="3"/>
  <c r="Y799" i="4"/>
  <c r="O800" i="4"/>
  <c r="G799" i="3"/>
  <c r="F799" i="3"/>
  <c r="B800" i="4"/>
  <c r="L799" i="4"/>
  <c r="G800" i="4" l="1"/>
  <c r="F800" i="4"/>
  <c r="B800" i="3"/>
  <c r="L799" i="3"/>
  <c r="T800" i="4"/>
  <c r="S800" i="4"/>
  <c r="Y799" i="3"/>
  <c r="O800" i="3"/>
  <c r="T800" i="3" l="1"/>
  <c r="S800" i="3"/>
  <c r="O801" i="4"/>
  <c r="Y800" i="4"/>
  <c r="G800" i="3"/>
  <c r="F800" i="3"/>
  <c r="B801" i="4"/>
  <c r="L800" i="4"/>
  <c r="G801" i="4" l="1"/>
  <c r="F801" i="4"/>
  <c r="B801" i="3"/>
  <c r="L800" i="3"/>
  <c r="T801" i="4"/>
  <c r="S801" i="4"/>
  <c r="O801" i="3"/>
  <c r="Y800" i="3"/>
  <c r="T801" i="3" l="1"/>
  <c r="S801" i="3"/>
  <c r="Y801" i="4"/>
  <c r="O802" i="4"/>
  <c r="F801" i="3"/>
  <c r="G801" i="3"/>
  <c r="L801" i="4"/>
  <c r="B802" i="4"/>
  <c r="G802" i="4" l="1"/>
  <c r="F802" i="4"/>
  <c r="L801" i="3"/>
  <c r="B802" i="3"/>
  <c r="S802" i="4"/>
  <c r="T802" i="4"/>
  <c r="O802" i="3"/>
  <c r="Y801" i="3"/>
  <c r="T802" i="3" l="1"/>
  <c r="S802" i="3"/>
  <c r="Y802" i="4"/>
  <c r="O803" i="4"/>
  <c r="G802" i="3"/>
  <c r="F802" i="3"/>
  <c r="B803" i="4"/>
  <c r="L802" i="4"/>
  <c r="G803" i="4" l="1"/>
  <c r="F803" i="4"/>
  <c r="B803" i="3"/>
  <c r="L802" i="3"/>
  <c r="T803" i="4"/>
  <c r="S803" i="4"/>
  <c r="Y802" i="3"/>
  <c r="O803" i="3"/>
  <c r="Y803" i="4" l="1"/>
  <c r="O804" i="4"/>
  <c r="T803" i="3"/>
  <c r="S803" i="3"/>
  <c r="G803" i="3"/>
  <c r="F803" i="3"/>
  <c r="L803" i="4"/>
  <c r="B804" i="4"/>
  <c r="G804" i="4" l="1"/>
  <c r="F804" i="4"/>
  <c r="B804" i="3"/>
  <c r="L803" i="3"/>
  <c r="O804" i="3"/>
  <c r="Y803" i="3"/>
  <c r="S804" i="4"/>
  <c r="T804" i="4"/>
  <c r="O805" i="4" l="1"/>
  <c r="Y804" i="4"/>
  <c r="T804" i="3"/>
  <c r="S804" i="3"/>
  <c r="G804" i="3"/>
  <c r="F804" i="3"/>
  <c r="L804" i="4"/>
  <c r="B805" i="4"/>
  <c r="G805" i="4" l="1"/>
  <c r="F805" i="4"/>
  <c r="O805" i="3"/>
  <c r="Y804" i="3"/>
  <c r="L804" i="3"/>
  <c r="B805" i="3"/>
  <c r="T805" i="4"/>
  <c r="S805" i="4"/>
  <c r="G805" i="3" l="1"/>
  <c r="F805" i="3"/>
  <c r="Y805" i="4"/>
  <c r="O806" i="4"/>
  <c r="T805" i="3"/>
  <c r="S805" i="3"/>
  <c r="L805" i="4"/>
  <c r="B806" i="4"/>
  <c r="T806" i="4" l="1"/>
  <c r="S806" i="4"/>
  <c r="F806" i="4"/>
  <c r="G806" i="4"/>
  <c r="Y805" i="3"/>
  <c r="O806" i="3"/>
  <c r="B806" i="3"/>
  <c r="L805" i="3"/>
  <c r="G806" i="3" l="1"/>
  <c r="F806" i="3"/>
  <c r="T806" i="3"/>
  <c r="S806" i="3"/>
  <c r="B807" i="4"/>
  <c r="L806" i="4"/>
  <c r="Y806" i="4"/>
  <c r="O807" i="4"/>
  <c r="T807" i="4" l="1"/>
  <c r="S807" i="4"/>
  <c r="G807" i="4"/>
  <c r="F807" i="4"/>
  <c r="O807" i="3"/>
  <c r="Y806" i="3"/>
  <c r="L806" i="3"/>
  <c r="B807" i="3"/>
  <c r="S807" i="3" l="1"/>
  <c r="T807" i="3"/>
  <c r="G807" i="3"/>
  <c r="F807" i="3"/>
  <c r="L807" i="4"/>
  <c r="B808" i="4"/>
  <c r="O808" i="4"/>
  <c r="Y807" i="4"/>
  <c r="T808" i="4" l="1"/>
  <c r="S808" i="4"/>
  <c r="G808" i="4"/>
  <c r="F808" i="4"/>
  <c r="L807" i="3"/>
  <c r="B808" i="3"/>
  <c r="Y807" i="3"/>
  <c r="O808" i="3"/>
  <c r="T808" i="3" l="1"/>
  <c r="S808" i="3"/>
  <c r="G808" i="3"/>
  <c r="F808" i="3"/>
  <c r="L808" i="4"/>
  <c r="B809" i="4"/>
  <c r="Y808" i="4"/>
  <c r="O809" i="4"/>
  <c r="T809" i="4" l="1"/>
  <c r="S809" i="4"/>
  <c r="G809" i="4"/>
  <c r="F809" i="4"/>
  <c r="B809" i="3"/>
  <c r="L808" i="3"/>
  <c r="Y808" i="3"/>
  <c r="O809" i="3"/>
  <c r="F809" i="3" l="1"/>
  <c r="G809" i="3"/>
  <c r="T809" i="3"/>
  <c r="S809" i="3"/>
  <c r="B810" i="4"/>
  <c r="L809" i="4"/>
  <c r="Y809" i="4"/>
  <c r="O810" i="4"/>
  <c r="T810" i="4" l="1"/>
  <c r="S810" i="4"/>
  <c r="G810" i="4"/>
  <c r="F810" i="4"/>
  <c r="Y809" i="3"/>
  <c r="O810" i="3"/>
  <c r="L809" i="3"/>
  <c r="B810" i="3"/>
  <c r="S810" i="3" l="1"/>
  <c r="T810" i="3"/>
  <c r="G810" i="3"/>
  <c r="F810" i="3"/>
  <c r="L810" i="4"/>
  <c r="B811" i="4"/>
  <c r="O811" i="4"/>
  <c r="Y810" i="4"/>
  <c r="G811" i="4" l="1"/>
  <c r="F811" i="4"/>
  <c r="T811" i="4"/>
  <c r="S811" i="4"/>
  <c r="L810" i="3"/>
  <c r="B811" i="3"/>
  <c r="O811" i="3"/>
  <c r="Y810" i="3"/>
  <c r="G811" i="3" l="1"/>
  <c r="F811" i="3"/>
  <c r="T811" i="3"/>
  <c r="S811" i="3"/>
  <c r="Y811" i="4"/>
  <c r="O812" i="4"/>
  <c r="L811" i="4"/>
  <c r="B812" i="4"/>
  <c r="G812" i="4" l="1"/>
  <c r="G629" i="4" s="1"/>
  <c r="G628" i="4" s="1"/>
  <c r="F812" i="4"/>
  <c r="T812" i="4"/>
  <c r="T629" i="4" s="1"/>
  <c r="T628" i="4" s="1"/>
  <c r="T626" i="4" s="1"/>
  <c r="S812" i="4"/>
  <c r="O812" i="3"/>
  <c r="Y811" i="3"/>
  <c r="L811" i="3"/>
  <c r="B812" i="3"/>
  <c r="F812" i="3" l="1"/>
  <c r="G812" i="3"/>
  <c r="G629" i="3" s="1"/>
  <c r="G628" i="3" s="1"/>
  <c r="T812" i="3"/>
  <c r="T629" i="3" s="1"/>
  <c r="T628" i="3" s="1"/>
  <c r="T626" i="3" s="1"/>
  <c r="S812" i="3"/>
  <c r="Y812" i="4"/>
  <c r="S629" i="4"/>
  <c r="S628" i="4" s="1"/>
  <c r="L812" i="4"/>
  <c r="F629" i="4"/>
  <c r="F628" i="4" s="1"/>
  <c r="Y812" i="3" l="1"/>
  <c r="S629" i="3"/>
  <c r="S628" i="3" s="1"/>
  <c r="L812" i="3"/>
  <c r="F629" i="3"/>
  <c r="F62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a92723</author>
  </authors>
  <commentList>
    <comment ref="D23" authorId="0" shapeId="0" xr:uid="{00000000-0006-0000-0200-000001000000}">
      <text>
        <r>
          <rPr>
            <sz val="9"/>
            <color theme="1"/>
            <rFont val="Arial"/>
            <family val="2"/>
          </rPr>
          <t xml:space="preserve">a92723:
Consider the duration out of down-payment (ié 36 months instead of 37 - 48 months instead of 49)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a92723</author>
  </authors>
  <commentList>
    <comment ref="D23" authorId="0" shapeId="0" xr:uid="{00000000-0006-0000-0300-000001000000}">
      <text>
        <r>
          <rPr>
            <sz val="9"/>
            <color theme="1"/>
            <rFont val="Arial"/>
            <family val="2"/>
          </rPr>
          <t xml:space="preserve">a92723:
Consider the duration out of down-payment (ié 36 months instead of 37 - 48 months instead of 49)
</t>
        </r>
      </text>
    </comment>
  </commentList>
</comments>
</file>

<file path=xl/sharedStrings.xml><?xml version="1.0" encoding="utf-8"?>
<sst xmlns="http://schemas.openxmlformats.org/spreadsheetml/2006/main" count="414" uniqueCount="134">
  <si>
    <t xml:space="preserve">Subsidies calculator incl. early repayment
</t>
  </si>
  <si>
    <t>principles</t>
  </si>
  <si>
    <t>Financed amount without downpayment</t>
  </si>
  <si>
    <t>simul_1</t>
  </si>
  <si>
    <t>simul_2</t>
  </si>
  <si>
    <t>simul_3</t>
  </si>
  <si>
    <t>simul_4</t>
  </si>
  <si>
    <t>simul_5</t>
  </si>
  <si>
    <t>simul_6</t>
  </si>
  <si>
    <t>simul_7</t>
  </si>
  <si>
    <t>simul_8</t>
  </si>
  <si>
    <t>simul_9</t>
  </si>
  <si>
    <t>simul_10</t>
  </si>
  <si>
    <t>Main caracteristics</t>
  </si>
  <si>
    <t>MSRP (VAT Included</t>
  </si>
  <si>
    <t>Discount HMF (VAT included)</t>
  </si>
  <si>
    <t>MSRP discounted (VAT included)</t>
  </si>
  <si>
    <t>Down payment (VAT included)</t>
  </si>
  <si>
    <t>Financed amount (VAT included)</t>
  </si>
  <si>
    <t>Financed amount (HT)</t>
  </si>
  <si>
    <t>Durée</t>
  </si>
  <si>
    <t>Duration with linear first payment</t>
  </si>
  <si>
    <t>Reference Rate</t>
  </si>
  <si>
    <t>Customer APR (Promo rate)</t>
  </si>
  <si>
    <t>Residual Value (% of the financed amount)</t>
  </si>
  <si>
    <t>Amount of the RV (in € - VAT included)</t>
  </si>
  <si>
    <t>Amount of the RV (in € - HT)</t>
  </si>
  <si>
    <t>VAT rate</t>
  </si>
  <si>
    <t>Dealer commission</t>
  </si>
  <si>
    <t>Standard commission of the reference rate (average)</t>
  </si>
  <si>
    <t>Commission agreed with the OEM</t>
  </si>
  <si>
    <t xml:space="preserve"> Subsidies (rate / prod)</t>
  </si>
  <si>
    <t>Subsidies per unit (in €) - VAT excluded</t>
  </si>
  <si>
    <t>with VAT</t>
  </si>
  <si>
    <t>Monthly payment - VAT excluded</t>
  </si>
  <si>
    <t>Ratio Outstanding/Production with Reference Rate</t>
  </si>
  <si>
    <t>Outstandings</t>
  </si>
  <si>
    <t>Interest generated with Reference Rate</t>
  </si>
  <si>
    <t>Ration O/P With Promo campaign</t>
  </si>
  <si>
    <t>Interests generated with Promo Rate</t>
  </si>
  <si>
    <t>Ecart de rémunération</t>
  </si>
  <si>
    <t>Standard Commissions (reference)</t>
  </si>
  <si>
    <t>commissions agreed with the OEM</t>
  </si>
  <si>
    <t>Commission delta (standard - agreed)</t>
  </si>
  <si>
    <t>amort tx std</t>
  </si>
  <si>
    <t>amort tx client</t>
  </si>
  <si>
    <t>=(SI(A632&lt;$B$613;VPM($B$614/12;$B$613;-$B$612;$B$617;0);SI(A632=$B$613;VPM($B$614/12;$B$613;-$B$612;$B$617;0)+$B$617;0)))</t>
  </si>
  <si>
    <t>=ARRONDI.SUP(SI(A632&lt;$B$613;VPM($B$614/12;$B$613;-$B$612*SI(CALCULETTE!$D$20=0;1;(1+$B$614/12));$B$617;$B$620);SI(A632=$B$613;VPM($B$614/12;$B$613;-$B$612*SI(CALCULETTE!$D$20=0;1;(1+$B$614/12));$B$617;$B$620)+$B$617;0));2)</t>
  </si>
  <si>
    <t>=SI(A632&lt;$B$613;VPM($B$614/12;SI(SI(ESTVIDE(compensation!$B$4)=VRAI;0;1)&gt;0;+$B$613-1-0;$B$613-0);-$B$612;$B$617;$B$620);SI(A632=$B$613;VPM($B$614/12;$B$613;-$B$612;$B$617;$B$620)+$B$617;0))</t>
  </si>
  <si>
    <t>monatn fi</t>
  </si>
  <si>
    <t>vr</t>
  </si>
  <si>
    <t>échu ou à échoir</t>
  </si>
  <si>
    <t>Financed Amount</t>
  </si>
  <si>
    <t>Duration</t>
  </si>
  <si>
    <t>Hors commissions</t>
  </si>
  <si>
    <t>intérêt 1er mois</t>
  </si>
  <si>
    <t>Promo Rate (Customer APR)</t>
  </si>
  <si>
    <t>TRI std</t>
  </si>
  <si>
    <t>TRI OPS</t>
  </si>
  <si>
    <t>RV</t>
  </si>
  <si>
    <t>Ecart</t>
  </si>
  <si>
    <t xml:space="preserve">RV </t>
  </si>
  <si>
    <t>yc commissions</t>
  </si>
  <si>
    <t>Dealer Commission (Standard)</t>
  </si>
  <si>
    <t>Dealer Commission (Agreed)</t>
  </si>
  <si>
    <t>Echu ou à echoir</t>
  </si>
  <si>
    <t>Early repayment (by month)</t>
  </si>
  <si>
    <t>Ecart intérêts</t>
  </si>
  <si>
    <t>Ecart commissions</t>
  </si>
  <si>
    <t>Subisidied amount per unit(€)</t>
  </si>
  <si>
    <t>VPM</t>
  </si>
  <si>
    <t xml:space="preserve">Rate /prod </t>
  </si>
  <si>
    <t>AVEC TAUX CLIENT OPS</t>
  </si>
  <si>
    <t>AVEC TAUX STANDARD TOTAL</t>
  </si>
  <si>
    <t>TRI hors com</t>
  </si>
  <si>
    <t>TRI avec com</t>
  </si>
  <si>
    <t>TRI</t>
  </si>
  <si>
    <t>CRD début</t>
  </si>
  <si>
    <t>mensu</t>
  </si>
  <si>
    <t>interêts</t>
  </si>
  <si>
    <t>amort</t>
  </si>
  <si>
    <t>CRD fin contractuel</t>
  </si>
  <si>
    <t>CRD fin yc RA</t>
  </si>
  <si>
    <t>interêts yc RA</t>
  </si>
  <si>
    <t>Com°</t>
  </si>
  <si>
    <t>profil theo</t>
  </si>
  <si>
    <t>CRD fin</t>
  </si>
  <si>
    <t>Subvention PF souhaitée :</t>
  </si>
  <si>
    <t>dossier</t>
  </si>
  <si>
    <t>Modèle</t>
  </si>
  <si>
    <t>PRODUIT</t>
  </si>
  <si>
    <t>DEC FIN (HT)</t>
  </si>
  <si>
    <t>Bonus
écologique</t>
  </si>
  <si>
    <t>Apport client</t>
  </si>
  <si>
    <t>Conversion</t>
  </si>
  <si>
    <t>1er loyer / Apport (TTC)</t>
  </si>
  <si>
    <t xml:space="preserve">TAUX CLIENT
</t>
  </si>
  <si>
    <t>ER (HT)</t>
  </si>
  <si>
    <t>BASE RATE</t>
  </si>
  <si>
    <t>LOYER avec APR STANDARD</t>
  </si>
  <si>
    <t>LOYER avec APR CLIENT</t>
  </si>
  <si>
    <t>ER TTC</t>
  </si>
  <si>
    <t>LOYER EXACT</t>
  </si>
  <si>
    <t>Entretien</t>
  </si>
  <si>
    <t xml:space="preserve">Compensations*
(Offre client)
</t>
  </si>
  <si>
    <t>Commission dossier</t>
  </si>
  <si>
    <t>Subvention PF</t>
  </si>
  <si>
    <t>A Charge Mazda</t>
  </si>
  <si>
    <t>SWIF</t>
  </si>
  <si>
    <t>LOB</t>
  </si>
  <si>
    <t>S-CR</t>
  </si>
  <si>
    <t>NEW</t>
  </si>
  <si>
    <t>VITA</t>
  </si>
  <si>
    <t>IGNI</t>
  </si>
  <si>
    <t>ACRO</t>
  </si>
  <si>
    <t>Inputs</t>
  </si>
  <si>
    <t>Véhicule</t>
  </si>
  <si>
    <t>Prix catalogue</t>
  </si>
  <si>
    <t>A saisir</t>
  </si>
  <si>
    <t xml:space="preserve">en LOA 120 mois : prix remisé / en LOB : prix catalogue  </t>
  </si>
  <si>
    <t>remise</t>
  </si>
  <si>
    <t>Apport  ou 1er loyer TTC</t>
  </si>
  <si>
    <t>Prix moyen Fin HT</t>
  </si>
  <si>
    <t>Km/an</t>
  </si>
  <si>
    <t>Base Rate</t>
  </si>
  <si>
    <t>(taux y compris compensation)</t>
  </si>
  <si>
    <t>VR en Mtt HT</t>
  </si>
  <si>
    <t>Taux Client</t>
  </si>
  <si>
    <t>par palier de 5bp</t>
  </si>
  <si>
    <t>Compensations</t>
  </si>
  <si>
    <t>mensualité HT</t>
  </si>
  <si>
    <t>mensualité TTC</t>
  </si>
  <si>
    <t>arrondi à l'entier du dessous pour les mentions légales</t>
  </si>
  <si>
    <t>coef de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</si>
</sst>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#,##0&quot; mois&quot;"/>
    <numFmt numFmtId="165" formatCode="#,##0.0000"/>
    <numFmt numFmtId="166" formatCode="#,##0\ &quot;€&quot;"/>
    <numFmt numFmtId="167" formatCode="#,##0.0000\ &quot;€&quot;"/>
    <numFmt numFmtId="168" formatCode="#,##0.000\ &quot;€&quot;"/>
    <numFmt numFmtId="169" formatCode="#,##0.00\ &quot;€&quot;"/>
    <numFmt numFmtId="170" formatCode="#,##0.000"/>
    <numFmt numFmtId="171" formatCode="#,##0&quot; months&quot;"/>
    <numFmt numFmtId="172" formatCode="0.0000"/>
    <numFmt numFmtId="173" formatCode="#,##0.00000\ &quot;€&quot;"/>
    <numFmt numFmtId="174" formatCode="#,##0.0000000\ &quot;€&quot;"/>
    <numFmt numFmtId="175" formatCode="0.000%"/>
    <numFmt numFmtId="176" formatCode="#,##0.0"/>
    <numFmt numFmtId="177" formatCode="0.0%"/>
    <numFmt numFmtId="178" formatCode="#,##0.00_ ;[Red]\-#,##0.00\ "/>
    <numFmt numFmtId="179" formatCode="##,##0\€"/>
    <numFmt numFmtId="180" formatCode="_-* #,##0\ &quot;€&quot;_-;\-* #,##0\ &quot;€&quot;_-;_-* &quot;-&quot;??\ &quot;€&quot;_-;_-@_-"/>
    <numFmt numFmtId="181" formatCode="_-* #,##0.0\ &quot;€&quot;_-;\-* #,##0.0\ &quot;€&quot;_-;_-* &quot;-&quot;??\ &quot;€&quot;_-;_-@_-"/>
    <numFmt numFmtId="182" formatCode="0.0000%"/>
    <numFmt numFmtId="183" formatCode="_-* #,##0.00\ _€_-;\-* #,##0.00\ _€_-;_-* &quot;-&quot;??\ _€_-;_-@_-"/>
  </numFmts>
  <fonts count="46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b/>
      <u/>
      <sz val="9"/>
      <color theme="1"/>
      <name val="Arial"/>
      <family val="2"/>
    </font>
    <font>
      <u/>
      <sz val="9"/>
      <color theme="1"/>
      <name val="Arial"/>
      <family val="2"/>
    </font>
    <font>
      <b/>
      <sz val="12"/>
      <color theme="0"/>
      <name val="Arial"/>
      <family val="2"/>
    </font>
    <font>
      <b/>
      <sz val="9"/>
      <color rgb="FF005435"/>
      <name val="Arial"/>
      <family val="2"/>
    </font>
    <font>
      <sz val="9"/>
      <color rgb="FF005435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sz val="9"/>
      <color theme="1" tint="0.34998626667073579"/>
      <name val="Arial"/>
      <family val="2"/>
    </font>
    <font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sz val="9"/>
      <color theme="0" tint="-0.499984740745262"/>
      <name val="Arial"/>
      <family val="2"/>
    </font>
    <font>
      <sz val="9"/>
      <color rgb="FFC00000"/>
      <name val="Arial"/>
      <family val="2"/>
    </font>
    <font>
      <b/>
      <sz val="9"/>
      <color theme="1"/>
      <name val="Calibri"/>
      <family val="2"/>
      <scheme val="minor"/>
    </font>
    <font>
      <sz val="9"/>
      <color theme="0"/>
      <name val="Arial"/>
      <family val="2"/>
    </font>
    <font>
      <b/>
      <sz val="9"/>
      <color rgb="FFC00000"/>
      <name val="Arial"/>
      <family val="2"/>
    </font>
    <font>
      <sz val="9"/>
      <name val="Arial"/>
      <family val="2"/>
    </font>
    <font>
      <b/>
      <sz val="10"/>
      <color rgb="FF002060"/>
      <name val="Arial"/>
      <family val="2"/>
    </font>
    <font>
      <b/>
      <sz val="11"/>
      <color rgb="FF002060"/>
      <name val="Calibri"/>
      <family val="2"/>
      <scheme val="minor"/>
    </font>
    <font>
      <sz val="10"/>
      <color rgb="FF002060"/>
      <name val="Arial"/>
      <family val="2"/>
    </font>
    <font>
      <b/>
      <sz val="9"/>
      <color rgb="FF006600"/>
      <name val="Arial"/>
      <family val="2"/>
    </font>
    <font>
      <i/>
      <sz val="9"/>
      <color theme="1"/>
      <name val="Arial"/>
      <family val="2"/>
    </font>
    <font>
      <i/>
      <sz val="9"/>
      <color theme="0" tint="-0.499984740745262"/>
      <name val="Arial"/>
      <family val="2"/>
    </font>
    <font>
      <i/>
      <sz val="9"/>
      <color rgb="FFC00000"/>
      <name val="Arial"/>
      <family val="2"/>
    </font>
    <font>
      <sz val="8"/>
      <color rgb="FFC00000"/>
      <name val="Arial"/>
      <family val="2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</font>
    <font>
      <sz val="9"/>
      <color rgb="FF002060"/>
      <name val="Calibri"/>
      <family val="2"/>
      <scheme val="minor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strike/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9"/>
      <color theme="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0"/>
      <color rgb="FFFFFFFF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66BBA7"/>
        <bgColor indexed="64"/>
      </patternFill>
    </fill>
    <fill>
      <patternFill patternType="solid">
        <fgColor rgb="FF00543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9C4"/>
        <bgColor indexed="64"/>
      </patternFill>
    </fill>
  </fills>
  <borders count="35">
    <border>
      <left/>
      <right/>
      <top/>
      <bottom/>
      <diagonal/>
    </border>
    <border>
      <left style="thin">
        <color rgb="FF66BBA7"/>
      </left>
      <right style="thin">
        <color rgb="FF66BBA7"/>
      </right>
      <top style="thin">
        <color rgb="FF66BBA7"/>
      </top>
      <bottom style="thin">
        <color rgb="FF66BBA7"/>
      </bottom>
      <diagonal/>
    </border>
    <border>
      <left/>
      <right style="thin">
        <color rgb="FF66BBA7"/>
      </right>
      <top style="thin">
        <color rgb="FF66BBA7"/>
      </top>
      <bottom/>
      <diagonal/>
    </border>
    <border>
      <left/>
      <right style="thin">
        <color rgb="FF66BBA7"/>
      </right>
      <top/>
      <bottom/>
      <diagonal/>
    </border>
    <border>
      <left/>
      <right/>
      <top/>
      <bottom style="thin">
        <color rgb="FF66BBA7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66BBA7"/>
      </left>
      <right/>
      <top style="thin">
        <color rgb="FF66BBA7"/>
      </top>
      <bottom/>
      <diagonal/>
    </border>
    <border>
      <left/>
      <right/>
      <top style="thin">
        <color rgb="FF66BBA7"/>
      </top>
      <bottom/>
      <diagonal/>
    </border>
    <border>
      <left style="thin">
        <color rgb="FF66BBA7"/>
      </left>
      <right/>
      <top/>
      <bottom/>
      <diagonal/>
    </border>
    <border>
      <left style="thin">
        <color rgb="FF66BBA7"/>
      </left>
      <right/>
      <top/>
      <bottom style="thin">
        <color rgb="FF66BBA7"/>
      </bottom>
      <diagonal/>
    </border>
    <border>
      <left/>
      <right style="thin">
        <color rgb="FF66BBA7"/>
      </right>
      <top/>
      <bottom style="thin">
        <color rgb="FF66BBA7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99">
    <xf numFmtId="0" fontId="0" fillId="0" borderId="0"/>
    <xf numFmtId="9" fontId="3" fillId="0" borderId="0"/>
    <xf numFmtId="0" fontId="10" fillId="0" borderId="0"/>
    <xf numFmtId="0" fontId="2" fillId="0" borderId="0"/>
    <xf numFmtId="9" fontId="2" fillId="0" borderId="0"/>
    <xf numFmtId="0" fontId="12" fillId="0" borderId="0"/>
    <xf numFmtId="44" fontId="1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0" fontId="3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9" fontId="2" fillId="0" borderId="0"/>
    <xf numFmtId="9" fontId="2" fillId="0" borderId="0"/>
    <xf numFmtId="9" fontId="2" fillId="0" borderId="0"/>
    <xf numFmtId="9" fontId="12" fillId="0" borderId="0"/>
    <xf numFmtId="9" fontId="2" fillId="0" borderId="0"/>
    <xf numFmtId="9" fontId="2" fillId="0" borderId="0"/>
    <xf numFmtId="9" fontId="3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0" fontId="2" fillId="0" borderId="0"/>
    <xf numFmtId="9" fontId="2" fillId="0" borderId="0"/>
    <xf numFmtId="0" fontId="2" fillId="0" borderId="0"/>
    <xf numFmtId="44" fontId="2" fillId="0" borderId="0"/>
    <xf numFmtId="43" fontId="2" fillId="0" borderId="0"/>
    <xf numFmtId="9" fontId="2" fillId="0" borderId="0"/>
    <xf numFmtId="0" fontId="2" fillId="0" borderId="0"/>
    <xf numFmtId="9" fontId="2" fillId="0" borderId="0"/>
    <xf numFmtId="0" fontId="2" fillId="0" borderId="0"/>
    <xf numFmtId="9" fontId="2" fillId="0" borderId="0"/>
    <xf numFmtId="0" fontId="2" fillId="0" borderId="0"/>
    <xf numFmtId="9" fontId="2" fillId="0" borderId="0"/>
    <xf numFmtId="44" fontId="1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0" fontId="2" fillId="0" borderId="0"/>
    <xf numFmtId="9" fontId="2" fillId="0" borderId="0"/>
    <xf numFmtId="0" fontId="2" fillId="0" borderId="0"/>
    <xf numFmtId="44" fontId="2" fillId="0" borderId="0"/>
    <xf numFmtId="43" fontId="2" fillId="0" borderId="0"/>
    <xf numFmtId="9" fontId="2" fillId="0" borderId="0"/>
    <xf numFmtId="0" fontId="2" fillId="0" borderId="0"/>
    <xf numFmtId="9" fontId="2" fillId="0" borderId="0"/>
    <xf numFmtId="0" fontId="2" fillId="0" borderId="0"/>
    <xf numFmtId="9" fontId="2" fillId="0" borderId="0"/>
    <xf numFmtId="0" fontId="2" fillId="10" borderId="32"/>
    <xf numFmtId="0" fontId="2" fillId="0" borderId="0"/>
    <xf numFmtId="0" fontId="2" fillId="10" borderId="32"/>
    <xf numFmtId="0" fontId="2" fillId="11" borderId="0"/>
    <xf numFmtId="0" fontId="2" fillId="12" borderId="0"/>
    <xf numFmtId="0" fontId="2" fillId="13" borderId="0"/>
    <xf numFmtId="0" fontId="2" fillId="14" borderId="0"/>
    <xf numFmtId="0" fontId="2" fillId="15" borderId="0"/>
    <xf numFmtId="0" fontId="2" fillId="16" borderId="0"/>
    <xf numFmtId="0" fontId="2" fillId="17" borderId="0"/>
    <xf numFmtId="0" fontId="2" fillId="18" borderId="0"/>
    <xf numFmtId="0" fontId="2" fillId="19" borderId="0"/>
    <xf numFmtId="0" fontId="2" fillId="20" borderId="0"/>
    <xf numFmtId="0" fontId="2" fillId="21" borderId="0"/>
    <xf numFmtId="0" fontId="2" fillId="22" borderId="0"/>
    <xf numFmtId="0" fontId="2" fillId="23" borderId="0"/>
    <xf numFmtId="0" fontId="2" fillId="24" borderId="0"/>
    <xf numFmtId="0" fontId="2" fillId="25" borderId="0"/>
    <xf numFmtId="0" fontId="2" fillId="26" borderId="0"/>
    <xf numFmtId="0" fontId="2" fillId="27" borderId="0"/>
    <xf numFmtId="0" fontId="2" fillId="28" borderId="0"/>
    <xf numFmtId="0" fontId="3" fillId="0" borderId="0"/>
    <xf numFmtId="44" fontId="3" fillId="0" borderId="0"/>
    <xf numFmtId="9" fontId="3" fillId="0" borderId="0"/>
  </cellStyleXfs>
  <cellXfs count="24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right" vertical="center" indent="1"/>
    </xf>
    <xf numFmtId="0" fontId="0" fillId="0" borderId="4" xfId="0" applyBorder="1" applyAlignment="1">
      <alignment vertical="center"/>
    </xf>
    <xf numFmtId="0" fontId="5" fillId="2" borderId="1" xfId="0" applyFont="1" applyFill="1" applyBorder="1" applyAlignment="1">
      <alignment horizontal="right" vertical="center" indent="1"/>
    </xf>
    <xf numFmtId="0" fontId="0" fillId="0" borderId="5" xfId="0" applyBorder="1" applyAlignment="1">
      <alignment vertical="center"/>
    </xf>
    <xf numFmtId="10" fontId="4" fillId="3" borderId="5" xfId="1" applyNumberFormat="1" applyFont="1" applyFill="1" applyBorder="1" applyAlignment="1">
      <alignment horizontal="right" vertical="center" indent="1"/>
    </xf>
    <xf numFmtId="0" fontId="5" fillId="2" borderId="5" xfId="0" applyFont="1" applyFill="1" applyBorder="1" applyAlignment="1">
      <alignment horizontal="center" vertical="center"/>
    </xf>
    <xf numFmtId="10" fontId="0" fillId="4" borderId="5" xfId="1" applyNumberFormat="1" applyFont="1" applyFill="1" applyBorder="1" applyAlignment="1" applyProtection="1">
      <alignment horizontal="right" vertical="center" indent="1"/>
      <protection locked="0"/>
    </xf>
    <xf numFmtId="164" fontId="0" fillId="4" borderId="5" xfId="0" applyNumberFormat="1" applyFill="1" applyBorder="1" applyAlignment="1" applyProtection="1">
      <alignment horizontal="right" vertical="center" indent="1"/>
      <protection locked="0"/>
    </xf>
    <xf numFmtId="0" fontId="0" fillId="0" borderId="6" xfId="0" applyBorder="1" applyAlignment="1">
      <alignment horizontal="right" vertical="center" indent="1"/>
    </xf>
    <xf numFmtId="0" fontId="0" fillId="0" borderId="7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9" xfId="0" applyBorder="1" applyAlignment="1">
      <alignment horizontal="right" vertical="center" indent="1"/>
    </xf>
    <xf numFmtId="0" fontId="0" fillId="0" borderId="4" xfId="0" quotePrefix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8" xfId="0" quotePrefix="1" applyBorder="1" applyAlignment="1">
      <alignment horizontal="left" vertical="center" indent="1"/>
    </xf>
    <xf numFmtId="0" fontId="0" fillId="0" borderId="8" xfId="0" quotePrefix="1" applyBorder="1" applyAlignment="1">
      <alignment horizontal="left" vertical="center" indent="3"/>
    </xf>
    <xf numFmtId="0" fontId="5" fillId="0" borderId="0" xfId="0" applyFont="1" applyAlignment="1">
      <alignment horizontal="right" vertical="center" indent="1"/>
    </xf>
    <xf numFmtId="165" fontId="0" fillId="0" borderId="0" xfId="0" applyNumberFormat="1" applyAlignment="1">
      <alignment horizontal="right" vertical="center" indent="1"/>
    </xf>
    <xf numFmtId="0" fontId="8" fillId="0" borderId="8" xfId="0" quotePrefix="1" applyFont="1" applyBorder="1" applyAlignment="1">
      <alignment horizontal="left" vertical="center" indent="1"/>
    </xf>
    <xf numFmtId="0" fontId="9" fillId="0" borderId="8" xfId="0" quotePrefix="1" applyFont="1" applyBorder="1" applyAlignment="1">
      <alignment horizontal="left" vertical="center" indent="3"/>
    </xf>
    <xf numFmtId="0" fontId="0" fillId="0" borderId="0" xfId="0" quotePrefix="1" applyAlignment="1">
      <alignment vertical="center"/>
    </xf>
    <xf numFmtId="166" fontId="0" fillId="4" borderId="5" xfId="1" applyNumberFormat="1" applyFont="1" applyFill="1" applyBorder="1" applyAlignment="1" applyProtection="1">
      <alignment horizontal="right" vertical="center" indent="1"/>
      <protection locked="0"/>
    </xf>
    <xf numFmtId="166" fontId="0" fillId="0" borderId="5" xfId="1" applyNumberFormat="1" applyFont="1" applyBorder="1" applyAlignment="1" applyProtection="1">
      <alignment horizontal="right" vertical="center" indent="1"/>
      <protection locked="0"/>
    </xf>
    <xf numFmtId="10" fontId="0" fillId="0" borderId="5" xfId="1" applyNumberFormat="1" applyFont="1" applyBorder="1" applyAlignment="1" applyProtection="1">
      <alignment horizontal="right" vertical="center" indent="1"/>
      <protection locked="0"/>
    </xf>
    <xf numFmtId="167" fontId="0" fillId="0" borderId="0" xfId="0" applyNumberFormat="1" applyAlignment="1">
      <alignment vertical="center"/>
    </xf>
    <xf numFmtId="0" fontId="11" fillId="0" borderId="0" xfId="0" applyFont="1" applyAlignment="1">
      <alignment vertical="center"/>
    </xf>
    <xf numFmtId="0" fontId="11" fillId="0" borderId="12" xfId="0" applyFont="1" applyBorder="1" applyAlignment="1">
      <alignment horizontal="right" vertical="center" indent="1"/>
    </xf>
    <xf numFmtId="166" fontId="11" fillId="0" borderId="12" xfId="0" applyNumberFormat="1" applyFont="1" applyBorder="1" applyAlignment="1">
      <alignment horizontal="right" vertical="center" indent="1"/>
    </xf>
    <xf numFmtId="166" fontId="11" fillId="0" borderId="12" xfId="0" applyNumberFormat="1" applyFont="1" applyBorder="1" applyAlignment="1">
      <alignment vertical="center"/>
    </xf>
    <xf numFmtId="0" fontId="13" fillId="0" borderId="11" xfId="0" applyFont="1" applyBorder="1" applyAlignment="1">
      <alignment horizontal="right" vertical="center" indent="1"/>
    </xf>
    <xf numFmtId="165" fontId="13" fillId="0" borderId="11" xfId="0" applyNumberFormat="1" applyFont="1" applyBorder="1" applyAlignment="1">
      <alignment horizontal="right" vertical="center" indent="1"/>
    </xf>
    <xf numFmtId="0" fontId="13" fillId="0" borderId="0" xfId="0" applyFont="1" applyAlignment="1">
      <alignment vertical="center"/>
    </xf>
    <xf numFmtId="0" fontId="4" fillId="3" borderId="13" xfId="0" applyFont="1" applyFill="1" applyBorder="1" applyAlignment="1">
      <alignment horizontal="right" vertical="center" indent="1"/>
    </xf>
    <xf numFmtId="0" fontId="0" fillId="0" borderId="13" xfId="0" applyBorder="1" applyAlignment="1">
      <alignment horizontal="right" vertical="center" indent="1"/>
    </xf>
    <xf numFmtId="0" fontId="4" fillId="3" borderId="12" xfId="0" applyFont="1" applyFill="1" applyBorder="1" applyAlignment="1">
      <alignment horizontal="right" vertical="center" indent="1"/>
    </xf>
    <xf numFmtId="166" fontId="4" fillId="3" borderId="13" xfId="1" applyNumberFormat="1" applyFont="1" applyFill="1" applyBorder="1" applyAlignment="1">
      <alignment horizontal="right" vertical="center" indent="1"/>
    </xf>
    <xf numFmtId="166" fontId="0" fillId="0" borderId="13" xfId="0" applyNumberFormat="1" applyBorder="1" applyAlignment="1">
      <alignment vertical="center"/>
    </xf>
    <xf numFmtId="166" fontId="4" fillId="3" borderId="12" xfId="1" applyNumberFormat="1" applyFont="1" applyFill="1" applyBorder="1" applyAlignment="1">
      <alignment horizontal="right" vertical="center" indent="1"/>
    </xf>
    <xf numFmtId="0" fontId="3" fillId="5" borderId="14" xfId="2" applyFont="1" applyFill="1" applyBorder="1" applyAlignment="1">
      <alignment horizontal="center"/>
    </xf>
    <xf numFmtId="9" fontId="3" fillId="0" borderId="0" xfId="2" applyNumberFormat="1" applyFont="1"/>
    <xf numFmtId="0" fontId="15" fillId="0" borderId="0" xfId="2" applyFont="1"/>
    <xf numFmtId="0" fontId="3" fillId="0" borderId="0" xfId="2" applyFont="1"/>
    <xf numFmtId="168" fontId="3" fillId="0" borderId="0" xfId="2" applyNumberFormat="1" applyFont="1"/>
    <xf numFmtId="0" fontId="3" fillId="5" borderId="16" xfId="2" applyFont="1" applyFill="1" applyBorder="1" applyAlignment="1">
      <alignment horizontal="center"/>
    </xf>
    <xf numFmtId="0" fontId="11" fillId="0" borderId="14" xfId="2" applyFont="1" applyBorder="1" applyAlignment="1">
      <alignment horizontal="center"/>
    </xf>
    <xf numFmtId="169" fontId="3" fillId="0" borderId="0" xfId="2" applyNumberFormat="1" applyFont="1"/>
    <xf numFmtId="0" fontId="4" fillId="3" borderId="0" xfId="2" applyFont="1" applyFill="1"/>
    <xf numFmtId="10" fontId="19" fillId="3" borderId="0" xfId="2" applyNumberFormat="1" applyFont="1" applyFill="1"/>
    <xf numFmtId="10" fontId="17" fillId="0" borderId="0" xfId="2" applyNumberFormat="1" applyFont="1"/>
    <xf numFmtId="0" fontId="24" fillId="6" borderId="16" xfId="2" applyFont="1" applyFill="1" applyBorder="1" applyAlignment="1">
      <alignment horizontal="center"/>
    </xf>
    <xf numFmtId="0" fontId="3" fillId="0" borderId="22" xfId="2" applyFont="1" applyBorder="1" applyAlignment="1">
      <alignment horizontal="center" vertical="center"/>
    </xf>
    <xf numFmtId="170" fontId="3" fillId="0" borderId="23" xfId="2" applyNumberFormat="1" applyFont="1" applyBorder="1" applyAlignment="1">
      <alignment horizontal="center"/>
    </xf>
    <xf numFmtId="0" fontId="19" fillId="3" borderId="24" xfId="2" applyFont="1" applyFill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25" fillId="0" borderId="22" xfId="2" applyFont="1" applyBorder="1" applyAlignment="1">
      <alignment horizontal="center"/>
    </xf>
    <xf numFmtId="0" fontId="3" fillId="0" borderId="0" xfId="2" applyFont="1" applyAlignment="1">
      <alignment horizontal="center"/>
    </xf>
    <xf numFmtId="166" fontId="25" fillId="0" borderId="23" xfId="2" applyNumberFormat="1" applyFont="1" applyBorder="1" applyAlignment="1">
      <alignment horizontal="center"/>
    </xf>
    <xf numFmtId="10" fontId="4" fillId="3" borderId="22" xfId="2" applyNumberFormat="1" applyFont="1" applyFill="1" applyBorder="1" applyAlignment="1">
      <alignment horizontal="center"/>
    </xf>
    <xf numFmtId="10" fontId="4" fillId="3" borderId="24" xfId="2" applyNumberFormat="1" applyFont="1" applyFill="1" applyBorder="1" applyAlignment="1">
      <alignment horizontal="center"/>
    </xf>
    <xf numFmtId="0" fontId="26" fillId="0" borderId="26" xfId="2" applyFont="1" applyBorder="1" applyAlignment="1">
      <alignment horizontal="center" vertical="center" wrapText="1"/>
    </xf>
    <xf numFmtId="0" fontId="26" fillId="0" borderId="27" xfId="2" applyFont="1" applyBorder="1" applyAlignment="1">
      <alignment horizontal="center" vertical="center" wrapText="1"/>
    </xf>
    <xf numFmtId="0" fontId="26" fillId="0" borderId="28" xfId="2" applyFont="1" applyBorder="1" applyAlignment="1">
      <alignment horizontal="center" vertical="center" wrapText="1"/>
    </xf>
    <xf numFmtId="0" fontId="26" fillId="0" borderId="29" xfId="2" applyFont="1" applyBorder="1" applyAlignment="1">
      <alignment horizontal="center" vertical="center" wrapText="1"/>
    </xf>
    <xf numFmtId="0" fontId="26" fillId="0" borderId="0" xfId="2" applyFont="1" applyAlignment="1">
      <alignment horizontal="center" vertical="center" wrapText="1"/>
    </xf>
    <xf numFmtId="0" fontId="3" fillId="0" borderId="22" xfId="2" applyFont="1" applyBorder="1" applyAlignment="1">
      <alignment horizontal="center" vertical="center" wrapText="1"/>
    </xf>
    <xf numFmtId="166" fontId="3" fillId="0" borderId="24" xfId="2" applyNumberFormat="1" applyFont="1" applyBorder="1" applyAlignment="1">
      <alignment vertical="center" wrapText="1"/>
    </xf>
    <xf numFmtId="166" fontId="3" fillId="0" borderId="23" xfId="2" applyNumberFormat="1" applyFont="1" applyBorder="1" applyAlignment="1">
      <alignment horizontal="center" vertical="center" wrapText="1"/>
    </xf>
    <xf numFmtId="0" fontId="3" fillId="0" borderId="0" xfId="2" applyFont="1" applyAlignment="1">
      <alignment vertical="center" wrapText="1"/>
    </xf>
    <xf numFmtId="0" fontId="3" fillId="0" borderId="22" xfId="2" applyFont="1" applyBorder="1" applyAlignment="1">
      <alignment horizontal="center"/>
    </xf>
    <xf numFmtId="166" fontId="3" fillId="0" borderId="23" xfId="2" applyNumberFormat="1" applyFont="1" applyBorder="1"/>
    <xf numFmtId="166" fontId="3" fillId="0" borderId="24" xfId="2" applyNumberFormat="1" applyFont="1" applyBorder="1"/>
    <xf numFmtId="166" fontId="17" fillId="0" borderId="0" xfId="1" applyNumberFormat="1" applyFont="1" applyAlignment="1">
      <alignment horizontal="left"/>
    </xf>
    <xf numFmtId="0" fontId="22" fillId="6" borderId="18" xfId="2" applyFont="1" applyFill="1" applyBorder="1" applyAlignment="1">
      <alignment horizontal="center"/>
    </xf>
    <xf numFmtId="0" fontId="31" fillId="6" borderId="14" xfId="2" applyFont="1" applyFill="1" applyBorder="1" applyAlignment="1">
      <alignment horizontal="center"/>
    </xf>
    <xf numFmtId="0" fontId="31" fillId="6" borderId="18" xfId="2" applyFont="1" applyFill="1" applyBorder="1" applyAlignment="1">
      <alignment horizontal="center"/>
    </xf>
    <xf numFmtId="10" fontId="30" fillId="6" borderId="17" xfId="1" applyNumberFormat="1" applyFont="1" applyFill="1" applyBorder="1" applyAlignment="1">
      <alignment horizontal="center"/>
    </xf>
    <xf numFmtId="0" fontId="13" fillId="0" borderId="13" xfId="0" applyFont="1" applyBorder="1" applyAlignment="1">
      <alignment horizontal="right" vertical="center" indent="1"/>
    </xf>
    <xf numFmtId="165" fontId="13" fillId="0" borderId="13" xfId="0" applyNumberFormat="1" applyFont="1" applyBorder="1" applyAlignment="1">
      <alignment horizontal="right" vertical="center" indent="1"/>
    </xf>
    <xf numFmtId="166" fontId="13" fillId="0" borderId="13" xfId="0" applyNumberFormat="1" applyFont="1" applyBorder="1" applyAlignment="1">
      <alignment horizontal="right" vertical="center" indent="1"/>
    </xf>
    <xf numFmtId="170" fontId="33" fillId="0" borderId="0" xfId="2" applyNumberFormat="1" applyFont="1"/>
    <xf numFmtId="166" fontId="31" fillId="0" borderId="23" xfId="2" applyNumberFormat="1" applyFont="1" applyBorder="1" applyAlignment="1">
      <alignment horizontal="center" vertical="center" wrapText="1"/>
    </xf>
    <xf numFmtId="166" fontId="3" fillId="0" borderId="0" xfId="2" applyNumberFormat="1" applyFont="1"/>
    <xf numFmtId="0" fontId="0" fillId="0" borderId="18" xfId="2" applyFont="1" applyBorder="1" applyAlignment="1">
      <alignment horizontal="center"/>
    </xf>
    <xf numFmtId="10" fontId="0" fillId="7" borderId="5" xfId="1" applyNumberFormat="1" applyFont="1" applyFill="1" applyBorder="1" applyAlignment="1">
      <alignment horizontal="right" vertical="center" indent="1"/>
    </xf>
    <xf numFmtId="169" fontId="4" fillId="3" borderId="0" xfId="1" applyNumberFormat="1" applyFont="1" applyFill="1" applyAlignment="1">
      <alignment horizontal="right" vertical="center" indent="1"/>
    </xf>
    <xf numFmtId="10" fontId="4" fillId="3" borderId="30" xfId="1" applyNumberFormat="1" applyFont="1" applyFill="1" applyBorder="1" applyAlignment="1">
      <alignment horizontal="right" vertical="center" indent="1"/>
    </xf>
    <xf numFmtId="166" fontId="0" fillId="0" borderId="30" xfId="1" applyNumberFormat="1" applyFont="1" applyBorder="1" applyAlignment="1" applyProtection="1">
      <alignment horizontal="right" vertical="center" indent="1"/>
      <protection locked="0"/>
    </xf>
    <xf numFmtId="166" fontId="0" fillId="7" borderId="0" xfId="0" applyNumberFormat="1" applyFill="1" applyAlignment="1">
      <alignment vertical="center"/>
    </xf>
    <xf numFmtId="10" fontId="0" fillId="7" borderId="0" xfId="0" applyNumberFormat="1" applyFill="1" applyAlignment="1">
      <alignment vertical="center"/>
    </xf>
    <xf numFmtId="8" fontId="3" fillId="0" borderId="0" xfId="2" applyNumberFormat="1" applyFont="1"/>
    <xf numFmtId="166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13" fillId="0" borderId="0" xfId="0" applyNumberFormat="1" applyFont="1" applyAlignment="1">
      <alignment vertical="center"/>
    </xf>
    <xf numFmtId="171" fontId="34" fillId="7" borderId="0" xfId="0" applyNumberFormat="1" applyFont="1" applyFill="1" applyAlignment="1">
      <alignment vertical="center"/>
    </xf>
    <xf numFmtId="2" fontId="3" fillId="0" borderId="0" xfId="2" applyNumberFormat="1" applyFont="1"/>
    <xf numFmtId="10" fontId="3" fillId="0" borderId="0" xfId="1" applyNumberFormat="1"/>
    <xf numFmtId="0" fontId="35" fillId="0" borderId="8" xfId="0" quotePrefix="1" applyFont="1" applyBorder="1" applyAlignment="1">
      <alignment horizontal="left" vertical="center" indent="1"/>
    </xf>
    <xf numFmtId="165" fontId="0" fillId="0" borderId="0" xfId="0" applyNumberFormat="1" applyAlignment="1">
      <alignment vertical="center"/>
    </xf>
    <xf numFmtId="172" fontId="0" fillId="0" borderId="0" xfId="0" applyNumberFormat="1" applyAlignment="1">
      <alignment vertical="center"/>
    </xf>
    <xf numFmtId="169" fontId="3" fillId="0" borderId="24" xfId="2" applyNumberFormat="1" applyFont="1" applyBorder="1"/>
    <xf numFmtId="173" fontId="3" fillId="0" borderId="0" xfId="2" applyNumberFormat="1" applyFont="1"/>
    <xf numFmtId="174" fontId="3" fillId="0" borderId="0" xfId="2" applyNumberFormat="1" applyFont="1"/>
    <xf numFmtId="166" fontId="3" fillId="0" borderId="0" xfId="2" applyNumberFormat="1" applyFont="1" applyAlignment="1">
      <alignment vertical="center" wrapText="1"/>
    </xf>
    <xf numFmtId="2" fontId="3" fillId="0" borderId="0" xfId="1" applyNumberFormat="1"/>
    <xf numFmtId="166" fontId="11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75" fontId="0" fillId="0" borderId="0" xfId="1" applyNumberFormat="1" applyFont="1" applyAlignment="1">
      <alignment vertical="center"/>
    </xf>
    <xf numFmtId="3" fontId="21" fillId="0" borderId="0" xfId="0" applyNumberFormat="1" applyFont="1" applyAlignment="1">
      <alignment horizontal="right" vertical="center" indent="1"/>
    </xf>
    <xf numFmtId="0" fontId="1" fillId="0" borderId="0" xfId="35" applyFont="1"/>
    <xf numFmtId="0" fontId="40" fillId="8" borderId="25" xfId="35" applyFont="1" applyFill="1" applyBorder="1" applyAlignment="1" applyProtection="1">
      <alignment horizontal="center" vertical="center" wrapText="1"/>
      <protection locked="0"/>
    </xf>
    <xf numFmtId="0" fontId="40" fillId="8" borderId="25" xfId="35" applyFont="1" applyFill="1" applyBorder="1" applyAlignment="1">
      <alignment horizontal="center" vertical="center" wrapText="1"/>
    </xf>
    <xf numFmtId="0" fontId="37" fillId="0" borderId="0" xfId="35" applyFont="1"/>
    <xf numFmtId="0" fontId="0" fillId="7" borderId="3" xfId="0" applyFill="1" applyBorder="1" applyAlignment="1">
      <alignment horizontal="right" vertical="center" indent="1"/>
    </xf>
    <xf numFmtId="166" fontId="0" fillId="7" borderId="5" xfId="1" applyNumberFormat="1" applyFont="1" applyFill="1" applyBorder="1" applyAlignment="1">
      <alignment horizontal="right" vertical="center" indent="1"/>
    </xf>
    <xf numFmtId="0" fontId="4" fillId="3" borderId="0" xfId="0" applyFont="1" applyFill="1" applyAlignment="1">
      <alignment horizontal="right" vertical="center" indent="1"/>
    </xf>
    <xf numFmtId="10" fontId="0" fillId="0" borderId="0" xfId="0" applyNumberFormat="1" applyAlignment="1">
      <alignment vertical="center"/>
    </xf>
    <xf numFmtId="166" fontId="14" fillId="5" borderId="15" xfId="39" applyNumberFormat="1" applyFont="1" applyFill="1" applyBorder="1" applyAlignment="1">
      <alignment horizontal="center"/>
    </xf>
    <xf numFmtId="10" fontId="16" fillId="0" borderId="0" xfId="40" applyNumberFormat="1" applyFont="1"/>
    <xf numFmtId="10" fontId="17" fillId="0" borderId="0" xfId="40" applyNumberFormat="1" applyFont="1"/>
    <xf numFmtId="166" fontId="14" fillId="5" borderId="17" xfId="39" applyNumberFormat="1" applyFont="1" applyFill="1" applyBorder="1" applyAlignment="1">
      <alignment horizontal="center"/>
    </xf>
    <xf numFmtId="166" fontId="18" fillId="7" borderId="15" xfId="39" applyNumberFormat="1" applyFont="1" applyFill="1" applyBorder="1" applyAlignment="1">
      <alignment horizontal="center"/>
    </xf>
    <xf numFmtId="3" fontId="14" fillId="7" borderId="19" xfId="39" applyNumberFormat="1" applyFont="1" applyFill="1" applyBorder="1" applyAlignment="1">
      <alignment horizontal="center"/>
    </xf>
    <xf numFmtId="10" fontId="14" fillId="7" borderId="19" xfId="39" applyNumberFormat="1" applyFont="1" applyFill="1" applyBorder="1" applyAlignment="1">
      <alignment horizontal="center"/>
    </xf>
    <xf numFmtId="0" fontId="20" fillId="0" borderId="0" xfId="2" applyFont="1"/>
    <xf numFmtId="166" fontId="3" fillId="7" borderId="19" xfId="2" applyNumberFormat="1" applyFont="1" applyFill="1" applyBorder="1" applyAlignment="1">
      <alignment horizontal="center"/>
    </xf>
    <xf numFmtId="10" fontId="3" fillId="7" borderId="19" xfId="2" applyNumberFormat="1" applyFont="1" applyFill="1" applyBorder="1" applyAlignment="1">
      <alignment horizontal="center" vertical="center"/>
    </xf>
    <xf numFmtId="0" fontId="21" fillId="0" borderId="16" xfId="2" applyFont="1" applyBorder="1"/>
    <xf numFmtId="0" fontId="14" fillId="0" borderId="17" xfId="39" applyFont="1" applyBorder="1" applyAlignment="1">
      <alignment horizontal="center"/>
    </xf>
    <xf numFmtId="0" fontId="21" fillId="0" borderId="16" xfId="2" applyFont="1" applyBorder="1" applyAlignment="1">
      <alignment horizontal="center"/>
    </xf>
    <xf numFmtId="166" fontId="32" fillId="6" borderId="15" xfId="39" applyNumberFormat="1" applyFont="1" applyFill="1" applyBorder="1" applyAlignment="1">
      <alignment horizontal="center"/>
    </xf>
    <xf numFmtId="166" fontId="32" fillId="6" borderId="19" xfId="39" applyNumberFormat="1" applyFont="1" applyFill="1" applyBorder="1" applyAlignment="1">
      <alignment horizontal="center"/>
    </xf>
    <xf numFmtId="169" fontId="17" fillId="0" borderId="0" xfId="40" applyNumberFormat="1" applyFont="1"/>
    <xf numFmtId="166" fontId="23" fillId="6" borderId="19" xfId="39" applyNumberFormat="1" applyFont="1" applyFill="1" applyBorder="1" applyAlignment="1">
      <alignment horizontal="center"/>
    </xf>
    <xf numFmtId="0" fontId="11" fillId="0" borderId="0" xfId="2" applyFont="1"/>
    <xf numFmtId="9" fontId="3" fillId="0" borderId="0" xfId="40" applyFont="1"/>
    <xf numFmtId="176" fontId="3" fillId="0" borderId="0" xfId="2" applyNumberFormat="1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177" fontId="25" fillId="0" borderId="0" xfId="40" applyNumberFormat="1" applyFont="1" applyAlignment="1">
      <alignment horizontal="center"/>
    </xf>
    <xf numFmtId="10" fontId="16" fillId="0" borderId="25" xfId="40" applyNumberFormat="1" applyFont="1" applyBorder="1" applyAlignment="1">
      <alignment horizontal="center" vertical="center"/>
    </xf>
    <xf numFmtId="10" fontId="17" fillId="0" borderId="0" xfId="40" applyNumberFormat="1" applyFont="1" applyAlignment="1">
      <alignment horizontal="center" vertical="center"/>
    </xf>
    <xf numFmtId="166" fontId="25" fillId="0" borderId="0" xfId="2" applyNumberFormat="1" applyFont="1" applyAlignment="1">
      <alignment horizontal="center"/>
    </xf>
    <xf numFmtId="0" fontId="25" fillId="0" borderId="0" xfId="2" applyFont="1" applyAlignment="1">
      <alignment horizontal="center"/>
    </xf>
    <xf numFmtId="10" fontId="16" fillId="0" borderId="24" xfId="40" applyNumberFormat="1" applyFont="1" applyBorder="1" applyAlignment="1">
      <alignment horizontal="center"/>
    </xf>
    <xf numFmtId="10" fontId="17" fillId="0" borderId="0" xfId="40" applyNumberFormat="1" applyFont="1" applyAlignment="1">
      <alignment horizontal="center"/>
    </xf>
    <xf numFmtId="10" fontId="27" fillId="0" borderId="29" xfId="40" applyNumberFormat="1" applyFont="1" applyBorder="1" applyAlignment="1">
      <alignment horizontal="center" vertical="center" wrapText="1"/>
    </xf>
    <xf numFmtId="10" fontId="28" fillId="0" borderId="0" xfId="40" applyNumberFormat="1" applyFont="1" applyAlignment="1">
      <alignment horizontal="center" vertical="center" wrapText="1"/>
    </xf>
    <xf numFmtId="10" fontId="27" fillId="0" borderId="24" xfId="40" applyNumberFormat="1" applyFont="1" applyBorder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10" fontId="16" fillId="0" borderId="25" xfId="40" applyNumberFormat="1" applyFont="1" applyBorder="1" applyAlignment="1">
      <alignment vertical="center" wrapText="1"/>
    </xf>
    <xf numFmtId="10" fontId="17" fillId="0" borderId="0" xfId="40" applyNumberFormat="1" applyFont="1" applyAlignment="1">
      <alignment vertical="center" wrapText="1"/>
    </xf>
    <xf numFmtId="10" fontId="16" fillId="0" borderId="24" xfId="40" applyNumberFormat="1" applyFont="1" applyBorder="1" applyAlignment="1">
      <alignment vertical="center" wrapText="1"/>
    </xf>
    <xf numFmtId="178" fontId="16" fillId="0" borderId="24" xfId="40" applyNumberFormat="1" applyFont="1" applyBorder="1"/>
    <xf numFmtId="178" fontId="29" fillId="0" borderId="0" xfId="40" applyNumberFormat="1" applyFont="1" applyAlignment="1">
      <alignment horizontal="left"/>
    </xf>
    <xf numFmtId="10" fontId="0" fillId="0" borderId="0" xfId="1" applyNumberFormat="1" applyFont="1"/>
    <xf numFmtId="0" fontId="40" fillId="8" borderId="24" xfId="35" applyFont="1" applyFill="1" applyBorder="1" applyAlignment="1">
      <alignment horizontal="center" vertical="center" wrapText="1"/>
    </xf>
    <xf numFmtId="179" fontId="0" fillId="0" borderId="0" xfId="0" applyNumberFormat="1"/>
    <xf numFmtId="0" fontId="36" fillId="0" borderId="0" xfId="35" applyFont="1" applyProtection="1">
      <protection locked="0"/>
    </xf>
    <xf numFmtId="0" fontId="1" fillId="0" borderId="0" xfId="35" applyFont="1" applyProtection="1">
      <protection locked="0"/>
    </xf>
    <xf numFmtId="180" fontId="36" fillId="0" borderId="0" xfId="36" applyNumberFormat="1" applyFont="1" applyProtection="1">
      <protection locked="0"/>
    </xf>
    <xf numFmtId="180" fontId="0" fillId="0" borderId="0" xfId="36" applyNumberFormat="1" applyFont="1" applyProtection="1">
      <protection locked="0"/>
    </xf>
    <xf numFmtId="0" fontId="38" fillId="0" borderId="0" xfId="35" applyFont="1" applyAlignment="1" applyProtection="1">
      <alignment horizontal="center"/>
      <protection locked="0"/>
    </xf>
    <xf numFmtId="0" fontId="38" fillId="0" borderId="0" xfId="35" applyFont="1" applyProtection="1">
      <protection locked="0"/>
    </xf>
    <xf numFmtId="0" fontId="38" fillId="0" borderId="0" xfId="35" applyFont="1"/>
    <xf numFmtId="0" fontId="1" fillId="0" borderId="0" xfId="35" applyFont="1" applyAlignment="1">
      <alignment horizontal="center"/>
    </xf>
    <xf numFmtId="180" fontId="0" fillId="0" borderId="0" xfId="36" applyNumberFormat="1" applyFont="1" applyAlignment="1">
      <alignment horizontal="center"/>
    </xf>
    <xf numFmtId="181" fontId="0" fillId="0" borderId="0" xfId="36" applyNumberFormat="1" applyFont="1" applyAlignment="1">
      <alignment horizontal="center"/>
    </xf>
    <xf numFmtId="0" fontId="38" fillId="0" borderId="0" xfId="35" applyFont="1" applyAlignment="1" applyProtection="1">
      <alignment horizontal="center" vertical="center"/>
      <protection locked="0"/>
    </xf>
    <xf numFmtId="10" fontId="38" fillId="0" borderId="0" xfId="35" applyNumberFormat="1" applyFont="1" applyAlignment="1" applyProtection="1">
      <alignment horizontal="right" vertical="center"/>
      <protection locked="0"/>
    </xf>
    <xf numFmtId="0" fontId="1" fillId="0" borderId="0" xfId="35" applyFont="1" applyAlignment="1" applyProtection="1">
      <alignment horizontal="left" vertical="center"/>
      <protection locked="0"/>
    </xf>
    <xf numFmtId="0" fontId="39" fillId="0" borderId="0" xfId="35" applyFont="1" applyAlignment="1">
      <alignment horizontal="left" vertical="top" wrapText="1"/>
    </xf>
    <xf numFmtId="0" fontId="39" fillId="0" borderId="0" xfId="35" applyFont="1" applyAlignment="1">
      <alignment horizontal="center" vertical="top" wrapText="1"/>
    </xf>
    <xf numFmtId="0" fontId="14" fillId="9" borderId="25" xfId="35" applyFont="1" applyFill="1" applyBorder="1"/>
    <xf numFmtId="0" fontId="18" fillId="9" borderId="29" xfId="35" applyFont="1" applyFill="1" applyBorder="1"/>
    <xf numFmtId="0" fontId="0" fillId="0" borderId="31" xfId="0" applyBorder="1" applyAlignment="1">
      <alignment horizontal="right" vertical="center" indent="1"/>
    </xf>
    <xf numFmtId="0" fontId="0" fillId="0" borderId="31" xfId="0" applyBorder="1" applyAlignment="1">
      <alignment vertical="center"/>
    </xf>
    <xf numFmtId="166" fontId="0" fillId="7" borderId="5" xfId="1" applyNumberFormat="1" applyFont="1" applyFill="1" applyBorder="1" applyAlignment="1" applyProtection="1">
      <alignment horizontal="right" vertical="center" indent="1"/>
      <protection locked="0"/>
    </xf>
    <xf numFmtId="10" fontId="0" fillId="9" borderId="5" xfId="1" applyNumberFormat="1" applyFont="1" applyFill="1" applyBorder="1" applyAlignment="1" applyProtection="1">
      <alignment horizontal="right" vertical="center" indent="1"/>
      <protection locked="0"/>
    </xf>
    <xf numFmtId="177" fontId="19" fillId="7" borderId="0" xfId="1" applyNumberFormat="1" applyFont="1" applyFill="1" applyAlignment="1">
      <alignment vertical="center"/>
    </xf>
    <xf numFmtId="10" fontId="19" fillId="7" borderId="0" xfId="1" applyNumberFormat="1" applyFont="1" applyFill="1" applyAlignment="1">
      <alignment vertical="center"/>
    </xf>
    <xf numFmtId="0" fontId="41" fillId="7" borderId="0" xfId="0" applyFont="1" applyFill="1" applyAlignment="1">
      <alignment vertical="center"/>
    </xf>
    <xf numFmtId="0" fontId="19" fillId="7" borderId="0" xfId="0" applyFont="1" applyFill="1" applyAlignment="1">
      <alignment vertical="center"/>
    </xf>
    <xf numFmtId="182" fontId="19" fillId="7" borderId="0" xfId="1" applyNumberFormat="1" applyFont="1" applyFill="1" applyAlignment="1">
      <alignment vertical="center"/>
    </xf>
    <xf numFmtId="8" fontId="4" fillId="7" borderId="0" xfId="1" applyNumberFormat="1" applyFont="1" applyFill="1" applyAlignment="1">
      <alignment horizontal="right" vertical="center" indent="1"/>
    </xf>
    <xf numFmtId="0" fontId="0" fillId="7" borderId="5" xfId="0" applyFill="1" applyBorder="1" applyAlignment="1">
      <alignment vertical="center"/>
    </xf>
    <xf numFmtId="0" fontId="11" fillId="0" borderId="0" xfId="2" applyFont="1" applyAlignment="1">
      <alignment horizontal="center"/>
    </xf>
    <xf numFmtId="166" fontId="14" fillId="0" borderId="0" xfId="39" applyNumberFormat="1" applyFont="1" applyAlignment="1">
      <alignment horizontal="center"/>
    </xf>
    <xf numFmtId="166" fontId="18" fillId="0" borderId="0" xfId="39" applyNumberFormat="1" applyFont="1" applyAlignment="1">
      <alignment horizontal="center"/>
    </xf>
    <xf numFmtId="0" fontId="0" fillId="0" borderId="0" xfId="2" applyFont="1" applyAlignment="1">
      <alignment horizontal="center"/>
    </xf>
    <xf numFmtId="3" fontId="14" fillId="0" borderId="0" xfId="39" applyNumberFormat="1" applyFont="1" applyAlignment="1">
      <alignment horizontal="center"/>
    </xf>
    <xf numFmtId="10" fontId="14" fillId="0" borderId="0" xfId="39" applyNumberFormat="1" applyFont="1" applyAlignment="1">
      <alignment horizontal="center"/>
    </xf>
    <xf numFmtId="166" fontId="3" fillId="0" borderId="0" xfId="2" applyNumberFormat="1" applyFont="1" applyAlignment="1">
      <alignment horizontal="center"/>
    </xf>
    <xf numFmtId="10" fontId="3" fillId="0" borderId="0" xfId="2" applyNumberFormat="1" applyFont="1" applyAlignment="1">
      <alignment horizontal="center" vertical="center"/>
    </xf>
    <xf numFmtId="0" fontId="21" fillId="0" borderId="0" xfId="2" applyFont="1"/>
    <xf numFmtId="0" fontId="14" fillId="0" borderId="0" xfId="39" applyFont="1" applyAlignment="1">
      <alignment horizontal="center"/>
    </xf>
    <xf numFmtId="0" fontId="21" fillId="0" borderId="0" xfId="2" applyFont="1" applyAlignment="1">
      <alignment horizontal="center"/>
    </xf>
    <xf numFmtId="9" fontId="14" fillId="0" borderId="0" xfId="39" applyNumberFormat="1" applyFont="1" applyAlignment="1">
      <alignment horizontal="center"/>
    </xf>
    <xf numFmtId="0" fontId="31" fillId="0" borderId="0" xfId="2" applyFont="1" applyAlignment="1">
      <alignment horizontal="center"/>
    </xf>
    <xf numFmtId="166" fontId="32" fillId="0" borderId="0" xfId="39" applyNumberFormat="1" applyFont="1" applyAlignment="1">
      <alignment horizontal="center"/>
    </xf>
    <xf numFmtId="0" fontId="22" fillId="0" borderId="0" xfId="2" applyFont="1" applyAlignment="1">
      <alignment horizontal="center"/>
    </xf>
    <xf numFmtId="166" fontId="23" fillId="0" borderId="0" xfId="39" applyNumberFormat="1" applyFont="1" applyAlignment="1">
      <alignment horizontal="center"/>
    </xf>
    <xf numFmtId="0" fontId="24" fillId="0" borderId="0" xfId="2" applyFont="1" applyAlignment="1">
      <alignment horizontal="center"/>
    </xf>
    <xf numFmtId="10" fontId="30" fillId="0" borderId="0" xfId="1" applyNumberFormat="1" applyFont="1" applyAlignment="1">
      <alignment horizontal="center"/>
    </xf>
    <xf numFmtId="166" fontId="0" fillId="0" borderId="5" xfId="1" applyNumberFormat="1" applyFont="1" applyBorder="1" applyAlignment="1">
      <alignment horizontal="right" vertical="center" indent="1"/>
    </xf>
    <xf numFmtId="171" fontId="0" fillId="0" borderId="5" xfId="0" applyNumberFormat="1" applyBorder="1" applyAlignment="1" applyProtection="1">
      <alignment horizontal="right" vertical="center" indent="1"/>
      <protection locked="0"/>
    </xf>
    <xf numFmtId="10" fontId="0" fillId="0" borderId="5" xfId="1" applyNumberFormat="1" applyFont="1" applyBorder="1" applyAlignment="1">
      <alignment horizontal="right" vertical="center" indent="1"/>
    </xf>
    <xf numFmtId="171" fontId="34" fillId="0" borderId="0" xfId="0" applyNumberFormat="1" applyFont="1" applyAlignment="1">
      <alignment vertical="center"/>
    </xf>
    <xf numFmtId="3" fontId="3" fillId="0" borderId="0" xfId="2" applyNumberFormat="1" applyFont="1"/>
    <xf numFmtId="177" fontId="14" fillId="9" borderId="17" xfId="39" applyNumberFormat="1" applyFont="1" applyFill="1" applyBorder="1" applyAlignment="1">
      <alignment horizontal="center"/>
    </xf>
    <xf numFmtId="0" fontId="3" fillId="0" borderId="0" xfId="96"/>
    <xf numFmtId="44" fontId="3" fillId="0" borderId="0" xfId="96" applyNumberFormat="1"/>
    <xf numFmtId="4" fontId="3" fillId="0" borderId="0" xfId="96" applyNumberFormat="1"/>
    <xf numFmtId="0" fontId="42" fillId="29" borderId="0" xfId="96" applyFont="1" applyFill="1" applyAlignment="1">
      <alignment horizontal="center" vertical="center"/>
    </xf>
    <xf numFmtId="44" fontId="42" fillId="4" borderId="33" xfId="97" applyFont="1" applyFill="1" applyBorder="1" applyAlignment="1">
      <alignment horizontal="center" vertical="center"/>
    </xf>
    <xf numFmtId="0" fontId="42" fillId="29" borderId="34" xfId="96" applyFont="1" applyFill="1" applyBorder="1" applyAlignment="1">
      <alignment horizontal="center" vertical="center"/>
    </xf>
    <xf numFmtId="10" fontId="43" fillId="4" borderId="0" xfId="98" applyNumberFormat="1" applyFont="1" applyFill="1" applyAlignment="1">
      <alignment horizontal="center" vertical="center"/>
    </xf>
    <xf numFmtId="10" fontId="0" fillId="0" borderId="0" xfId="98" applyNumberFormat="1" applyFont="1"/>
    <xf numFmtId="0" fontId="44" fillId="0" borderId="0" xfId="96" applyFont="1"/>
    <xf numFmtId="10" fontId="3" fillId="0" borderId="0" xfId="96" applyNumberFormat="1"/>
    <xf numFmtId="2" fontId="3" fillId="0" borderId="0" xfId="96" applyNumberFormat="1"/>
    <xf numFmtId="4" fontId="43" fillId="4" borderId="0" xfId="96" applyNumberFormat="1" applyFont="1" applyFill="1" applyAlignment="1">
      <alignment horizontal="center" vertical="center"/>
    </xf>
    <xf numFmtId="177" fontId="0" fillId="0" borderId="0" xfId="98" applyNumberFormat="1" applyFont="1"/>
    <xf numFmtId="10" fontId="42" fillId="4" borderId="0" xfId="96" applyNumberFormat="1" applyFont="1" applyFill="1" applyAlignment="1">
      <alignment horizontal="center" vertical="center"/>
    </xf>
    <xf numFmtId="0" fontId="34" fillId="0" borderId="0" xfId="96" applyFont="1"/>
    <xf numFmtId="0" fontId="43" fillId="4" borderId="0" xfId="96" applyFont="1" applyFill="1" applyAlignment="1">
      <alignment horizontal="center" vertical="center"/>
    </xf>
    <xf numFmtId="3" fontId="43" fillId="0" borderId="0" xfId="96" applyNumberFormat="1" applyFont="1" applyAlignment="1">
      <alignment horizontal="center" vertical="center"/>
    </xf>
    <xf numFmtId="3" fontId="43" fillId="4" borderId="0" xfId="96" applyNumberFormat="1" applyFont="1" applyFill="1" applyAlignment="1">
      <alignment horizontal="center" vertical="center"/>
    </xf>
    <xf numFmtId="0" fontId="3" fillId="4" borderId="0" xfId="96" applyFill="1"/>
    <xf numFmtId="0" fontId="45" fillId="29" borderId="0" xfId="96" applyFont="1" applyFill="1" applyAlignment="1">
      <alignment horizontal="center" vertical="center"/>
    </xf>
    <xf numFmtId="0" fontId="0" fillId="0" borderId="31" xfId="0" quotePrefix="1" applyBorder="1" applyAlignment="1">
      <alignment vertical="center"/>
    </xf>
    <xf numFmtId="0" fontId="3" fillId="0" borderId="0" xfId="2" quotePrefix="1" applyFont="1"/>
    <xf numFmtId="0" fontId="11" fillId="6" borderId="20" xfId="2" applyFont="1" applyFill="1" applyBorder="1" applyAlignment="1">
      <alignment horizontal="center"/>
    </xf>
    <xf numFmtId="0" fontId="0" fillId="0" borderId="21" xfId="0" applyBorder="1"/>
    <xf numFmtId="0" fontId="11" fillId="0" borderId="0" xfId="2" applyFont="1" applyAlignment="1">
      <alignment horizontal="center"/>
    </xf>
    <xf numFmtId="0" fontId="0" fillId="0" borderId="0" xfId="0" applyAlignment="1">
      <alignment vertical="center"/>
    </xf>
    <xf numFmtId="0" fontId="7" fillId="3" borderId="0" xfId="0" applyFont="1" applyFill="1" applyAlignment="1">
      <alignment horizontal="center" vertical="center" wrapText="1"/>
    </xf>
    <xf numFmtId="0" fontId="6" fillId="0" borderId="8" xfId="0" applyFont="1" applyBorder="1" applyAlignment="1">
      <alignment horizontal="right" vertical="center" indent="1"/>
    </xf>
    <xf numFmtId="0" fontId="0" fillId="0" borderId="8" xfId="0" applyBorder="1"/>
  </cellXfs>
  <cellStyles count="99">
    <cellStyle name="=D:\WINNT\SYSTEM32\COMMAND.COM" xfId="5" xr:uid="{00000000-0005-0000-0000-000005000000}"/>
    <cellStyle name="20 % - Accent1 2" xfId="78" xr:uid="{00000000-0005-0000-0000-000076000000}"/>
    <cellStyle name="20 % - Accent2 2" xfId="81" xr:uid="{00000000-0005-0000-0000-000079000000}"/>
    <cellStyle name="20 % - Accent3 2" xfId="84" xr:uid="{00000000-0005-0000-0000-00007C000000}"/>
    <cellStyle name="20 % - Accent4 2" xfId="87" xr:uid="{00000000-0005-0000-0000-00007F000000}"/>
    <cellStyle name="20 % - Accent5 2" xfId="90" xr:uid="{00000000-0005-0000-0000-000082000000}"/>
    <cellStyle name="20 % - Accent6 2" xfId="93" xr:uid="{00000000-0005-0000-0000-000085000000}"/>
    <cellStyle name="40 % - Accent1 2" xfId="79" xr:uid="{00000000-0005-0000-0000-000077000000}"/>
    <cellStyle name="40 % - Accent2 2" xfId="82" xr:uid="{00000000-0005-0000-0000-00007A000000}"/>
    <cellStyle name="40 % - Accent3 2" xfId="85" xr:uid="{00000000-0005-0000-0000-00007D000000}"/>
    <cellStyle name="40 % - Accent4 2" xfId="88" xr:uid="{00000000-0005-0000-0000-000080000000}"/>
    <cellStyle name="40 % - Accent5 2" xfId="91" xr:uid="{00000000-0005-0000-0000-000083000000}"/>
    <cellStyle name="40 % - Accent6 2" xfId="94" xr:uid="{00000000-0005-0000-0000-000086000000}"/>
    <cellStyle name="60 % - Accent1 2" xfId="80" xr:uid="{00000000-0005-0000-0000-000078000000}"/>
    <cellStyle name="60 % - Accent2 2" xfId="83" xr:uid="{00000000-0005-0000-0000-00007B000000}"/>
    <cellStyle name="60 % - Accent3 2" xfId="86" xr:uid="{00000000-0005-0000-0000-00007E000000}"/>
    <cellStyle name="60 % - Accent4 2" xfId="89" xr:uid="{00000000-0005-0000-0000-000081000000}"/>
    <cellStyle name="60 % - Accent5 2" xfId="92" xr:uid="{00000000-0005-0000-0000-000084000000}"/>
    <cellStyle name="60 % - Accent6 2" xfId="95" xr:uid="{00000000-0005-0000-0000-000087000000}"/>
    <cellStyle name="Euro" xfId="6" xr:uid="{00000000-0005-0000-0000-000006000000}"/>
    <cellStyle name="Euro 2" xfId="45" xr:uid="{00000000-0005-0000-0000-000055000000}"/>
    <cellStyle name="Milliers 2" xfId="7" xr:uid="{00000000-0005-0000-0000-000007000000}"/>
    <cellStyle name="Milliers 2 2" xfId="46" xr:uid="{00000000-0005-0000-0000-000056000000}"/>
    <cellStyle name="Milliers 3" xfId="8" xr:uid="{00000000-0005-0000-0000-000008000000}"/>
    <cellStyle name="Milliers 3 2" xfId="47" xr:uid="{00000000-0005-0000-0000-000057000000}"/>
    <cellStyle name="Milliers 4" xfId="9" xr:uid="{00000000-0005-0000-0000-000009000000}"/>
    <cellStyle name="Milliers 4 2" xfId="48" xr:uid="{00000000-0005-0000-0000-000058000000}"/>
    <cellStyle name="Milliers 5" xfId="10" xr:uid="{00000000-0005-0000-0000-00000A000000}"/>
    <cellStyle name="Milliers 5 2" xfId="49" xr:uid="{00000000-0005-0000-0000-000059000000}"/>
    <cellStyle name="Milliers 6" xfId="37" xr:uid="{00000000-0005-0000-0000-000025000000}"/>
    <cellStyle name="Milliers 6 2" xfId="69" xr:uid="{00000000-0005-0000-0000-00006D000000}"/>
    <cellStyle name="Monétaire 2" xfId="36" xr:uid="{00000000-0005-0000-0000-000024000000}"/>
    <cellStyle name="Monétaire 2 2" xfId="68" xr:uid="{00000000-0005-0000-0000-00006C000000}"/>
    <cellStyle name="Monétaire 2 3" xfId="97" xr:uid="{00000000-0005-0000-0000-000089000000}"/>
    <cellStyle name="Normal" xfId="0" builtinId="0"/>
    <cellStyle name="Normal 10" xfId="35" xr:uid="{00000000-0005-0000-0000-000023000000}"/>
    <cellStyle name="Normal 10 2" xfId="67" xr:uid="{00000000-0005-0000-0000-00006B000000}"/>
    <cellStyle name="Normal 11" xfId="41" xr:uid="{00000000-0005-0000-0000-000029000000}"/>
    <cellStyle name="Normal 11 2" xfId="73" xr:uid="{00000000-0005-0000-0000-000071000000}"/>
    <cellStyle name="Normal 12" xfId="76" xr:uid="{00000000-0005-0000-0000-000074000000}"/>
    <cellStyle name="Normal 2" xfId="3" xr:uid="{00000000-0005-0000-0000-000003000000}"/>
    <cellStyle name="Normal 2 2" xfId="2" xr:uid="{00000000-0005-0000-0000-000002000000}"/>
    <cellStyle name="Normal 2 3" xfId="33" xr:uid="{00000000-0005-0000-0000-000021000000}"/>
    <cellStyle name="Normal 2 3 2" xfId="39" xr:uid="{00000000-0005-0000-0000-000027000000}"/>
    <cellStyle name="Normal 2 3 2 2" xfId="71" xr:uid="{00000000-0005-0000-0000-00006F000000}"/>
    <cellStyle name="Normal 2 3 3" xfId="65" xr:uid="{00000000-0005-0000-0000-000069000000}"/>
    <cellStyle name="Normal 2 4" xfId="43" xr:uid="{00000000-0005-0000-0000-000053000000}"/>
    <cellStyle name="Normal 2 5" xfId="96" xr:uid="{00000000-0005-0000-0000-000088000000}"/>
    <cellStyle name="Normal 3" xfId="11" xr:uid="{00000000-0005-0000-0000-00000B000000}"/>
    <cellStyle name="Normal 4" xfId="12" xr:uid="{00000000-0005-0000-0000-00000C000000}"/>
    <cellStyle name="Normal 5" xfId="13" xr:uid="{00000000-0005-0000-0000-00000D000000}"/>
    <cellStyle name="Normal 5 2" xfId="14" xr:uid="{00000000-0005-0000-0000-00000E000000}"/>
    <cellStyle name="Normal 5 2 2" xfId="50" xr:uid="{00000000-0005-0000-0000-00005A000000}"/>
    <cellStyle name="Normal 6" xfId="15" xr:uid="{00000000-0005-0000-0000-00000F000000}"/>
    <cellStyle name="Normal 6 2" xfId="16" xr:uid="{00000000-0005-0000-0000-000010000000}"/>
    <cellStyle name="Normal 6 2 2" xfId="51" xr:uid="{00000000-0005-0000-0000-00005B000000}"/>
    <cellStyle name="Normal 7" xfId="17" xr:uid="{00000000-0005-0000-0000-000011000000}"/>
    <cellStyle name="Normal 8" xfId="18" xr:uid="{00000000-0005-0000-0000-000012000000}"/>
    <cellStyle name="Normal 8 2" xfId="52" xr:uid="{00000000-0005-0000-0000-00005C000000}"/>
    <cellStyle name="Normal 9" xfId="19" xr:uid="{00000000-0005-0000-0000-000013000000}"/>
    <cellStyle name="Normal 9 2" xfId="53" xr:uid="{00000000-0005-0000-0000-00005D000000}"/>
    <cellStyle name="Note 2" xfId="75" xr:uid="{00000000-0005-0000-0000-000073000000}"/>
    <cellStyle name="Note 3" xfId="77" xr:uid="{00000000-0005-0000-0000-000075000000}"/>
    <cellStyle name="Pourcentage" xfId="1" builtinId="5"/>
    <cellStyle name="Pourcentage 10" xfId="20" xr:uid="{00000000-0005-0000-0000-000014000000}"/>
    <cellStyle name="Pourcentage 10 2" xfId="54" xr:uid="{00000000-0005-0000-0000-00005E000000}"/>
    <cellStyle name="Pourcentage 11" xfId="21" xr:uid="{00000000-0005-0000-0000-000015000000}"/>
    <cellStyle name="Pourcentage 11 2" xfId="55" xr:uid="{00000000-0005-0000-0000-00005F000000}"/>
    <cellStyle name="Pourcentage 12" xfId="22" xr:uid="{00000000-0005-0000-0000-000016000000}"/>
    <cellStyle name="Pourcentage 12 2" xfId="56" xr:uid="{00000000-0005-0000-0000-000060000000}"/>
    <cellStyle name="Pourcentage 13" xfId="23" xr:uid="{00000000-0005-0000-0000-000017000000}"/>
    <cellStyle name="Pourcentage 14" xfId="24" xr:uid="{00000000-0005-0000-0000-000018000000}"/>
    <cellStyle name="Pourcentage 14 2" xfId="57" xr:uid="{00000000-0005-0000-0000-000061000000}"/>
    <cellStyle name="Pourcentage 15" xfId="25" xr:uid="{00000000-0005-0000-0000-000019000000}"/>
    <cellStyle name="Pourcentage 15 2" xfId="58" xr:uid="{00000000-0005-0000-0000-000062000000}"/>
    <cellStyle name="Pourcentage 16" xfId="38" xr:uid="{00000000-0005-0000-0000-000026000000}"/>
    <cellStyle name="Pourcentage 16 2" xfId="70" xr:uid="{00000000-0005-0000-0000-00006E000000}"/>
    <cellStyle name="Pourcentage 17" xfId="42" xr:uid="{00000000-0005-0000-0000-00002A000000}"/>
    <cellStyle name="Pourcentage 17 2" xfId="74" xr:uid="{00000000-0005-0000-0000-000072000000}"/>
    <cellStyle name="Pourcentage 2" xfId="4" xr:uid="{00000000-0005-0000-0000-000004000000}"/>
    <cellStyle name="Pourcentage 2 2" xfId="34" xr:uid="{00000000-0005-0000-0000-000022000000}"/>
    <cellStyle name="Pourcentage 2 2 2" xfId="40" xr:uid="{00000000-0005-0000-0000-000028000000}"/>
    <cellStyle name="Pourcentage 2 2 2 2" xfId="72" xr:uid="{00000000-0005-0000-0000-000070000000}"/>
    <cellStyle name="Pourcentage 2 2 3" xfId="66" xr:uid="{00000000-0005-0000-0000-00006A000000}"/>
    <cellStyle name="Pourcentage 2 3" xfId="44" xr:uid="{00000000-0005-0000-0000-000054000000}"/>
    <cellStyle name="Pourcentage 2 4" xfId="98" xr:uid="{00000000-0005-0000-0000-00008A000000}"/>
    <cellStyle name="Pourcentage 3" xfId="26" xr:uid="{00000000-0005-0000-0000-00001A000000}"/>
    <cellStyle name="Pourcentage 4" xfId="27" xr:uid="{00000000-0005-0000-0000-00001B000000}"/>
    <cellStyle name="Pourcentage 4 2" xfId="59" xr:uid="{00000000-0005-0000-0000-000063000000}"/>
    <cellStyle name="Pourcentage 5" xfId="28" xr:uid="{00000000-0005-0000-0000-00001C000000}"/>
    <cellStyle name="Pourcentage 5 2" xfId="60" xr:uid="{00000000-0005-0000-0000-000064000000}"/>
    <cellStyle name="Pourcentage 6" xfId="29" xr:uid="{00000000-0005-0000-0000-00001D000000}"/>
    <cellStyle name="Pourcentage 6 2" xfId="61" xr:uid="{00000000-0005-0000-0000-000065000000}"/>
    <cellStyle name="Pourcentage 7" xfId="30" xr:uid="{00000000-0005-0000-0000-00001E000000}"/>
    <cellStyle name="Pourcentage 7 2" xfId="62" xr:uid="{00000000-0005-0000-0000-000066000000}"/>
    <cellStyle name="Pourcentage 8" xfId="31" xr:uid="{00000000-0005-0000-0000-00001F000000}"/>
    <cellStyle name="Pourcentage 8 2" xfId="63" xr:uid="{00000000-0005-0000-0000-000067000000}"/>
    <cellStyle name="Pourcentage 9" xfId="32" xr:uid="{00000000-0005-0000-0000-000020000000}"/>
    <cellStyle name="Pourcentage 9 2" xfId="64" xr:uid="{00000000-0005-0000-0000-000068000000}"/>
  </cellStyles>
  <dxfs count="3"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data04\Planification%20France\suivi%20promo\agr&#233;&#233;\2011\Etude%20rentabilit&#233;%20Partenaires\BATEAU\TARIFEUR%20LOA%20BOA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LF/PLAN/Budget%202002/EncLF%20budg20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aisonExterneR&#233;cup&#233;r&#233;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s"/>
      <sheetName val="Offre LOA"/>
      <sheetName val="Paramètres"/>
      <sheetName val="paramètres fiche rentabilité"/>
      <sheetName val="fiche rentabilité"/>
      <sheetName val="Module1"/>
    </sheetNames>
    <sheetDataSet>
      <sheetData sheetId="0" refreshError="1">
        <row r="9">
          <cell r="C9">
            <v>720000</v>
          </cell>
        </row>
        <row r="12">
          <cell r="C12">
            <v>180</v>
          </cell>
        </row>
        <row r="18">
          <cell r="C18">
            <v>4.5</v>
          </cell>
        </row>
      </sheetData>
      <sheetData sheetId="1" refreshError="1"/>
      <sheetData sheetId="2" refreshError="1">
        <row r="3">
          <cell r="C3">
            <v>19.600000000000001</v>
          </cell>
        </row>
        <row r="5">
          <cell r="C5">
            <v>9.8000000000000007</v>
          </cell>
        </row>
        <row r="9">
          <cell r="C9">
            <v>300002.40000000002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x"/>
      <sheetName val="Graph3"/>
      <sheetName val="VAT"/>
      <sheetName val="Bail"/>
      <sheetName val="VDR"/>
      <sheetName val="CP"/>
    </sheetNames>
    <sheetDataSet>
      <sheetData sheetId="0"/>
      <sheetData sheetId="1" refreshError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courante"/>
      <sheetName val="INPUTS"/>
      <sheetName val="inputs_métier"/>
      <sheetName val="inputs_finance"/>
      <sheetName val="renta_SYNTH"/>
      <sheetName val="renta_retail"/>
      <sheetName val="renta_CFV + WS"/>
      <sheetName val="renta_CFV"/>
      <sheetName val="renta_wholesale "/>
      <sheetName val="TCI"/>
      <sheetName val="Taux_Bancaires"/>
      <sheetName val="CoeffSurf_CTLM"/>
      <sheetName val="CoeffSurf_LF"/>
      <sheetName val="Autres"/>
      <sheetName val="ref_MAP"/>
      <sheetName val="param"/>
    </sheetNames>
    <sheetDataSet>
      <sheetData sheetId="0"/>
      <sheetData sheetId="1"/>
      <sheetData sheetId="2"/>
      <sheetData sheetId="3"/>
      <sheetData sheetId="4"/>
      <sheetData sheetId="5">
        <row r="16">
          <cell r="C16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U86"/>
  <sheetViews>
    <sheetView zoomScale="77" workbookViewId="0">
      <selection activeCell="I4" sqref="I4"/>
    </sheetView>
  </sheetViews>
  <sheetFormatPr baseColWidth="10" defaultColWidth="11.42578125" defaultRowHeight="12" outlineLevelCol="1" x14ac:dyDescent="0.2"/>
  <cols>
    <col min="1" max="1" width="17.42578125" customWidth="1"/>
    <col min="2" max="2" width="11.7109375" customWidth="1"/>
    <col min="3" max="3" width="11" customWidth="1"/>
    <col min="4" max="4" width="12.42578125" customWidth="1"/>
    <col min="5" max="6" width="12.42578125" hidden="1" customWidth="1" outlineLevel="1"/>
    <col min="7" max="7" width="11.140625" hidden="1" customWidth="1" outlineLevel="1"/>
    <col min="8" max="8" width="12.42578125" hidden="1" customWidth="1" outlineLevel="1"/>
    <col min="9" max="9" width="13.5703125" bestFit="1" customWidth="1" collapsed="1"/>
    <col min="10" max="11" width="12.42578125" customWidth="1"/>
    <col min="12" max="12" width="16.42578125" customWidth="1"/>
    <col min="13" max="14" width="12.42578125" hidden="1" customWidth="1"/>
    <col min="15" max="15" width="15.140625" hidden="1" customWidth="1"/>
    <col min="16" max="16" width="12.5703125" hidden="1" customWidth="1"/>
    <col min="17" max="17" width="14" hidden="1" customWidth="1"/>
    <col min="18" max="18" width="21.140625" customWidth="1"/>
    <col min="19" max="19" width="24.85546875" customWidth="1"/>
    <col min="20" max="20" width="21.140625" customWidth="1"/>
    <col min="21" max="21" width="21.85546875" customWidth="1"/>
  </cols>
  <sheetData>
    <row r="1" spans="1:21" s="113" customFormat="1" ht="15" customHeight="1" x14ac:dyDescent="0.25">
      <c r="B1" s="161"/>
      <c r="C1" s="162"/>
      <c r="D1" s="163"/>
      <c r="E1" s="163"/>
      <c r="F1" s="163"/>
      <c r="G1" s="163"/>
      <c r="H1" s="164"/>
      <c r="I1" s="165"/>
      <c r="J1" s="166"/>
      <c r="K1" s="166"/>
      <c r="L1" s="167"/>
      <c r="M1" s="168"/>
      <c r="N1" s="169"/>
      <c r="O1" s="170"/>
      <c r="P1" s="170"/>
      <c r="Q1" s="170"/>
      <c r="T1" s="176" t="s">
        <v>87</v>
      </c>
    </row>
    <row r="2" spans="1:21" s="113" customFormat="1" ht="20.25" customHeight="1" x14ac:dyDescent="0.25">
      <c r="B2" s="171"/>
      <c r="C2" s="172"/>
      <c r="D2" s="171"/>
      <c r="E2" s="171"/>
      <c r="F2" s="171"/>
      <c r="G2" s="171"/>
      <c r="H2" s="173"/>
      <c r="I2" s="171"/>
      <c r="J2" s="171"/>
      <c r="K2" s="171"/>
      <c r="L2" s="171"/>
      <c r="M2" s="174"/>
      <c r="N2" s="174"/>
      <c r="O2" s="174"/>
      <c r="P2" s="175"/>
      <c r="Q2" s="175"/>
      <c r="T2" s="177">
        <v>335</v>
      </c>
    </row>
    <row r="3" spans="1:21" s="116" customFormat="1" ht="82.5" customHeight="1" x14ac:dyDescent="0.25">
      <c r="A3" s="114" t="s">
        <v>88</v>
      </c>
      <c r="B3" s="114" t="s">
        <v>89</v>
      </c>
      <c r="C3" s="114" t="s">
        <v>90</v>
      </c>
      <c r="D3" s="114" t="s">
        <v>91</v>
      </c>
      <c r="E3" s="114" t="s">
        <v>92</v>
      </c>
      <c r="F3" s="114" t="s">
        <v>93</v>
      </c>
      <c r="G3" s="114" t="s">
        <v>94</v>
      </c>
      <c r="H3" s="114" t="s">
        <v>95</v>
      </c>
      <c r="I3" s="114" t="s">
        <v>96</v>
      </c>
      <c r="J3" s="114" t="s">
        <v>20</v>
      </c>
      <c r="K3" s="114" t="s">
        <v>97</v>
      </c>
      <c r="L3" s="115" t="s">
        <v>98</v>
      </c>
      <c r="M3" s="115" t="s">
        <v>99</v>
      </c>
      <c r="N3" s="115" t="s">
        <v>100</v>
      </c>
      <c r="O3" s="115" t="s">
        <v>101</v>
      </c>
      <c r="P3" s="115" t="s">
        <v>102</v>
      </c>
      <c r="Q3" s="115" t="s">
        <v>103</v>
      </c>
      <c r="R3" s="159" t="s">
        <v>104</v>
      </c>
      <c r="S3" s="115" t="s">
        <v>105</v>
      </c>
      <c r="T3" s="115" t="s">
        <v>106</v>
      </c>
      <c r="U3" s="115" t="s">
        <v>107</v>
      </c>
    </row>
    <row r="4" spans="1:21" x14ac:dyDescent="0.2">
      <c r="A4">
        <v>88018878785553</v>
      </c>
      <c r="B4" t="s">
        <v>108</v>
      </c>
      <c r="C4" t="s">
        <v>109</v>
      </c>
      <c r="D4" s="160">
        <v>16033.23</v>
      </c>
      <c r="I4" s="158">
        <v>6.9500000000000006E-2</v>
      </c>
      <c r="J4">
        <v>37</v>
      </c>
      <c r="K4" s="160">
        <v>10918.05</v>
      </c>
      <c r="L4" s="158">
        <v>7.4499999999999997E-2</v>
      </c>
      <c r="R4" s="160">
        <v>338.25369999999998</v>
      </c>
      <c r="S4" s="160">
        <f t="shared" ref="S4:S35" si="0">0.1 * D4</f>
        <v>1603.3230000000001</v>
      </c>
      <c r="T4" s="160">
        <v>335</v>
      </c>
      <c r="U4" s="160">
        <f t="shared" ref="U4:U35" si="1">R4 + S4 + T4</f>
        <v>2276.5767000000001</v>
      </c>
    </row>
    <row r="5" spans="1:21" x14ac:dyDescent="0.2">
      <c r="A5">
        <v>88015798725152</v>
      </c>
      <c r="B5" t="s">
        <v>108</v>
      </c>
      <c r="C5" t="s">
        <v>109</v>
      </c>
      <c r="D5" s="160">
        <v>14782.13</v>
      </c>
      <c r="I5" s="158">
        <v>6.9500000000000006E-2</v>
      </c>
      <c r="J5">
        <v>37</v>
      </c>
      <c r="K5" s="160">
        <v>9035.4599999999991</v>
      </c>
      <c r="L5" s="158">
        <v>7.4499999999999997E-2</v>
      </c>
      <c r="R5" s="160">
        <v>306.32470000000001</v>
      </c>
      <c r="S5" s="160">
        <f t="shared" si="0"/>
        <v>1478.213</v>
      </c>
      <c r="T5" s="160">
        <v>335</v>
      </c>
      <c r="U5" s="160">
        <f t="shared" si="1"/>
        <v>2119.5376999999999</v>
      </c>
    </row>
    <row r="6" spans="1:21" x14ac:dyDescent="0.2">
      <c r="A6">
        <v>88018577261052</v>
      </c>
      <c r="B6" t="s">
        <v>110</v>
      </c>
      <c r="C6" t="s">
        <v>109</v>
      </c>
      <c r="D6" s="160">
        <v>21304.63</v>
      </c>
      <c r="I6" s="158">
        <v>4.9500000000000002E-2</v>
      </c>
      <c r="J6">
        <v>48</v>
      </c>
      <c r="K6" s="160">
        <v>14368.04</v>
      </c>
      <c r="L6" s="158">
        <v>6.7100000000000007E-2</v>
      </c>
      <c r="R6" s="160">
        <v>1238.3664000000001</v>
      </c>
      <c r="S6" s="160">
        <f t="shared" si="0"/>
        <v>2130.4630000000002</v>
      </c>
      <c r="T6" s="160">
        <v>335</v>
      </c>
      <c r="U6" s="160">
        <f t="shared" si="1"/>
        <v>3703.8294000000005</v>
      </c>
    </row>
    <row r="7" spans="1:21" x14ac:dyDescent="0.2">
      <c r="A7">
        <v>88014900796155</v>
      </c>
      <c r="B7" t="s">
        <v>108</v>
      </c>
      <c r="C7" t="s">
        <v>109</v>
      </c>
      <c r="D7" s="160">
        <v>12050.77</v>
      </c>
      <c r="I7" s="158">
        <v>6.9500000000000006E-2</v>
      </c>
      <c r="J7">
        <v>49</v>
      </c>
      <c r="K7" s="160">
        <v>8795.34</v>
      </c>
      <c r="L7" s="158">
        <v>7.4499999999999997E-2</v>
      </c>
      <c r="R7" s="160">
        <v>292.88189999999997</v>
      </c>
      <c r="S7" s="160">
        <f t="shared" si="0"/>
        <v>1205.077</v>
      </c>
      <c r="T7" s="160">
        <v>335</v>
      </c>
      <c r="U7" s="160">
        <f t="shared" si="1"/>
        <v>1832.9589000000001</v>
      </c>
    </row>
    <row r="8" spans="1:21" x14ac:dyDescent="0.2">
      <c r="A8">
        <v>88016655041156</v>
      </c>
      <c r="B8" t="s">
        <v>108</v>
      </c>
      <c r="C8" t="s">
        <v>109</v>
      </c>
      <c r="D8" s="160">
        <v>15236.58</v>
      </c>
      <c r="I8" s="158">
        <v>6.9500000000000006E-2</v>
      </c>
      <c r="J8">
        <v>48</v>
      </c>
      <c r="K8" s="160">
        <v>9307.35</v>
      </c>
      <c r="L8" s="158">
        <v>7.4499999999999997E-2</v>
      </c>
      <c r="R8" s="160">
        <v>355.22640000000001</v>
      </c>
      <c r="S8" s="160">
        <f t="shared" si="0"/>
        <v>1523.6580000000001</v>
      </c>
      <c r="T8" s="160">
        <v>335</v>
      </c>
      <c r="U8" s="160">
        <f t="shared" si="1"/>
        <v>2213.8843999999999</v>
      </c>
    </row>
    <row r="9" spans="1:21" x14ac:dyDescent="0.2">
      <c r="A9">
        <v>88018969490251</v>
      </c>
      <c r="B9" t="s">
        <v>108</v>
      </c>
      <c r="C9" t="s">
        <v>109</v>
      </c>
      <c r="D9" s="160">
        <v>14655.99</v>
      </c>
      <c r="I9" s="158">
        <v>6.9500000000000006E-2</v>
      </c>
      <c r="J9">
        <v>49</v>
      </c>
      <c r="K9" s="160">
        <v>8535.1</v>
      </c>
      <c r="L9" s="158">
        <v>7.4499999999999997E-2</v>
      </c>
      <c r="R9" s="160">
        <v>342.29629999999997</v>
      </c>
      <c r="S9" s="160">
        <f t="shared" si="0"/>
        <v>1465.5990000000002</v>
      </c>
      <c r="T9" s="160">
        <v>335</v>
      </c>
      <c r="U9" s="160">
        <f t="shared" si="1"/>
        <v>2142.8953000000001</v>
      </c>
    </row>
    <row r="10" spans="1:21" x14ac:dyDescent="0.2">
      <c r="A10">
        <v>88018637798751</v>
      </c>
      <c r="B10" t="s">
        <v>108</v>
      </c>
      <c r="C10" t="s">
        <v>109</v>
      </c>
      <c r="D10" s="160">
        <v>11988.53</v>
      </c>
      <c r="I10" s="158">
        <v>5.9499999999999997E-2</v>
      </c>
      <c r="J10">
        <v>37</v>
      </c>
      <c r="K10" s="160">
        <v>8940.75</v>
      </c>
      <c r="L10" s="158">
        <v>6.7100000000000007E-2</v>
      </c>
      <c r="R10" s="160">
        <v>328.18490000000003</v>
      </c>
      <c r="S10" s="160">
        <f t="shared" si="0"/>
        <v>1198.8530000000001</v>
      </c>
      <c r="T10" s="160">
        <v>335</v>
      </c>
      <c r="U10" s="160">
        <f t="shared" si="1"/>
        <v>1862.0379</v>
      </c>
    </row>
    <row r="11" spans="1:21" x14ac:dyDescent="0.2">
      <c r="A11">
        <v>88018823175453</v>
      </c>
      <c r="B11" t="s">
        <v>108</v>
      </c>
      <c r="C11" t="s">
        <v>109</v>
      </c>
      <c r="D11" s="160">
        <v>8680.6299999999992</v>
      </c>
      <c r="I11" s="158">
        <v>6.9500000000000006E-2</v>
      </c>
      <c r="J11">
        <v>37</v>
      </c>
      <c r="K11" s="160">
        <v>9004.27</v>
      </c>
      <c r="L11" s="158">
        <v>7.4499999999999997E-2</v>
      </c>
      <c r="R11" s="160">
        <v>199.745</v>
      </c>
      <c r="S11" s="160">
        <f t="shared" si="0"/>
        <v>868.06299999999999</v>
      </c>
      <c r="T11" s="160">
        <v>335</v>
      </c>
      <c r="U11" s="160">
        <f t="shared" si="1"/>
        <v>1402.808</v>
      </c>
    </row>
    <row r="12" spans="1:21" x14ac:dyDescent="0.2">
      <c r="A12">
        <v>88019239674051</v>
      </c>
      <c r="B12" t="s">
        <v>108</v>
      </c>
      <c r="C12" t="s">
        <v>109</v>
      </c>
      <c r="D12" s="160">
        <v>12352.42</v>
      </c>
      <c r="I12" s="158">
        <v>5.9499999999999997E-2</v>
      </c>
      <c r="J12">
        <v>49</v>
      </c>
      <c r="K12" s="160">
        <v>7707.83</v>
      </c>
      <c r="L12" s="158">
        <v>7.4499999999999997E-2</v>
      </c>
      <c r="R12" s="160">
        <v>627.62400000000002</v>
      </c>
      <c r="S12" s="160">
        <f t="shared" si="0"/>
        <v>1235.2420000000002</v>
      </c>
      <c r="T12" s="160">
        <v>335</v>
      </c>
      <c r="U12" s="160">
        <f t="shared" si="1"/>
        <v>2197.866</v>
      </c>
    </row>
    <row r="13" spans="1:21" x14ac:dyDescent="0.2">
      <c r="A13">
        <v>88019103854654</v>
      </c>
      <c r="B13" t="s">
        <v>110</v>
      </c>
      <c r="C13" t="s">
        <v>109</v>
      </c>
      <c r="D13" s="160">
        <v>21004.23</v>
      </c>
      <c r="I13" s="158">
        <v>6.9500000000000006E-2</v>
      </c>
      <c r="J13">
        <v>49</v>
      </c>
      <c r="K13" s="160">
        <v>13920.45</v>
      </c>
      <c r="L13" s="158">
        <v>7.4499999999999997E-2</v>
      </c>
      <c r="R13" s="160">
        <v>501.42070000000001</v>
      </c>
      <c r="S13" s="160">
        <f t="shared" si="0"/>
        <v>2100.4230000000002</v>
      </c>
      <c r="T13" s="160">
        <v>335</v>
      </c>
      <c r="U13" s="160">
        <f t="shared" si="1"/>
        <v>2936.8437000000004</v>
      </c>
    </row>
    <row r="14" spans="1:21" x14ac:dyDescent="0.2">
      <c r="A14">
        <v>88019184917555</v>
      </c>
      <c r="B14" t="s">
        <v>108</v>
      </c>
      <c r="C14" t="s">
        <v>109</v>
      </c>
      <c r="D14" s="160">
        <v>14943.66</v>
      </c>
      <c r="I14" s="158">
        <v>5.9499999999999997E-2</v>
      </c>
      <c r="J14">
        <v>37</v>
      </c>
      <c r="K14" s="160">
        <v>9225.9699999999993</v>
      </c>
      <c r="L14" s="158">
        <v>7.4499999999999997E-2</v>
      </c>
      <c r="R14" s="160">
        <v>631.07069999999999</v>
      </c>
      <c r="S14" s="160">
        <f t="shared" si="0"/>
        <v>1494.366</v>
      </c>
      <c r="T14" s="160">
        <v>335</v>
      </c>
      <c r="U14" s="160">
        <f t="shared" si="1"/>
        <v>2460.4367000000002</v>
      </c>
    </row>
    <row r="15" spans="1:21" x14ac:dyDescent="0.2">
      <c r="A15">
        <v>88018812544251</v>
      </c>
      <c r="B15" t="s">
        <v>108</v>
      </c>
      <c r="C15" t="s">
        <v>109</v>
      </c>
      <c r="D15" s="160">
        <v>8950</v>
      </c>
      <c r="I15" s="158">
        <v>6.9500000000000006E-2</v>
      </c>
      <c r="J15">
        <v>49</v>
      </c>
      <c r="K15" s="160">
        <v>6845.26</v>
      </c>
      <c r="L15" s="158">
        <v>7.4499999999999997E-2</v>
      </c>
      <c r="R15" s="160">
        <v>219.5341</v>
      </c>
      <c r="S15" s="160">
        <f t="shared" si="0"/>
        <v>895</v>
      </c>
      <c r="T15" s="160">
        <v>335</v>
      </c>
      <c r="U15" s="160">
        <f t="shared" si="1"/>
        <v>1449.5341000000001</v>
      </c>
    </row>
    <row r="16" spans="1:21" x14ac:dyDescent="0.2">
      <c r="A16">
        <v>88018629204552</v>
      </c>
      <c r="B16" t="s">
        <v>108</v>
      </c>
      <c r="C16" t="s">
        <v>109</v>
      </c>
      <c r="D16" s="160">
        <v>15250</v>
      </c>
      <c r="I16" s="158">
        <v>5.9499999999999997E-2</v>
      </c>
      <c r="J16">
        <v>37</v>
      </c>
      <c r="K16" s="160">
        <v>10557.1</v>
      </c>
      <c r="L16" s="158">
        <v>7.4499999999999997E-2</v>
      </c>
      <c r="R16" s="160">
        <v>662.51469999999995</v>
      </c>
      <c r="S16" s="160">
        <f t="shared" si="0"/>
        <v>1525</v>
      </c>
      <c r="T16" s="160">
        <v>335</v>
      </c>
      <c r="U16" s="160">
        <f t="shared" si="1"/>
        <v>2522.5146999999997</v>
      </c>
    </row>
    <row r="17" spans="1:21" x14ac:dyDescent="0.2">
      <c r="A17">
        <v>88015710319354</v>
      </c>
      <c r="B17" t="s">
        <v>111</v>
      </c>
      <c r="C17" t="s">
        <v>109</v>
      </c>
      <c r="D17" s="160">
        <v>24856.02</v>
      </c>
      <c r="I17" s="158">
        <v>6.9500000000000006E-2</v>
      </c>
      <c r="J17">
        <v>48</v>
      </c>
      <c r="K17" s="160">
        <v>14332.48</v>
      </c>
      <c r="L17" s="158">
        <v>7.4499999999999997E-2</v>
      </c>
      <c r="R17" s="160">
        <v>574.0874</v>
      </c>
      <c r="S17" s="160">
        <f t="shared" si="0"/>
        <v>2485.6020000000003</v>
      </c>
      <c r="T17" s="160">
        <v>335</v>
      </c>
      <c r="U17" s="160">
        <f t="shared" si="1"/>
        <v>3394.6894000000002</v>
      </c>
    </row>
    <row r="18" spans="1:21" x14ac:dyDescent="0.2">
      <c r="A18">
        <v>88019204657053</v>
      </c>
      <c r="B18" t="s">
        <v>108</v>
      </c>
      <c r="C18" t="s">
        <v>109</v>
      </c>
      <c r="D18" s="160">
        <v>11424.96</v>
      </c>
      <c r="I18" s="158">
        <v>5.9499999999999997E-2</v>
      </c>
      <c r="J18">
        <v>37</v>
      </c>
      <c r="K18" s="160">
        <v>10399.31</v>
      </c>
      <c r="L18" s="158">
        <v>7.4499999999999997E-2</v>
      </c>
      <c r="R18" s="160">
        <v>536.69690000000003</v>
      </c>
      <c r="S18" s="160">
        <f t="shared" si="0"/>
        <v>1142.4959999999999</v>
      </c>
      <c r="T18" s="160">
        <v>335</v>
      </c>
      <c r="U18" s="160">
        <f t="shared" si="1"/>
        <v>2014.1929</v>
      </c>
    </row>
    <row r="19" spans="1:21" x14ac:dyDescent="0.2">
      <c r="A19">
        <v>88018533164852</v>
      </c>
      <c r="B19" t="s">
        <v>112</v>
      </c>
      <c r="C19" t="s">
        <v>109</v>
      </c>
      <c r="D19" s="160">
        <v>19517.05</v>
      </c>
      <c r="I19" s="158">
        <v>4.9500000000000002E-2</v>
      </c>
      <c r="J19">
        <v>37</v>
      </c>
      <c r="K19" s="160">
        <v>12715.05</v>
      </c>
      <c r="L19" s="158">
        <v>6.7100000000000007E-2</v>
      </c>
      <c r="R19" s="160">
        <v>944.55290000000002</v>
      </c>
      <c r="S19" s="160">
        <f t="shared" si="0"/>
        <v>1951.7049999999999</v>
      </c>
      <c r="T19" s="160">
        <v>335</v>
      </c>
      <c r="U19" s="160">
        <f t="shared" si="1"/>
        <v>3231.2579000000001</v>
      </c>
    </row>
    <row r="20" spans="1:21" x14ac:dyDescent="0.2">
      <c r="A20">
        <v>88018819373055</v>
      </c>
      <c r="B20" t="s">
        <v>108</v>
      </c>
      <c r="C20" t="s">
        <v>109</v>
      </c>
      <c r="D20" s="160">
        <v>15463.62</v>
      </c>
      <c r="I20" s="158">
        <v>5.9499999999999997E-2</v>
      </c>
      <c r="J20">
        <v>37</v>
      </c>
      <c r="K20" s="160">
        <v>9878.3700000000008</v>
      </c>
      <c r="L20" s="158">
        <v>7.4499999999999997E-2</v>
      </c>
      <c r="R20" s="160">
        <v>658.399</v>
      </c>
      <c r="S20" s="160">
        <f t="shared" si="0"/>
        <v>1546.3620000000001</v>
      </c>
      <c r="T20" s="160">
        <v>335</v>
      </c>
      <c r="U20" s="160">
        <f t="shared" si="1"/>
        <v>2539.761</v>
      </c>
    </row>
    <row r="21" spans="1:21" x14ac:dyDescent="0.2">
      <c r="A21">
        <v>88019200224151</v>
      </c>
      <c r="B21" t="s">
        <v>108</v>
      </c>
      <c r="C21" t="s">
        <v>109</v>
      </c>
      <c r="D21" s="160">
        <v>11674.01</v>
      </c>
      <c r="I21" s="158">
        <v>5.9499999999999997E-2</v>
      </c>
      <c r="J21">
        <v>37</v>
      </c>
      <c r="K21" s="160">
        <v>9976.9</v>
      </c>
      <c r="L21" s="158">
        <v>7.4499999999999997E-2</v>
      </c>
      <c r="R21" s="160">
        <v>537.8768</v>
      </c>
      <c r="S21" s="160">
        <f t="shared" si="0"/>
        <v>1167.4010000000001</v>
      </c>
      <c r="T21" s="160">
        <v>335</v>
      </c>
      <c r="U21" s="160">
        <f t="shared" si="1"/>
        <v>2040.2778000000001</v>
      </c>
    </row>
    <row r="22" spans="1:21" x14ac:dyDescent="0.2">
      <c r="A22">
        <v>88018597107251</v>
      </c>
      <c r="B22" t="s">
        <v>112</v>
      </c>
      <c r="C22" t="s">
        <v>109</v>
      </c>
      <c r="D22" s="160">
        <v>13340.63</v>
      </c>
      <c r="I22" s="158">
        <v>4.9500000000000002E-2</v>
      </c>
      <c r="J22">
        <v>49</v>
      </c>
      <c r="K22" s="160">
        <v>11567.4</v>
      </c>
      <c r="L22" s="158">
        <v>6.7100000000000007E-2</v>
      </c>
      <c r="R22" s="160">
        <v>845.6463</v>
      </c>
      <c r="S22" s="160">
        <f t="shared" si="0"/>
        <v>1334.0630000000001</v>
      </c>
      <c r="T22" s="160">
        <v>335</v>
      </c>
      <c r="U22" s="160">
        <f t="shared" si="1"/>
        <v>2514.7093</v>
      </c>
    </row>
    <row r="23" spans="1:21" x14ac:dyDescent="0.2">
      <c r="A23">
        <v>88015627170953</v>
      </c>
      <c r="B23" t="s">
        <v>113</v>
      </c>
      <c r="C23" t="s">
        <v>109</v>
      </c>
      <c r="D23" s="160">
        <v>12046.46</v>
      </c>
      <c r="I23" s="158">
        <v>5.9499999999999997E-2</v>
      </c>
      <c r="J23">
        <v>49</v>
      </c>
      <c r="K23" s="160">
        <v>8249.89</v>
      </c>
      <c r="L23" s="158">
        <v>7.4499999999999997E-2</v>
      </c>
      <c r="R23" s="160">
        <v>626.33680000000004</v>
      </c>
      <c r="S23" s="160">
        <f t="shared" si="0"/>
        <v>1204.646</v>
      </c>
      <c r="T23" s="160">
        <v>335</v>
      </c>
      <c r="U23" s="160">
        <f t="shared" si="1"/>
        <v>2165.9827999999998</v>
      </c>
    </row>
    <row r="24" spans="1:21" x14ac:dyDescent="0.2">
      <c r="A24">
        <v>88016103828954</v>
      </c>
      <c r="B24" t="s">
        <v>112</v>
      </c>
      <c r="C24" t="s">
        <v>109</v>
      </c>
      <c r="D24" s="160">
        <v>19025.259999999998</v>
      </c>
      <c r="I24" s="158">
        <v>6.9500000000000006E-2</v>
      </c>
      <c r="J24">
        <v>37</v>
      </c>
      <c r="K24" s="160">
        <v>9088.7800000000007</v>
      </c>
      <c r="L24" s="158">
        <v>7.4499999999999997E-2</v>
      </c>
      <c r="R24" s="160">
        <v>380.61270000000002</v>
      </c>
      <c r="S24" s="160">
        <f t="shared" si="0"/>
        <v>1902.5259999999998</v>
      </c>
      <c r="T24" s="160">
        <v>335</v>
      </c>
      <c r="U24" s="160">
        <f t="shared" si="1"/>
        <v>2618.1387</v>
      </c>
    </row>
    <row r="25" spans="1:21" x14ac:dyDescent="0.2">
      <c r="A25">
        <v>88019208352752</v>
      </c>
      <c r="B25" t="s">
        <v>108</v>
      </c>
      <c r="C25" t="s">
        <v>109</v>
      </c>
      <c r="D25" s="160">
        <v>16042.58</v>
      </c>
      <c r="I25" s="158">
        <v>5.9499999999999997E-2</v>
      </c>
      <c r="J25">
        <v>49</v>
      </c>
      <c r="K25" s="160">
        <v>11272.77</v>
      </c>
      <c r="L25" s="158">
        <v>7.4499999999999997E-2</v>
      </c>
      <c r="R25" s="160">
        <v>839.67579999999998</v>
      </c>
      <c r="S25" s="160">
        <f t="shared" si="0"/>
        <v>1604.258</v>
      </c>
      <c r="T25" s="160">
        <v>335</v>
      </c>
      <c r="U25" s="160">
        <f t="shared" si="1"/>
        <v>2778.9337999999998</v>
      </c>
    </row>
    <row r="26" spans="1:21" x14ac:dyDescent="0.2">
      <c r="A26">
        <v>88015298767752</v>
      </c>
      <c r="B26" t="s">
        <v>108</v>
      </c>
      <c r="C26" t="s">
        <v>109</v>
      </c>
      <c r="D26" s="160">
        <v>9991.67</v>
      </c>
      <c r="I26" s="158">
        <v>6.9500000000000006E-2</v>
      </c>
      <c r="J26">
        <v>37</v>
      </c>
      <c r="K26" s="160">
        <v>7833.29</v>
      </c>
      <c r="L26" s="158">
        <v>7.4499999999999997E-2</v>
      </c>
      <c r="R26" s="160">
        <v>216.322</v>
      </c>
      <c r="S26" s="160">
        <f t="shared" si="0"/>
        <v>999.16700000000003</v>
      </c>
      <c r="T26" s="160">
        <v>335</v>
      </c>
      <c r="U26" s="160">
        <f t="shared" si="1"/>
        <v>1550.489</v>
      </c>
    </row>
    <row r="27" spans="1:21" x14ac:dyDescent="0.2">
      <c r="A27">
        <v>98074818791756</v>
      </c>
      <c r="B27" t="s">
        <v>108</v>
      </c>
      <c r="C27" t="s">
        <v>109</v>
      </c>
      <c r="D27" s="160">
        <v>14453.37</v>
      </c>
      <c r="I27" s="158">
        <v>5.9499999999999997E-2</v>
      </c>
      <c r="J27">
        <v>36</v>
      </c>
      <c r="K27" s="160">
        <v>10416</v>
      </c>
      <c r="L27" s="158">
        <v>7.4499999999999997E-2</v>
      </c>
      <c r="R27" s="160">
        <v>623.36109999999996</v>
      </c>
      <c r="S27" s="160">
        <f t="shared" si="0"/>
        <v>1445.3370000000002</v>
      </c>
      <c r="T27" s="160">
        <v>335</v>
      </c>
      <c r="U27" s="160">
        <f t="shared" si="1"/>
        <v>2403.6981000000001</v>
      </c>
    </row>
    <row r="28" spans="1:21" x14ac:dyDescent="0.2">
      <c r="A28">
        <v>88018809673052</v>
      </c>
      <c r="B28" t="s">
        <v>108</v>
      </c>
      <c r="C28" t="s">
        <v>109</v>
      </c>
      <c r="D28" s="160">
        <v>16171.32</v>
      </c>
      <c r="I28" s="158">
        <v>6.9500000000000006E-2</v>
      </c>
      <c r="J28">
        <v>37</v>
      </c>
      <c r="K28" s="160">
        <v>9600.4699999999993</v>
      </c>
      <c r="L28" s="158">
        <v>7.4499999999999997E-2</v>
      </c>
      <c r="R28" s="160">
        <v>333.58670000000001</v>
      </c>
      <c r="S28" s="160">
        <f t="shared" si="0"/>
        <v>1617.1320000000001</v>
      </c>
      <c r="T28" s="160">
        <v>335</v>
      </c>
      <c r="U28" s="160">
        <f t="shared" si="1"/>
        <v>2285.7187000000004</v>
      </c>
    </row>
    <row r="29" spans="1:21" x14ac:dyDescent="0.2">
      <c r="A29">
        <v>88019204288452</v>
      </c>
      <c r="B29" t="s">
        <v>108</v>
      </c>
      <c r="C29" t="s">
        <v>109</v>
      </c>
      <c r="D29" s="160">
        <v>12012.5</v>
      </c>
      <c r="I29" s="158">
        <v>5.9499999999999997E-2</v>
      </c>
      <c r="J29">
        <v>49</v>
      </c>
      <c r="K29" s="160">
        <v>7270.42</v>
      </c>
      <c r="L29" s="158">
        <v>7.4499999999999997E-2</v>
      </c>
      <c r="R29" s="160">
        <v>605.96990000000005</v>
      </c>
      <c r="S29" s="160">
        <f t="shared" si="0"/>
        <v>1201.25</v>
      </c>
      <c r="T29" s="160">
        <v>335</v>
      </c>
      <c r="U29" s="160">
        <f t="shared" si="1"/>
        <v>2142.2199000000001</v>
      </c>
    </row>
    <row r="30" spans="1:21" x14ac:dyDescent="0.2">
      <c r="A30">
        <v>88018826667452</v>
      </c>
      <c r="B30" t="s">
        <v>108</v>
      </c>
      <c r="C30" t="s">
        <v>109</v>
      </c>
      <c r="D30" s="160">
        <v>12905.63</v>
      </c>
      <c r="I30" s="158">
        <v>6.9500000000000006E-2</v>
      </c>
      <c r="J30">
        <v>49</v>
      </c>
      <c r="K30" s="160">
        <v>7720.92</v>
      </c>
      <c r="L30" s="158">
        <v>7.4499999999999997E-2</v>
      </c>
      <c r="R30" s="160">
        <v>302.7355</v>
      </c>
      <c r="S30" s="160">
        <f t="shared" si="0"/>
        <v>1290.5630000000001</v>
      </c>
      <c r="T30" s="160">
        <v>335</v>
      </c>
      <c r="U30" s="160">
        <f t="shared" si="1"/>
        <v>1928.2985000000001</v>
      </c>
    </row>
    <row r="31" spans="1:21" x14ac:dyDescent="0.2">
      <c r="A31">
        <v>88019204492151</v>
      </c>
      <c r="B31" t="s">
        <v>110</v>
      </c>
      <c r="C31" t="s">
        <v>109</v>
      </c>
      <c r="D31" s="160">
        <v>22400.46</v>
      </c>
      <c r="I31" s="158">
        <v>6.9500000000000006E-2</v>
      </c>
      <c r="J31">
        <v>37</v>
      </c>
      <c r="K31" s="160">
        <v>15172.49</v>
      </c>
      <c r="L31" s="158">
        <v>7.4499999999999997E-2</v>
      </c>
      <c r="R31" s="160">
        <v>472.14620000000002</v>
      </c>
      <c r="S31" s="160">
        <f t="shared" si="0"/>
        <v>2240.0459999999998</v>
      </c>
      <c r="T31" s="160">
        <v>335</v>
      </c>
      <c r="U31" s="160">
        <f t="shared" si="1"/>
        <v>3047.1922</v>
      </c>
    </row>
    <row r="32" spans="1:21" x14ac:dyDescent="0.2">
      <c r="A32">
        <v>88018841227151</v>
      </c>
      <c r="B32" t="s">
        <v>111</v>
      </c>
      <c r="C32" t="s">
        <v>109</v>
      </c>
      <c r="D32" s="160">
        <v>19275</v>
      </c>
      <c r="I32" s="158">
        <v>5.9499999999999997E-2</v>
      </c>
      <c r="J32">
        <v>49</v>
      </c>
      <c r="K32" s="160">
        <v>13970.12</v>
      </c>
      <c r="L32" s="158">
        <v>7.4499999999999997E-2</v>
      </c>
      <c r="R32" s="160">
        <v>1017.1491</v>
      </c>
      <c r="S32" s="160">
        <f t="shared" si="0"/>
        <v>1927.5</v>
      </c>
      <c r="T32" s="160">
        <v>335</v>
      </c>
      <c r="U32" s="160">
        <f t="shared" si="1"/>
        <v>3279.6491000000001</v>
      </c>
    </row>
    <row r="33" spans="1:21" x14ac:dyDescent="0.2">
      <c r="A33">
        <v>88015032851953</v>
      </c>
      <c r="B33" t="s">
        <v>110</v>
      </c>
      <c r="C33" t="s">
        <v>109</v>
      </c>
      <c r="D33" s="160">
        <v>24733.79</v>
      </c>
      <c r="I33" s="158">
        <v>4.9500000000000002E-2</v>
      </c>
      <c r="J33">
        <v>37</v>
      </c>
      <c r="K33" s="160">
        <v>14220.12</v>
      </c>
      <c r="L33" s="158">
        <v>6.7100000000000007E-2</v>
      </c>
      <c r="R33" s="160">
        <v>1160.6448</v>
      </c>
      <c r="S33" s="160">
        <f t="shared" si="0"/>
        <v>2473.3790000000004</v>
      </c>
      <c r="T33" s="160">
        <v>335</v>
      </c>
      <c r="U33" s="160">
        <f t="shared" si="1"/>
        <v>3969.0238000000004</v>
      </c>
    </row>
    <row r="34" spans="1:21" x14ac:dyDescent="0.2">
      <c r="A34">
        <v>88014738408452</v>
      </c>
      <c r="B34" t="s">
        <v>108</v>
      </c>
      <c r="C34" t="s">
        <v>109</v>
      </c>
      <c r="D34" s="160">
        <v>12631.11</v>
      </c>
      <c r="I34" s="158">
        <v>5.9499999999999997E-2</v>
      </c>
      <c r="J34">
        <v>49</v>
      </c>
      <c r="K34" s="160">
        <v>6877.6</v>
      </c>
      <c r="L34" s="158">
        <v>6.7100000000000007E-2</v>
      </c>
      <c r="R34" s="160">
        <v>377.24509999999998</v>
      </c>
      <c r="S34" s="160">
        <f t="shared" si="0"/>
        <v>1263.1110000000001</v>
      </c>
      <c r="T34" s="160">
        <v>335</v>
      </c>
      <c r="U34" s="160">
        <f t="shared" si="1"/>
        <v>1975.3561</v>
      </c>
    </row>
    <row r="35" spans="1:21" x14ac:dyDescent="0.2">
      <c r="A35">
        <v>88018498293352</v>
      </c>
      <c r="B35" t="s">
        <v>113</v>
      </c>
      <c r="C35" t="s">
        <v>109</v>
      </c>
      <c r="D35" s="160">
        <v>14821.95</v>
      </c>
      <c r="I35" s="158">
        <v>3.95E-2</v>
      </c>
      <c r="J35">
        <v>37</v>
      </c>
      <c r="K35" s="160">
        <v>8693.0300000000007</v>
      </c>
      <c r="L35" s="158">
        <v>6.7100000000000007E-2</v>
      </c>
      <c r="R35" s="160">
        <v>1010.5725</v>
      </c>
      <c r="S35" s="160">
        <f t="shared" si="0"/>
        <v>1482.1950000000002</v>
      </c>
      <c r="T35" s="160">
        <v>335</v>
      </c>
      <c r="U35" s="160">
        <f t="shared" si="1"/>
        <v>2827.7674999999999</v>
      </c>
    </row>
    <row r="36" spans="1:21" x14ac:dyDescent="0.2">
      <c r="A36">
        <v>88018585709755</v>
      </c>
      <c r="B36" t="s">
        <v>108</v>
      </c>
      <c r="C36" t="s">
        <v>109</v>
      </c>
      <c r="D36" s="160">
        <v>15622.71</v>
      </c>
      <c r="I36" s="158">
        <v>5.9499999999999997E-2</v>
      </c>
      <c r="J36">
        <v>49</v>
      </c>
      <c r="K36" s="160">
        <v>7345.02</v>
      </c>
      <c r="L36" s="158">
        <v>7.4499999999999997E-2</v>
      </c>
      <c r="R36" s="160">
        <v>747.03250000000003</v>
      </c>
      <c r="S36" s="160">
        <f t="shared" ref="S36:S67" si="2">0.1 * D36</f>
        <v>1562.271</v>
      </c>
      <c r="T36" s="160">
        <v>335</v>
      </c>
      <c r="U36" s="160">
        <f t="shared" ref="U36:U67" si="3">R36 + S36 + T36</f>
        <v>2644.3035</v>
      </c>
    </row>
    <row r="37" spans="1:21" x14ac:dyDescent="0.2">
      <c r="A37">
        <v>88018882461853</v>
      </c>
      <c r="B37" t="s">
        <v>112</v>
      </c>
      <c r="C37" t="s">
        <v>109</v>
      </c>
      <c r="D37" s="160">
        <v>15735.29</v>
      </c>
      <c r="I37" s="158">
        <v>5.9499999999999997E-2</v>
      </c>
      <c r="J37">
        <v>49</v>
      </c>
      <c r="K37" s="160">
        <v>12484.5</v>
      </c>
      <c r="L37" s="158">
        <v>7.4499999999999997E-2</v>
      </c>
      <c r="R37" s="160">
        <v>851.36429999999996</v>
      </c>
      <c r="S37" s="160">
        <f t="shared" si="2"/>
        <v>1573.5290000000002</v>
      </c>
      <c r="T37" s="160">
        <v>335</v>
      </c>
      <c r="U37" s="160">
        <f t="shared" si="3"/>
        <v>2759.8933000000002</v>
      </c>
    </row>
    <row r="38" spans="1:21" x14ac:dyDescent="0.2">
      <c r="A38">
        <v>88018858541652</v>
      </c>
      <c r="B38" t="s">
        <v>108</v>
      </c>
      <c r="C38" t="s">
        <v>109</v>
      </c>
      <c r="D38" s="160">
        <v>11168.51</v>
      </c>
      <c r="I38" s="158">
        <v>6.9500000000000006E-2</v>
      </c>
      <c r="J38">
        <v>37</v>
      </c>
      <c r="K38" s="160">
        <v>7182.56</v>
      </c>
      <c r="L38" s="158">
        <v>7.4499999999999997E-2</v>
      </c>
      <c r="R38" s="160">
        <v>233.35210000000001</v>
      </c>
      <c r="S38" s="160">
        <f t="shared" si="2"/>
        <v>1116.8510000000001</v>
      </c>
      <c r="T38" s="160">
        <v>335</v>
      </c>
      <c r="U38" s="160">
        <f t="shared" si="3"/>
        <v>1685.2031000000002</v>
      </c>
    </row>
    <row r="39" spans="1:21" x14ac:dyDescent="0.2">
      <c r="A39">
        <v>88019024324351</v>
      </c>
      <c r="B39" t="s">
        <v>112</v>
      </c>
      <c r="C39" t="s">
        <v>109</v>
      </c>
      <c r="D39" s="160">
        <v>19853.14</v>
      </c>
      <c r="I39" s="158">
        <v>5.9499999999999997E-2</v>
      </c>
      <c r="J39">
        <v>49</v>
      </c>
      <c r="K39" s="160">
        <v>9582.6200000000008</v>
      </c>
      <c r="L39" s="158">
        <v>7.4499999999999997E-2</v>
      </c>
      <c r="R39" s="160">
        <v>954.15660000000003</v>
      </c>
      <c r="S39" s="160">
        <f t="shared" si="2"/>
        <v>1985.3140000000001</v>
      </c>
      <c r="T39" s="160">
        <v>335</v>
      </c>
      <c r="U39" s="160">
        <f t="shared" si="3"/>
        <v>3274.4706000000001</v>
      </c>
    </row>
    <row r="40" spans="1:21" x14ac:dyDescent="0.2">
      <c r="A40">
        <v>88015436168253</v>
      </c>
      <c r="B40" t="s">
        <v>108</v>
      </c>
      <c r="C40" t="s">
        <v>109</v>
      </c>
      <c r="D40" s="160">
        <v>14190.46</v>
      </c>
      <c r="I40" s="158">
        <v>5.9499999999999997E-2</v>
      </c>
      <c r="J40">
        <v>37</v>
      </c>
      <c r="K40" s="160">
        <v>9129.1200000000008</v>
      </c>
      <c r="L40" s="158">
        <v>6.7100000000000007E-2</v>
      </c>
      <c r="R40" s="160">
        <v>376.47300000000001</v>
      </c>
      <c r="S40" s="160">
        <f t="shared" si="2"/>
        <v>1419.046</v>
      </c>
      <c r="T40" s="160">
        <v>335</v>
      </c>
      <c r="U40" s="160">
        <f t="shared" si="3"/>
        <v>2130.5190000000002</v>
      </c>
    </row>
    <row r="41" spans="1:21" x14ac:dyDescent="0.2">
      <c r="A41">
        <v>88019216461953</v>
      </c>
      <c r="B41" t="s">
        <v>108</v>
      </c>
      <c r="C41" t="s">
        <v>109</v>
      </c>
      <c r="D41" s="160">
        <v>13455.63</v>
      </c>
      <c r="I41" s="158">
        <v>5.9499999999999997E-2</v>
      </c>
      <c r="J41">
        <v>37</v>
      </c>
      <c r="K41" s="160">
        <v>9875.42</v>
      </c>
      <c r="L41" s="158">
        <v>7.4499999999999997E-2</v>
      </c>
      <c r="R41" s="160">
        <v>593.64440000000002</v>
      </c>
      <c r="S41" s="160">
        <f t="shared" si="2"/>
        <v>1345.5630000000001</v>
      </c>
      <c r="T41" s="160">
        <v>335</v>
      </c>
      <c r="U41" s="160">
        <f t="shared" si="3"/>
        <v>2274.2074000000002</v>
      </c>
    </row>
    <row r="42" spans="1:21" x14ac:dyDescent="0.2">
      <c r="A42">
        <v>88016095913755</v>
      </c>
      <c r="B42" t="s">
        <v>112</v>
      </c>
      <c r="C42" t="s">
        <v>109</v>
      </c>
      <c r="D42" s="160">
        <v>24468.79</v>
      </c>
      <c r="I42" s="158">
        <v>5.9499999999999997E-2</v>
      </c>
      <c r="J42">
        <v>37</v>
      </c>
      <c r="K42" s="160">
        <v>15319.89</v>
      </c>
      <c r="L42" s="158">
        <v>7.4499999999999997E-2</v>
      </c>
      <c r="R42" s="160">
        <v>1036.7729999999999</v>
      </c>
      <c r="S42" s="160">
        <f t="shared" si="2"/>
        <v>2446.8790000000004</v>
      </c>
      <c r="T42" s="160">
        <v>335</v>
      </c>
      <c r="U42" s="160">
        <f t="shared" si="3"/>
        <v>3818.652</v>
      </c>
    </row>
    <row r="43" spans="1:21" x14ac:dyDescent="0.2">
      <c r="A43">
        <v>88015421472754</v>
      </c>
      <c r="B43" t="s">
        <v>110</v>
      </c>
      <c r="C43" t="s">
        <v>109</v>
      </c>
      <c r="D43" s="160">
        <v>26145.46</v>
      </c>
      <c r="I43" s="158">
        <v>6.9500000000000006E-2</v>
      </c>
      <c r="J43">
        <v>37</v>
      </c>
      <c r="K43" s="160">
        <v>15383.55</v>
      </c>
      <c r="L43" s="158">
        <v>7.4499999999999997E-2</v>
      </c>
      <c r="R43" s="160">
        <v>538.59360000000004</v>
      </c>
      <c r="S43" s="160">
        <f t="shared" si="2"/>
        <v>2614.5460000000003</v>
      </c>
      <c r="T43" s="160">
        <v>335</v>
      </c>
      <c r="U43" s="160">
        <f t="shared" si="3"/>
        <v>3488.1396000000004</v>
      </c>
    </row>
    <row r="44" spans="1:21" x14ac:dyDescent="0.2">
      <c r="A44">
        <v>88018272331854</v>
      </c>
      <c r="B44" t="s">
        <v>110</v>
      </c>
      <c r="C44" t="s">
        <v>109</v>
      </c>
      <c r="D44" s="160">
        <v>17500</v>
      </c>
      <c r="I44" s="158">
        <v>6.9500000000000006E-2</v>
      </c>
      <c r="J44">
        <v>49</v>
      </c>
      <c r="K44" s="160">
        <v>14582.7</v>
      </c>
      <c r="L44" s="158">
        <v>7.4499999999999997E-2</v>
      </c>
      <c r="R44" s="160">
        <v>436.9622</v>
      </c>
      <c r="S44" s="160">
        <f t="shared" si="2"/>
        <v>1750</v>
      </c>
      <c r="T44" s="160">
        <v>335</v>
      </c>
      <c r="U44" s="160">
        <f t="shared" si="3"/>
        <v>2521.9621999999999</v>
      </c>
    </row>
    <row r="45" spans="1:21" x14ac:dyDescent="0.2">
      <c r="A45">
        <v>88016981853555</v>
      </c>
      <c r="B45" t="s">
        <v>110</v>
      </c>
      <c r="C45" t="s">
        <v>109</v>
      </c>
      <c r="D45" s="160">
        <v>25030.63</v>
      </c>
      <c r="I45" s="158">
        <v>5.9499999999999997E-2</v>
      </c>
      <c r="J45">
        <v>49</v>
      </c>
      <c r="K45" s="160">
        <v>11248</v>
      </c>
      <c r="L45" s="158">
        <v>7.4499999999999997E-2</v>
      </c>
      <c r="R45" s="160">
        <v>1186.7733000000001</v>
      </c>
      <c r="S45" s="160">
        <f t="shared" si="2"/>
        <v>2503.0630000000001</v>
      </c>
      <c r="T45" s="160">
        <v>335</v>
      </c>
      <c r="U45" s="160">
        <f t="shared" si="3"/>
        <v>4024.8362999999999</v>
      </c>
    </row>
    <row r="46" spans="1:21" x14ac:dyDescent="0.2">
      <c r="A46">
        <v>88018936810951</v>
      </c>
      <c r="B46" t="s">
        <v>112</v>
      </c>
      <c r="C46" t="s">
        <v>109</v>
      </c>
      <c r="D46" s="160">
        <v>24815.49</v>
      </c>
      <c r="I46" s="158">
        <v>5.9499999999999997E-2</v>
      </c>
      <c r="J46">
        <v>37</v>
      </c>
      <c r="K46" s="160">
        <v>13253.14</v>
      </c>
      <c r="L46" s="158">
        <v>7.4499999999999997E-2</v>
      </c>
      <c r="R46" s="160">
        <v>1014.4516</v>
      </c>
      <c r="S46" s="160">
        <f t="shared" si="2"/>
        <v>2481.5490000000004</v>
      </c>
      <c r="T46" s="160">
        <v>335</v>
      </c>
      <c r="U46" s="160">
        <f t="shared" si="3"/>
        <v>3831.0006000000003</v>
      </c>
    </row>
    <row r="47" spans="1:21" x14ac:dyDescent="0.2">
      <c r="A47">
        <v>88018878727351</v>
      </c>
      <c r="B47" t="s">
        <v>112</v>
      </c>
      <c r="C47" t="s">
        <v>109</v>
      </c>
      <c r="D47" s="160">
        <v>21730.46</v>
      </c>
      <c r="I47" s="158">
        <v>5.9499999999999997E-2</v>
      </c>
      <c r="J47">
        <v>25</v>
      </c>
      <c r="K47" s="160">
        <v>15602</v>
      </c>
      <c r="L47" s="158">
        <v>7.4499999999999997E-2</v>
      </c>
      <c r="R47" s="160">
        <v>741.2817</v>
      </c>
      <c r="S47" s="160">
        <f t="shared" si="2"/>
        <v>2173.0459999999998</v>
      </c>
      <c r="T47" s="160">
        <v>335</v>
      </c>
      <c r="U47" s="160">
        <f t="shared" si="3"/>
        <v>3249.3276999999998</v>
      </c>
    </row>
    <row r="48" spans="1:21" x14ac:dyDescent="0.2">
      <c r="A48">
        <v>98074592180353</v>
      </c>
      <c r="B48" t="s">
        <v>108</v>
      </c>
      <c r="C48" t="s">
        <v>109</v>
      </c>
      <c r="D48" s="160">
        <v>17703.22</v>
      </c>
      <c r="I48" s="158">
        <v>6.9500000000000006E-2</v>
      </c>
      <c r="J48">
        <v>37</v>
      </c>
      <c r="K48" s="160">
        <v>11887.35</v>
      </c>
      <c r="L48" s="158">
        <v>7.4499999999999997E-2</v>
      </c>
      <c r="R48" s="160">
        <v>372.58390000000003</v>
      </c>
      <c r="S48" s="160">
        <f t="shared" si="2"/>
        <v>1770.3220000000001</v>
      </c>
      <c r="T48" s="160">
        <v>335</v>
      </c>
      <c r="U48" s="160">
        <f t="shared" si="3"/>
        <v>2477.9059000000002</v>
      </c>
    </row>
    <row r="49" spans="1:21" x14ac:dyDescent="0.2">
      <c r="A49">
        <v>88015632273152</v>
      </c>
      <c r="B49" t="s">
        <v>112</v>
      </c>
      <c r="C49" t="s">
        <v>109</v>
      </c>
      <c r="D49" s="160">
        <v>17647.13</v>
      </c>
      <c r="I49" s="158">
        <v>4.9500000000000002E-2</v>
      </c>
      <c r="J49">
        <v>37</v>
      </c>
      <c r="K49" s="160">
        <v>12743.27</v>
      </c>
      <c r="L49" s="158">
        <v>6.7100000000000007E-2</v>
      </c>
      <c r="R49" s="160">
        <v>878.00239999999997</v>
      </c>
      <c r="S49" s="160">
        <f t="shared" si="2"/>
        <v>1764.7130000000002</v>
      </c>
      <c r="T49" s="160">
        <v>335</v>
      </c>
      <c r="U49" s="160">
        <f t="shared" si="3"/>
        <v>2977.7154</v>
      </c>
    </row>
    <row r="50" spans="1:21" x14ac:dyDescent="0.2">
      <c r="A50">
        <v>88016068986553</v>
      </c>
      <c r="B50" t="s">
        <v>112</v>
      </c>
      <c r="C50" t="s">
        <v>109</v>
      </c>
      <c r="D50" s="160">
        <v>19749.78</v>
      </c>
      <c r="I50" s="158">
        <v>5.9499999999999997E-2</v>
      </c>
      <c r="J50">
        <v>37</v>
      </c>
      <c r="K50" s="160">
        <v>11123.73</v>
      </c>
      <c r="L50" s="158">
        <v>7.4499999999999997E-2</v>
      </c>
      <c r="R50" s="160">
        <v>816.70150000000001</v>
      </c>
      <c r="S50" s="160">
        <f t="shared" si="2"/>
        <v>1974.9780000000001</v>
      </c>
      <c r="T50" s="160">
        <v>335</v>
      </c>
      <c r="U50" s="160">
        <f t="shared" si="3"/>
        <v>3126.6795000000002</v>
      </c>
    </row>
    <row r="51" spans="1:21" x14ac:dyDescent="0.2">
      <c r="A51">
        <v>88018666035452</v>
      </c>
      <c r="B51" t="s">
        <v>108</v>
      </c>
      <c r="C51" t="s">
        <v>109</v>
      </c>
      <c r="D51" s="160">
        <v>15257.3</v>
      </c>
      <c r="I51" s="158">
        <v>5.9499999999999997E-2</v>
      </c>
      <c r="J51">
        <v>49</v>
      </c>
      <c r="K51" s="160">
        <v>8795.99</v>
      </c>
      <c r="L51" s="158">
        <v>7.4499999999999997E-2</v>
      </c>
      <c r="R51" s="160">
        <v>761.12729999999999</v>
      </c>
      <c r="S51" s="160">
        <f t="shared" si="2"/>
        <v>1525.73</v>
      </c>
      <c r="T51" s="160">
        <v>335</v>
      </c>
      <c r="U51" s="160">
        <f t="shared" si="3"/>
        <v>2621.8573000000001</v>
      </c>
    </row>
    <row r="52" spans="1:21" x14ac:dyDescent="0.2">
      <c r="A52">
        <v>88019190921853</v>
      </c>
      <c r="B52" t="s">
        <v>108</v>
      </c>
      <c r="C52" t="s">
        <v>109</v>
      </c>
      <c r="D52" s="160">
        <v>12507.33</v>
      </c>
      <c r="I52" s="158">
        <v>5.9499999999999997E-2</v>
      </c>
      <c r="J52">
        <v>37</v>
      </c>
      <c r="K52" s="160">
        <v>9977.4</v>
      </c>
      <c r="L52" s="158">
        <v>7.4499999999999997E-2</v>
      </c>
      <c r="R52" s="160">
        <v>564.73839999999996</v>
      </c>
      <c r="S52" s="160">
        <f t="shared" si="2"/>
        <v>1250.7330000000002</v>
      </c>
      <c r="T52" s="160">
        <v>335</v>
      </c>
      <c r="U52" s="160">
        <f t="shared" si="3"/>
        <v>2150.4714000000004</v>
      </c>
    </row>
    <row r="53" spans="1:21" x14ac:dyDescent="0.2">
      <c r="A53">
        <v>88018886380652</v>
      </c>
      <c r="B53" t="s">
        <v>112</v>
      </c>
      <c r="C53" t="s">
        <v>109</v>
      </c>
      <c r="D53" s="160">
        <v>20835.62</v>
      </c>
      <c r="I53" s="158">
        <v>5.9499999999999997E-2</v>
      </c>
      <c r="J53">
        <v>49</v>
      </c>
      <c r="K53" s="160">
        <v>13081.6</v>
      </c>
      <c r="L53" s="158">
        <v>7.4499999999999997E-2</v>
      </c>
      <c r="R53" s="160">
        <v>1060.2158999999999</v>
      </c>
      <c r="S53" s="160">
        <f t="shared" si="2"/>
        <v>2083.5619999999999</v>
      </c>
      <c r="T53" s="160">
        <v>335</v>
      </c>
      <c r="U53" s="160">
        <f t="shared" si="3"/>
        <v>3478.7779</v>
      </c>
    </row>
    <row r="54" spans="1:21" x14ac:dyDescent="0.2">
      <c r="A54">
        <v>98074841955353</v>
      </c>
      <c r="B54" t="s">
        <v>110</v>
      </c>
      <c r="C54" t="s">
        <v>109</v>
      </c>
      <c r="D54" s="160">
        <v>18313.79</v>
      </c>
      <c r="I54" s="158">
        <v>5.9499999999999997E-2</v>
      </c>
      <c r="J54">
        <v>37</v>
      </c>
      <c r="K54" s="160">
        <v>13863.51</v>
      </c>
      <c r="L54" s="158">
        <v>7.4499999999999997E-2</v>
      </c>
      <c r="R54" s="160">
        <v>814.82799999999997</v>
      </c>
      <c r="S54" s="160">
        <f t="shared" si="2"/>
        <v>1831.3790000000001</v>
      </c>
      <c r="T54" s="160">
        <v>335</v>
      </c>
      <c r="U54" s="160">
        <f t="shared" si="3"/>
        <v>2981.2070000000003</v>
      </c>
    </row>
    <row r="55" spans="1:21" x14ac:dyDescent="0.2">
      <c r="A55">
        <v>88015606820352</v>
      </c>
      <c r="B55" t="s">
        <v>112</v>
      </c>
      <c r="C55" t="s">
        <v>109</v>
      </c>
      <c r="D55" s="160">
        <v>18764.63</v>
      </c>
      <c r="I55" s="158">
        <v>4.9500000000000002E-2</v>
      </c>
      <c r="J55">
        <v>37</v>
      </c>
      <c r="K55" s="160">
        <v>11631.38</v>
      </c>
      <c r="L55" s="158">
        <v>6.7100000000000007E-2</v>
      </c>
      <c r="R55" s="160">
        <v>896.73659999999995</v>
      </c>
      <c r="S55" s="160">
        <f t="shared" si="2"/>
        <v>1876.4630000000002</v>
      </c>
      <c r="T55" s="160">
        <v>335</v>
      </c>
      <c r="U55" s="160">
        <f t="shared" si="3"/>
        <v>3108.1995999999999</v>
      </c>
    </row>
    <row r="56" spans="1:21" x14ac:dyDescent="0.2">
      <c r="A56">
        <v>88018830043051</v>
      </c>
      <c r="B56" t="s">
        <v>108</v>
      </c>
      <c r="C56" t="s">
        <v>109</v>
      </c>
      <c r="D56" s="160">
        <v>14392.27</v>
      </c>
      <c r="I56" s="158">
        <v>6.9500000000000006E-2</v>
      </c>
      <c r="J56">
        <v>49</v>
      </c>
      <c r="K56" s="160">
        <v>8499.75</v>
      </c>
      <c r="L56" s="158">
        <v>7.4499999999999997E-2</v>
      </c>
      <c r="R56" s="160">
        <v>336.89749999999998</v>
      </c>
      <c r="S56" s="160">
        <f t="shared" si="2"/>
        <v>1439.2270000000001</v>
      </c>
      <c r="T56" s="160">
        <v>335</v>
      </c>
      <c r="U56" s="160">
        <f t="shared" si="3"/>
        <v>2111.1244999999999</v>
      </c>
    </row>
    <row r="57" spans="1:21" x14ac:dyDescent="0.2">
      <c r="A57">
        <v>88019181774751</v>
      </c>
      <c r="B57" t="s">
        <v>108</v>
      </c>
      <c r="C57" t="s">
        <v>109</v>
      </c>
      <c r="D57" s="160">
        <v>18807.59</v>
      </c>
      <c r="I57" s="158">
        <v>5.9499999999999997E-2</v>
      </c>
      <c r="J57">
        <v>49</v>
      </c>
      <c r="K57" s="160">
        <v>10079.41</v>
      </c>
      <c r="L57" s="158">
        <v>7.4499999999999997E-2</v>
      </c>
      <c r="R57" s="160">
        <v>923.38789999999995</v>
      </c>
      <c r="S57" s="160">
        <f t="shared" si="2"/>
        <v>1880.759</v>
      </c>
      <c r="T57" s="160">
        <v>335</v>
      </c>
      <c r="U57" s="160">
        <f t="shared" si="3"/>
        <v>3139.1468999999997</v>
      </c>
    </row>
    <row r="58" spans="1:21" x14ac:dyDescent="0.2">
      <c r="A58">
        <v>88018613306251</v>
      </c>
      <c r="B58" t="s">
        <v>108</v>
      </c>
      <c r="C58" t="s">
        <v>109</v>
      </c>
      <c r="D58" s="160">
        <v>13560.63</v>
      </c>
      <c r="I58" s="158">
        <v>5.9499999999999997E-2</v>
      </c>
      <c r="J58">
        <v>49</v>
      </c>
      <c r="K58" s="160">
        <v>7649.61</v>
      </c>
      <c r="L58" s="158">
        <v>6.7100000000000007E-2</v>
      </c>
      <c r="R58" s="160">
        <v>407.6429</v>
      </c>
      <c r="S58" s="160">
        <f t="shared" si="2"/>
        <v>1356.0630000000001</v>
      </c>
      <c r="T58" s="160">
        <v>335</v>
      </c>
      <c r="U58" s="160">
        <f t="shared" si="3"/>
        <v>2098.7058999999999</v>
      </c>
    </row>
    <row r="59" spans="1:21" x14ac:dyDescent="0.2">
      <c r="A59">
        <v>88018589492752</v>
      </c>
      <c r="B59" t="s">
        <v>108</v>
      </c>
      <c r="C59" t="s">
        <v>109</v>
      </c>
      <c r="D59" s="160">
        <v>11819.6</v>
      </c>
      <c r="I59" s="158">
        <v>5.9499999999999997E-2</v>
      </c>
      <c r="J59">
        <v>37</v>
      </c>
      <c r="K59" s="160">
        <v>7687.86</v>
      </c>
      <c r="L59" s="158">
        <v>7.4499999999999997E-2</v>
      </c>
      <c r="R59" s="160">
        <v>505.47230000000002</v>
      </c>
      <c r="S59" s="160">
        <f t="shared" si="2"/>
        <v>1181.96</v>
      </c>
      <c r="T59" s="160">
        <v>335</v>
      </c>
      <c r="U59" s="160">
        <f t="shared" si="3"/>
        <v>2022.4322999999999</v>
      </c>
    </row>
    <row r="60" spans="1:21" x14ac:dyDescent="0.2">
      <c r="A60">
        <v>88018647489052</v>
      </c>
      <c r="B60" t="s">
        <v>108</v>
      </c>
      <c r="C60" t="s">
        <v>109</v>
      </c>
      <c r="D60" s="160">
        <v>13032.09</v>
      </c>
      <c r="I60" s="158">
        <v>5.9499999999999997E-2</v>
      </c>
      <c r="J60">
        <v>49</v>
      </c>
      <c r="K60" s="160">
        <v>8536.2900000000009</v>
      </c>
      <c r="L60" s="158">
        <v>7.4499999999999997E-2</v>
      </c>
      <c r="R60" s="160">
        <v>670.02369999999996</v>
      </c>
      <c r="S60" s="160">
        <f t="shared" si="2"/>
        <v>1303.2090000000001</v>
      </c>
      <c r="T60" s="160">
        <v>335</v>
      </c>
      <c r="U60" s="160">
        <f t="shared" si="3"/>
        <v>2308.2327</v>
      </c>
    </row>
    <row r="61" spans="1:21" x14ac:dyDescent="0.2">
      <c r="A61">
        <v>88015739089552</v>
      </c>
      <c r="B61" t="s">
        <v>108</v>
      </c>
      <c r="C61" t="s">
        <v>109</v>
      </c>
      <c r="D61" s="160">
        <v>12935.63</v>
      </c>
      <c r="I61" s="158">
        <v>5.9499999999999997E-2</v>
      </c>
      <c r="J61">
        <v>49</v>
      </c>
      <c r="K61" s="160">
        <v>7345.38</v>
      </c>
      <c r="L61" s="158">
        <v>6.7100000000000007E-2</v>
      </c>
      <c r="R61" s="160">
        <v>389.33420000000001</v>
      </c>
      <c r="S61" s="160">
        <f t="shared" si="2"/>
        <v>1293.5630000000001</v>
      </c>
      <c r="T61" s="160">
        <v>335</v>
      </c>
      <c r="U61" s="160">
        <f t="shared" si="3"/>
        <v>2017.8972000000001</v>
      </c>
    </row>
    <row r="62" spans="1:21" x14ac:dyDescent="0.2">
      <c r="A62">
        <v>88018823126953</v>
      </c>
      <c r="B62" t="s">
        <v>108</v>
      </c>
      <c r="C62" t="s">
        <v>109</v>
      </c>
      <c r="D62" s="160">
        <v>14435.63</v>
      </c>
      <c r="I62" s="158">
        <v>5.9499999999999997E-2</v>
      </c>
      <c r="J62">
        <v>37</v>
      </c>
      <c r="K62" s="160">
        <v>11332.86</v>
      </c>
      <c r="L62" s="158">
        <v>7.4499999999999997E-2</v>
      </c>
      <c r="R62" s="160">
        <v>648.84379999999999</v>
      </c>
      <c r="S62" s="160">
        <f t="shared" si="2"/>
        <v>1443.5630000000001</v>
      </c>
      <c r="T62" s="160">
        <v>335</v>
      </c>
      <c r="U62" s="160">
        <f t="shared" si="3"/>
        <v>2427.4068000000002</v>
      </c>
    </row>
    <row r="63" spans="1:21" x14ac:dyDescent="0.2">
      <c r="A63">
        <v>88016040740152</v>
      </c>
      <c r="B63" t="s">
        <v>110</v>
      </c>
      <c r="C63" t="s">
        <v>109</v>
      </c>
      <c r="D63" s="160">
        <v>24219.599999999999</v>
      </c>
      <c r="I63" s="158">
        <v>4.9500000000000002E-2</v>
      </c>
      <c r="J63">
        <v>37</v>
      </c>
      <c r="K63" s="160">
        <v>12978.95</v>
      </c>
      <c r="L63" s="158">
        <v>6.7100000000000007E-2</v>
      </c>
      <c r="R63" s="160">
        <v>1118.3503000000001</v>
      </c>
      <c r="S63" s="160">
        <f t="shared" si="2"/>
        <v>2421.96</v>
      </c>
      <c r="T63" s="160">
        <v>335</v>
      </c>
      <c r="U63" s="160">
        <f t="shared" si="3"/>
        <v>3875.3103000000001</v>
      </c>
    </row>
    <row r="64" spans="1:21" x14ac:dyDescent="0.2">
      <c r="A64">
        <v>88018607796652</v>
      </c>
      <c r="B64" t="s">
        <v>108</v>
      </c>
      <c r="C64" t="s">
        <v>109</v>
      </c>
      <c r="D64" s="160">
        <v>11535.63</v>
      </c>
      <c r="I64" s="158">
        <v>5.9499999999999997E-2</v>
      </c>
      <c r="J64">
        <v>37</v>
      </c>
      <c r="K64" s="160">
        <v>8528.9599999999991</v>
      </c>
      <c r="L64" s="158">
        <v>7.4499999999999997E-2</v>
      </c>
      <c r="R64" s="160">
        <v>509.95229999999998</v>
      </c>
      <c r="S64" s="160">
        <f t="shared" si="2"/>
        <v>1153.5629999999999</v>
      </c>
      <c r="T64" s="160">
        <v>335</v>
      </c>
      <c r="U64" s="160">
        <f t="shared" si="3"/>
        <v>1998.5152999999998</v>
      </c>
    </row>
    <row r="65" spans="1:21" x14ac:dyDescent="0.2">
      <c r="A65">
        <v>88019194811551</v>
      </c>
      <c r="B65" t="s">
        <v>108</v>
      </c>
      <c r="C65" t="s">
        <v>109</v>
      </c>
      <c r="D65" s="160">
        <v>11590.67</v>
      </c>
      <c r="I65" s="158">
        <v>5.9499999999999997E-2</v>
      </c>
      <c r="J65">
        <v>37</v>
      </c>
      <c r="K65" s="160">
        <v>9977.31</v>
      </c>
      <c r="L65" s="158">
        <v>7.4499999999999997E-2</v>
      </c>
      <c r="R65" s="160">
        <v>535.1979</v>
      </c>
      <c r="S65" s="160">
        <f t="shared" si="2"/>
        <v>1159.067</v>
      </c>
      <c r="T65" s="160">
        <v>335</v>
      </c>
      <c r="U65" s="160">
        <f t="shared" si="3"/>
        <v>2029.2649000000001</v>
      </c>
    </row>
    <row r="66" spans="1:21" x14ac:dyDescent="0.2">
      <c r="A66">
        <v>88019016748655</v>
      </c>
      <c r="B66" t="s">
        <v>108</v>
      </c>
      <c r="C66" t="s">
        <v>109</v>
      </c>
      <c r="D66" s="160">
        <v>15613.69</v>
      </c>
      <c r="I66" s="158">
        <v>6.9500000000000006E-2</v>
      </c>
      <c r="J66">
        <v>49</v>
      </c>
      <c r="K66" s="160">
        <v>8118.7</v>
      </c>
      <c r="L66" s="158">
        <v>7.4499999999999997E-2</v>
      </c>
      <c r="R66" s="160">
        <v>358.39870000000002</v>
      </c>
      <c r="S66" s="160">
        <f t="shared" si="2"/>
        <v>1561.3690000000001</v>
      </c>
      <c r="T66" s="160">
        <v>335</v>
      </c>
      <c r="U66" s="160">
        <f t="shared" si="3"/>
        <v>2254.7677000000003</v>
      </c>
    </row>
    <row r="67" spans="1:21" x14ac:dyDescent="0.2">
      <c r="A67">
        <v>88018612995851</v>
      </c>
      <c r="B67" t="s">
        <v>108</v>
      </c>
      <c r="C67" t="s">
        <v>109</v>
      </c>
      <c r="D67" s="160">
        <v>11918.13</v>
      </c>
      <c r="I67" s="158">
        <v>5.9499999999999997E-2</v>
      </c>
      <c r="J67">
        <v>25</v>
      </c>
      <c r="K67" s="160">
        <v>10337.879999999999</v>
      </c>
      <c r="L67" s="158">
        <v>6.7100000000000007E-2</v>
      </c>
      <c r="R67" s="160">
        <v>275.57870000000003</v>
      </c>
      <c r="S67" s="160">
        <f t="shared" si="2"/>
        <v>1191.8129999999999</v>
      </c>
      <c r="T67" s="160">
        <v>335</v>
      </c>
      <c r="U67" s="160">
        <f t="shared" si="3"/>
        <v>1802.3916999999999</v>
      </c>
    </row>
    <row r="68" spans="1:21" x14ac:dyDescent="0.2">
      <c r="A68">
        <v>88018940429051</v>
      </c>
      <c r="B68" t="s">
        <v>111</v>
      </c>
      <c r="C68" t="s">
        <v>109</v>
      </c>
      <c r="D68" s="160">
        <v>18650</v>
      </c>
      <c r="I68" s="158">
        <v>5.9499999999999997E-2</v>
      </c>
      <c r="J68">
        <v>49</v>
      </c>
      <c r="K68" s="160">
        <v>13971.97</v>
      </c>
      <c r="L68" s="158">
        <v>7.4499999999999997E-2</v>
      </c>
      <c r="R68" s="160">
        <v>993.01549999999997</v>
      </c>
      <c r="S68" s="160">
        <f t="shared" ref="S68:S86" si="4">0.1 * D68</f>
        <v>1865</v>
      </c>
      <c r="T68" s="160">
        <v>335</v>
      </c>
      <c r="U68" s="160">
        <f t="shared" ref="U68:U99" si="5">R68 + S68 + T68</f>
        <v>3193.0155</v>
      </c>
    </row>
    <row r="69" spans="1:21" x14ac:dyDescent="0.2">
      <c r="A69">
        <v>88018589386054</v>
      </c>
      <c r="B69" t="s">
        <v>108</v>
      </c>
      <c r="C69" t="s">
        <v>109</v>
      </c>
      <c r="D69" s="160">
        <v>12380.79</v>
      </c>
      <c r="I69" s="158">
        <v>5.9499999999999997E-2</v>
      </c>
      <c r="J69">
        <v>37</v>
      </c>
      <c r="K69" s="160">
        <v>8916.02</v>
      </c>
      <c r="L69" s="158">
        <v>7.4499999999999997E-2</v>
      </c>
      <c r="R69" s="160">
        <v>543.46</v>
      </c>
      <c r="S69" s="160">
        <f t="shared" si="4"/>
        <v>1238.0790000000002</v>
      </c>
      <c r="T69" s="160">
        <v>335</v>
      </c>
      <c r="U69" s="160">
        <f t="shared" si="5"/>
        <v>2116.5390000000002</v>
      </c>
    </row>
    <row r="70" spans="1:21" x14ac:dyDescent="0.2">
      <c r="A70">
        <v>88018576931252</v>
      </c>
      <c r="B70" t="s">
        <v>108</v>
      </c>
      <c r="C70" t="s">
        <v>109</v>
      </c>
      <c r="D70" s="160">
        <v>13993.56</v>
      </c>
      <c r="I70" s="158">
        <v>5.9499999999999997E-2</v>
      </c>
      <c r="J70">
        <v>49</v>
      </c>
      <c r="K70" s="160">
        <v>6929.16</v>
      </c>
      <c r="L70" s="158">
        <v>6.7100000000000007E-2</v>
      </c>
      <c r="R70" s="160">
        <v>411.09190000000001</v>
      </c>
      <c r="S70" s="160">
        <f t="shared" si="4"/>
        <v>1399.356</v>
      </c>
      <c r="T70" s="160">
        <v>335</v>
      </c>
      <c r="U70" s="160">
        <f t="shared" si="5"/>
        <v>2145.4479000000001</v>
      </c>
    </row>
    <row r="71" spans="1:21" x14ac:dyDescent="0.2">
      <c r="A71">
        <v>88018637789052</v>
      </c>
      <c r="B71" t="s">
        <v>108</v>
      </c>
      <c r="C71" t="s">
        <v>109</v>
      </c>
      <c r="D71" s="160">
        <v>15542.92</v>
      </c>
      <c r="I71" s="158">
        <v>5.9499999999999997E-2</v>
      </c>
      <c r="J71">
        <v>36</v>
      </c>
      <c r="K71" s="160">
        <v>10415.790000000001</v>
      </c>
      <c r="L71" s="158">
        <v>7.4499999999999997E-2</v>
      </c>
      <c r="R71" s="160">
        <v>657.86929999999995</v>
      </c>
      <c r="S71" s="160">
        <f t="shared" si="4"/>
        <v>1554.2920000000001</v>
      </c>
      <c r="T71" s="160">
        <v>335</v>
      </c>
      <c r="U71" s="160">
        <f t="shared" si="5"/>
        <v>2547.1613000000002</v>
      </c>
    </row>
    <row r="72" spans="1:21" x14ac:dyDescent="0.2">
      <c r="A72">
        <v>88018871103152</v>
      </c>
      <c r="B72" t="s">
        <v>114</v>
      </c>
      <c r="C72" t="s">
        <v>109</v>
      </c>
      <c r="D72" s="160">
        <v>29740.39</v>
      </c>
      <c r="I72" s="158">
        <v>6.9500000000000006E-2</v>
      </c>
      <c r="J72">
        <v>48</v>
      </c>
      <c r="K72" s="160">
        <v>16664.060000000001</v>
      </c>
      <c r="L72" s="158">
        <v>7.4499999999999997E-2</v>
      </c>
      <c r="R72" s="160">
        <v>683.8184</v>
      </c>
      <c r="S72" s="160">
        <f t="shared" si="4"/>
        <v>2974.0390000000002</v>
      </c>
      <c r="T72" s="160">
        <v>335</v>
      </c>
      <c r="U72" s="160">
        <f t="shared" si="5"/>
        <v>3992.8574000000003</v>
      </c>
    </row>
    <row r="73" spans="1:21" x14ac:dyDescent="0.2">
      <c r="A73">
        <v>88015197848953</v>
      </c>
      <c r="B73" t="s">
        <v>110</v>
      </c>
      <c r="C73" t="s">
        <v>109</v>
      </c>
      <c r="D73" s="160">
        <v>18909.79</v>
      </c>
      <c r="I73" s="158">
        <v>4.9500000000000002E-2</v>
      </c>
      <c r="J73">
        <v>49</v>
      </c>
      <c r="K73" s="160">
        <v>11626.39</v>
      </c>
      <c r="L73" s="158">
        <v>6.7100000000000007E-2</v>
      </c>
      <c r="R73" s="160">
        <v>1088.2483999999999</v>
      </c>
      <c r="S73" s="160">
        <f t="shared" si="4"/>
        <v>1890.9790000000003</v>
      </c>
      <c r="T73" s="160">
        <v>335</v>
      </c>
      <c r="U73" s="160">
        <f t="shared" si="5"/>
        <v>3314.2274000000002</v>
      </c>
    </row>
    <row r="74" spans="1:21" x14ac:dyDescent="0.2">
      <c r="A74">
        <v>88018486313851</v>
      </c>
      <c r="B74" t="s">
        <v>108</v>
      </c>
      <c r="C74" t="s">
        <v>109</v>
      </c>
      <c r="D74" s="160">
        <v>16061.9</v>
      </c>
      <c r="I74" s="158">
        <v>4.9500000000000002E-2</v>
      </c>
      <c r="J74">
        <v>49</v>
      </c>
      <c r="K74" s="160">
        <v>6465.6</v>
      </c>
      <c r="L74" s="158">
        <v>6.7100000000000007E-2</v>
      </c>
      <c r="R74" s="160">
        <v>845.41920000000005</v>
      </c>
      <c r="S74" s="160">
        <f t="shared" si="4"/>
        <v>1606.19</v>
      </c>
      <c r="T74" s="160">
        <v>335</v>
      </c>
      <c r="U74" s="160">
        <f t="shared" si="5"/>
        <v>2786.6091999999999</v>
      </c>
    </row>
    <row r="75" spans="1:21" x14ac:dyDescent="0.2">
      <c r="A75">
        <v>88018443934551</v>
      </c>
      <c r="B75" t="s">
        <v>110</v>
      </c>
      <c r="C75" t="s">
        <v>109</v>
      </c>
      <c r="D75" s="160">
        <v>16835.63</v>
      </c>
      <c r="I75" s="158">
        <v>4.9500000000000002E-2</v>
      </c>
      <c r="J75">
        <v>49</v>
      </c>
      <c r="K75" s="160">
        <v>11166.12</v>
      </c>
      <c r="L75" s="158">
        <v>6.7100000000000007E-2</v>
      </c>
      <c r="R75" s="160">
        <v>987.74810000000002</v>
      </c>
      <c r="S75" s="160">
        <f t="shared" si="4"/>
        <v>1683.5630000000001</v>
      </c>
      <c r="T75" s="160">
        <v>335</v>
      </c>
      <c r="U75" s="160">
        <f t="shared" si="5"/>
        <v>3006.3110999999999</v>
      </c>
    </row>
    <row r="76" spans="1:21" x14ac:dyDescent="0.2">
      <c r="A76">
        <v>88018806336252</v>
      </c>
      <c r="B76" t="s">
        <v>108</v>
      </c>
      <c r="C76" t="s">
        <v>109</v>
      </c>
      <c r="D76" s="160">
        <v>13835.63</v>
      </c>
      <c r="I76" s="158">
        <v>6.9500000000000006E-2</v>
      </c>
      <c r="J76">
        <v>37</v>
      </c>
      <c r="K76" s="160">
        <v>8954.07</v>
      </c>
      <c r="L76" s="158">
        <v>7.4499999999999997E-2</v>
      </c>
      <c r="R76" s="160">
        <v>289.38040000000001</v>
      </c>
      <c r="S76" s="160">
        <f t="shared" si="4"/>
        <v>1383.5630000000001</v>
      </c>
      <c r="T76" s="160">
        <v>335</v>
      </c>
      <c r="U76" s="160">
        <f t="shared" si="5"/>
        <v>2007.9434000000001</v>
      </c>
    </row>
    <row r="77" spans="1:21" x14ac:dyDescent="0.2">
      <c r="A77">
        <v>88018593304851</v>
      </c>
      <c r="B77" t="s">
        <v>112</v>
      </c>
      <c r="C77" t="s">
        <v>109</v>
      </c>
      <c r="D77" s="160">
        <v>18023.849999999999</v>
      </c>
      <c r="I77" s="158">
        <v>4.9500000000000002E-2</v>
      </c>
      <c r="J77">
        <v>37</v>
      </c>
      <c r="K77" s="160">
        <v>10582.16</v>
      </c>
      <c r="L77" s="158">
        <v>6.7100000000000007E-2</v>
      </c>
      <c r="R77" s="160">
        <v>849.99980000000005</v>
      </c>
      <c r="S77" s="160">
        <f t="shared" si="4"/>
        <v>1802.385</v>
      </c>
      <c r="T77" s="160">
        <v>335</v>
      </c>
      <c r="U77" s="160">
        <f t="shared" si="5"/>
        <v>2987.3847999999998</v>
      </c>
    </row>
    <row r="78" spans="1:21" x14ac:dyDescent="0.2">
      <c r="A78">
        <v>88015404585055</v>
      </c>
      <c r="B78" t="s">
        <v>112</v>
      </c>
      <c r="C78" t="s">
        <v>109</v>
      </c>
      <c r="D78" s="160">
        <v>21036.560000000001</v>
      </c>
      <c r="I78" s="158">
        <v>5.9499999999999997E-2</v>
      </c>
      <c r="J78">
        <v>49</v>
      </c>
      <c r="K78" s="160">
        <v>10539.52</v>
      </c>
      <c r="L78" s="158">
        <v>7.4499999999999997E-2</v>
      </c>
      <c r="R78" s="160">
        <v>1018.5355</v>
      </c>
      <c r="S78" s="160">
        <f t="shared" si="4"/>
        <v>2103.6560000000004</v>
      </c>
      <c r="T78" s="160">
        <v>335</v>
      </c>
      <c r="U78" s="160">
        <f t="shared" si="5"/>
        <v>3457.1915000000004</v>
      </c>
    </row>
    <row r="79" spans="1:21" x14ac:dyDescent="0.2">
      <c r="A79">
        <v>88014708988352</v>
      </c>
      <c r="B79" t="s">
        <v>108</v>
      </c>
      <c r="C79" t="s">
        <v>109</v>
      </c>
      <c r="D79" s="160">
        <v>12910.97</v>
      </c>
      <c r="I79" s="158">
        <v>5.9499999999999997E-2</v>
      </c>
      <c r="J79">
        <v>37</v>
      </c>
      <c r="K79" s="160">
        <v>8540.61</v>
      </c>
      <c r="L79" s="158">
        <v>7.4499999999999997E-2</v>
      </c>
      <c r="R79" s="160">
        <v>554.46100000000001</v>
      </c>
      <c r="S79" s="160">
        <f t="shared" si="4"/>
        <v>1291.097</v>
      </c>
      <c r="T79" s="160">
        <v>335</v>
      </c>
      <c r="U79" s="160">
        <f t="shared" si="5"/>
        <v>2180.558</v>
      </c>
    </row>
    <row r="80" spans="1:21" x14ac:dyDescent="0.2">
      <c r="A80">
        <v>88018848540952</v>
      </c>
      <c r="B80" t="s">
        <v>112</v>
      </c>
      <c r="C80" t="s">
        <v>109</v>
      </c>
      <c r="D80" s="160">
        <v>19354.78</v>
      </c>
      <c r="I80" s="158">
        <v>5.9499999999999997E-2</v>
      </c>
      <c r="J80">
        <v>49</v>
      </c>
      <c r="K80" s="160">
        <v>11689.47</v>
      </c>
      <c r="L80" s="158">
        <v>7.4499999999999997E-2</v>
      </c>
      <c r="R80" s="160">
        <v>975.86890000000005</v>
      </c>
      <c r="S80" s="160">
        <f t="shared" si="4"/>
        <v>1935.4780000000001</v>
      </c>
      <c r="T80" s="160">
        <v>335</v>
      </c>
      <c r="U80" s="160">
        <f t="shared" si="5"/>
        <v>3246.3469</v>
      </c>
    </row>
    <row r="81" spans="1:21" x14ac:dyDescent="0.2">
      <c r="A81">
        <v>88018858386454</v>
      </c>
      <c r="B81" t="s">
        <v>108</v>
      </c>
      <c r="C81" t="s">
        <v>109</v>
      </c>
      <c r="D81" s="160">
        <v>11519.3</v>
      </c>
      <c r="I81" s="158">
        <v>6.9500000000000006E-2</v>
      </c>
      <c r="J81">
        <v>49</v>
      </c>
      <c r="K81" s="160">
        <v>5582.08</v>
      </c>
      <c r="L81" s="158">
        <v>7.4499999999999997E-2</v>
      </c>
      <c r="R81" s="160">
        <v>261.79379999999998</v>
      </c>
      <c r="S81" s="160">
        <f t="shared" si="4"/>
        <v>1151.93</v>
      </c>
      <c r="T81" s="160">
        <v>335</v>
      </c>
      <c r="U81" s="160">
        <f t="shared" si="5"/>
        <v>1748.7238</v>
      </c>
    </row>
    <row r="82" spans="1:21" x14ac:dyDescent="0.2">
      <c r="A82">
        <v>88018633385251</v>
      </c>
      <c r="B82" t="s">
        <v>108</v>
      </c>
      <c r="C82" t="s">
        <v>109</v>
      </c>
      <c r="D82" s="160">
        <v>10523.8</v>
      </c>
      <c r="I82" s="158">
        <v>5.9499999999999997E-2</v>
      </c>
      <c r="J82">
        <v>37</v>
      </c>
      <c r="K82" s="160">
        <v>6709.72</v>
      </c>
      <c r="L82" s="158">
        <v>6.7100000000000007E-2</v>
      </c>
      <c r="R82" s="160">
        <v>278.69729999999998</v>
      </c>
      <c r="S82" s="160">
        <f t="shared" si="4"/>
        <v>1052.3799999999999</v>
      </c>
      <c r="T82" s="160">
        <v>335</v>
      </c>
      <c r="U82" s="160">
        <f t="shared" si="5"/>
        <v>1666.0772999999999</v>
      </c>
    </row>
    <row r="83" spans="1:21" x14ac:dyDescent="0.2">
      <c r="A83">
        <v>88018848696152</v>
      </c>
      <c r="B83" t="s">
        <v>111</v>
      </c>
      <c r="C83" t="s">
        <v>109</v>
      </c>
      <c r="D83" s="160">
        <v>21277.13</v>
      </c>
      <c r="I83" s="158">
        <v>5.9499999999999997E-2</v>
      </c>
      <c r="J83">
        <v>49</v>
      </c>
      <c r="K83" s="160">
        <v>15422.6</v>
      </c>
      <c r="L83" s="158">
        <v>7.4499999999999997E-2</v>
      </c>
      <c r="R83" s="160">
        <v>1122.8290999999999</v>
      </c>
      <c r="S83" s="160">
        <f t="shared" si="4"/>
        <v>2127.7130000000002</v>
      </c>
      <c r="T83" s="160">
        <v>335</v>
      </c>
      <c r="U83" s="160">
        <f t="shared" si="5"/>
        <v>3585.5421000000001</v>
      </c>
    </row>
    <row r="84" spans="1:21" x14ac:dyDescent="0.2">
      <c r="A84">
        <v>88018929429253</v>
      </c>
      <c r="B84" t="s">
        <v>112</v>
      </c>
      <c r="C84" t="s">
        <v>109</v>
      </c>
      <c r="D84" s="160">
        <v>17093.96</v>
      </c>
      <c r="I84" s="158">
        <v>5.9499999999999997E-2</v>
      </c>
      <c r="J84">
        <v>49</v>
      </c>
      <c r="K84" s="160">
        <v>11024.94</v>
      </c>
      <c r="L84" s="158">
        <v>7.4499999999999997E-2</v>
      </c>
      <c r="R84" s="160">
        <v>875.51300000000003</v>
      </c>
      <c r="S84" s="160">
        <f t="shared" si="4"/>
        <v>1709.396</v>
      </c>
      <c r="T84" s="160">
        <v>335</v>
      </c>
      <c r="U84" s="160">
        <f t="shared" si="5"/>
        <v>2919.9090000000001</v>
      </c>
    </row>
    <row r="85" spans="1:21" x14ac:dyDescent="0.2">
      <c r="A85">
        <v>88016180837253</v>
      </c>
      <c r="B85" t="s">
        <v>110</v>
      </c>
      <c r="C85" t="s">
        <v>109</v>
      </c>
      <c r="D85" s="160">
        <v>19283.34</v>
      </c>
      <c r="I85" s="158">
        <v>6.9500000000000006E-2</v>
      </c>
      <c r="J85">
        <v>49</v>
      </c>
      <c r="K85" s="160">
        <v>11248.74</v>
      </c>
      <c r="L85" s="158">
        <v>7.4499999999999997E-2</v>
      </c>
      <c r="R85" s="160">
        <v>450.49110000000002</v>
      </c>
      <c r="S85" s="160">
        <f t="shared" si="4"/>
        <v>1928.3340000000001</v>
      </c>
      <c r="T85" s="160">
        <v>335</v>
      </c>
      <c r="U85" s="160">
        <f t="shared" si="5"/>
        <v>2713.8251</v>
      </c>
    </row>
    <row r="86" spans="1:21" x14ac:dyDescent="0.2">
      <c r="A86">
        <v>88018992013652</v>
      </c>
      <c r="B86" t="s">
        <v>108</v>
      </c>
      <c r="C86" t="s">
        <v>109</v>
      </c>
      <c r="D86" s="160">
        <v>13840.63</v>
      </c>
      <c r="I86" s="158">
        <v>6.9500000000000006E-2</v>
      </c>
      <c r="J86">
        <v>49</v>
      </c>
      <c r="K86" s="160">
        <v>7529.3</v>
      </c>
      <c r="L86" s="158">
        <v>7.4499999999999997E-2</v>
      </c>
      <c r="R86" s="160">
        <v>319.83839999999998</v>
      </c>
      <c r="S86" s="160">
        <f t="shared" si="4"/>
        <v>1384.0630000000001</v>
      </c>
      <c r="T86" s="160">
        <v>335</v>
      </c>
      <c r="U86" s="160">
        <f t="shared" si="5"/>
        <v>2038.9014000000002</v>
      </c>
    </row>
  </sheetData>
  <conditionalFormatting sqref="R1:R3">
    <cfRule type="cellIs" dxfId="1" priority="1" operator="lessThan">
      <formula>0</formula>
    </cfRule>
  </conditionalFormatting>
  <pageMargins left="0.7" right="0.7" top="0.75" bottom="0.75" header="0.3" footer="0.3"/>
  <pageSetup paperSize="8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K25"/>
  <sheetViews>
    <sheetView showGridLines="0" workbookViewId="0">
      <selection activeCell="B5" sqref="B5"/>
    </sheetView>
  </sheetViews>
  <sheetFormatPr baseColWidth="10" defaultColWidth="11.42578125" defaultRowHeight="12" x14ac:dyDescent="0.2"/>
  <cols>
    <col min="1" max="1" width="22.140625" style="213" bestFit="1" customWidth="1"/>
    <col min="2" max="2" width="11.85546875" style="213" bestFit="1" customWidth="1"/>
    <col min="3" max="4" width="12" style="213" bestFit="1" customWidth="1"/>
    <col min="5" max="5" width="11.42578125" style="213" customWidth="1"/>
    <col min="6" max="16384" width="11.42578125" style="213"/>
  </cols>
  <sheetData>
    <row r="1" spans="1:11" ht="15" customHeight="1" x14ac:dyDescent="0.2">
      <c r="A1" s="216" t="s">
        <v>115</v>
      </c>
      <c r="B1" s="232" t="s">
        <v>116</v>
      </c>
      <c r="D1" s="213">
        <v>13</v>
      </c>
    </row>
    <row r="2" spans="1:11" ht="15" customHeight="1" x14ac:dyDescent="0.2">
      <c r="A2" s="216" t="s">
        <v>117</v>
      </c>
      <c r="B2" s="229">
        <v>41990</v>
      </c>
      <c r="D2" s="231" t="s">
        <v>118</v>
      </c>
      <c r="E2" s="213" t="s">
        <v>119</v>
      </c>
    </row>
    <row r="3" spans="1:11" ht="15" customHeight="1" x14ac:dyDescent="0.2">
      <c r="A3" s="216" t="s">
        <v>120</v>
      </c>
      <c r="B3" s="229">
        <v>2000</v>
      </c>
      <c r="D3" s="231"/>
    </row>
    <row r="4" spans="1:11" ht="15" customHeight="1" x14ac:dyDescent="0.2">
      <c r="A4" s="216" t="s">
        <v>121</v>
      </c>
      <c r="B4" s="230">
        <v>3900</v>
      </c>
    </row>
    <row r="5" spans="1:11" ht="15" customHeight="1" x14ac:dyDescent="0.2">
      <c r="A5" s="216" t="s">
        <v>122</v>
      </c>
      <c r="B5" s="230">
        <f>(B2-B4-B3)/1.2</f>
        <v>30075</v>
      </c>
      <c r="C5" s="213">
        <f>+B5*1.2</f>
        <v>36090</v>
      </c>
    </row>
    <row r="6" spans="1:11" ht="15" customHeight="1" x14ac:dyDescent="0.2">
      <c r="A6" s="216" t="s">
        <v>123</v>
      </c>
      <c r="B6" s="229"/>
    </row>
    <row r="7" spans="1:11" ht="15" customHeight="1" x14ac:dyDescent="0.2">
      <c r="A7" s="216" t="s">
        <v>20</v>
      </c>
      <c r="B7" s="228">
        <v>36</v>
      </c>
      <c r="C7" s="227"/>
    </row>
    <row r="8" spans="1:11" ht="15" customHeight="1" x14ac:dyDescent="0.2">
      <c r="A8" s="216" t="s">
        <v>124</v>
      </c>
      <c r="B8" s="226">
        <v>7.8E-2</v>
      </c>
      <c r="C8" s="213" t="s">
        <v>125</v>
      </c>
      <c r="J8" s="222">
        <v>2.2499999999999999E-2</v>
      </c>
      <c r="K8" s="225">
        <f>5%/1.72</f>
        <v>2.9069767441860468E-2</v>
      </c>
    </row>
    <row r="9" spans="1:11" ht="15" customHeight="1" x14ac:dyDescent="0.2">
      <c r="A9" s="216" t="s">
        <v>126</v>
      </c>
      <c r="B9" s="224">
        <f>+D9/1.2</f>
        <v>18231.666666666668</v>
      </c>
      <c r="C9" s="222">
        <f>+D9/B2</f>
        <v>0.52102881638485354</v>
      </c>
      <c r="D9" s="223">
        <v>21878</v>
      </c>
      <c r="F9" s="220"/>
      <c r="J9" s="222">
        <v>4.4499999999999998E-2</v>
      </c>
    </row>
    <row r="10" spans="1:11" ht="12.75" customHeight="1" x14ac:dyDescent="0.2">
      <c r="A10" s="221"/>
      <c r="B10" s="221"/>
      <c r="J10" s="220">
        <f>1%/1.96</f>
        <v>5.1020408163265311E-3</v>
      </c>
    </row>
    <row r="11" spans="1:11" ht="15" customHeight="1" x14ac:dyDescent="0.2">
      <c r="A11" s="216" t="s">
        <v>127</v>
      </c>
      <c r="B11" s="219">
        <v>5.9499999999999997E-2</v>
      </c>
      <c r="D11" s="213" t="s">
        <v>128</v>
      </c>
    </row>
    <row r="13" spans="1:11" ht="12.75" customHeight="1" thickBot="1" x14ac:dyDescent="0.25"/>
    <row r="14" spans="1:11" ht="15.75" customHeight="1" thickBot="1" x14ac:dyDescent="0.25">
      <c r="A14" s="218" t="s">
        <v>129</v>
      </c>
      <c r="B14" s="217">
        <f>CALCULETTE!B624</f>
        <v>1228.5863635439896</v>
      </c>
      <c r="C14" s="213">
        <v>1228.58636354399</v>
      </c>
      <c r="E14" s="214"/>
    </row>
    <row r="15" spans="1:11" ht="12.75" customHeight="1" thickBot="1" x14ac:dyDescent="0.25"/>
    <row r="16" spans="1:11" ht="15.75" customHeight="1" thickBot="1" x14ac:dyDescent="0.25">
      <c r="A16" s="218" t="s">
        <v>130</v>
      </c>
      <c r="B16" s="217">
        <f>+CALCULETTE!E624</f>
        <v>459.83</v>
      </c>
    </row>
    <row r="17" spans="1:4" ht="15.75" customHeight="1" thickBot="1" x14ac:dyDescent="0.25">
      <c r="A17" s="218" t="s">
        <v>131</v>
      </c>
      <c r="B17" s="217">
        <f>+B16*1.2</f>
        <v>551.79599999999994</v>
      </c>
      <c r="C17" s="214">
        <f>+B17+50</f>
        <v>601.79599999999994</v>
      </c>
      <c r="D17" s="213" t="s">
        <v>132</v>
      </c>
    </row>
    <row r="19" spans="1:4" ht="15" customHeight="1" x14ac:dyDescent="0.2">
      <c r="A19" s="216" t="s">
        <v>133</v>
      </c>
      <c r="B19" s="215">
        <f>+[3]renta_retail!$C$16</f>
        <v>0</v>
      </c>
    </row>
    <row r="25" spans="1:4" x14ac:dyDescent="0.2">
      <c r="B25" s="214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AE812"/>
  <sheetViews>
    <sheetView showGridLines="0" topLeftCell="A621" zoomScale="130" zoomScaleNormal="130" workbookViewId="0">
      <selection activeCell="C632" sqref="C632"/>
    </sheetView>
  </sheetViews>
  <sheetFormatPr baseColWidth="10" defaultColWidth="11.42578125" defaultRowHeight="12" outlineLevelRow="1" x14ac:dyDescent="0.2"/>
  <cols>
    <col min="1" max="1" width="27.42578125" style="1" customWidth="1"/>
    <col min="2" max="2" width="43.42578125" style="2" customWidth="1"/>
    <col min="3" max="3" width="10.28515625" style="1" bestFit="1" customWidth="1"/>
    <col min="4" max="4" width="40.85546875" style="1" customWidth="1"/>
    <col min="5" max="15" width="11.42578125" style="1" customWidth="1"/>
    <col min="16" max="16384" width="11.42578125" style="1"/>
  </cols>
  <sheetData>
    <row r="1" spans="2:13" hidden="1" outlineLevel="1" x14ac:dyDescent="0.2">
      <c r="D1" s="3">
        <f>IF(OR(ISBLANK(#REF!),ISBLANK(#REF!),ISBLANK(D$25),ISBLANK(D$23)),0,1)</f>
        <v>1</v>
      </c>
      <c r="E1" s="3">
        <f>IF(OR(ISBLANK(#REF!),ISBLANK(#REF!),ISBLANK(E$25),ISBLANK(E$23)),0,1)</f>
        <v>0</v>
      </c>
      <c r="F1" s="3">
        <f>IF(OR(ISBLANK(#REF!),ISBLANK(#REF!),ISBLANK(F$25),ISBLANK(F$23)),0,1)</f>
        <v>0</v>
      </c>
      <c r="G1" s="3">
        <f>IF(OR(ISBLANK(#REF!),ISBLANK(#REF!),ISBLANK(G$25),ISBLANK(G$23)),0,1)</f>
        <v>0</v>
      </c>
      <c r="H1" s="3">
        <f>IF(OR(ISBLANK(#REF!),ISBLANK(#REF!),ISBLANK(H$25),ISBLANK(H$23)),0,1)</f>
        <v>0</v>
      </c>
      <c r="I1" s="3">
        <f>IF(OR(ISBLANK(#REF!),ISBLANK(#REF!),ISBLANK(I$25),ISBLANK(I$23)),0,1)</f>
        <v>0</v>
      </c>
      <c r="J1" s="3">
        <f>IF(OR(ISBLANK(#REF!),ISBLANK(#REF!),ISBLANK(J$25),ISBLANK(J$23)),0,1)</f>
        <v>0</v>
      </c>
      <c r="K1" s="3">
        <f>IF(OR(ISBLANK(#REF!),ISBLANK(#REF!),ISBLANK(K$25),ISBLANK(K$23)),0,1)</f>
        <v>0</v>
      </c>
      <c r="L1" s="3">
        <f>IF(OR(ISBLANK(#REF!),ISBLANK(#REF!),ISBLANK(L$25),ISBLANK(L$23)),0,1)</f>
        <v>0</v>
      </c>
      <c r="M1" s="3">
        <f>IF(OR(ISBLANK(#REF!),ISBLANK(#REF!),ISBLANK(M$25),ISBLANK(M$23)),0,1)</f>
        <v>0</v>
      </c>
    </row>
    <row r="2" spans="2:13" collapsed="1" x14ac:dyDescent="0.2"/>
    <row r="3" spans="2:13" ht="36" customHeight="1" x14ac:dyDescent="0.2">
      <c r="B3" s="239" t="s">
        <v>0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</row>
    <row r="5" spans="2:13" x14ac:dyDescent="0.2"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</row>
    <row r="6" spans="2:13" x14ac:dyDescent="0.2">
      <c r="B6" s="240" t="s">
        <v>1</v>
      </c>
      <c r="D6" s="19" t="s">
        <v>2</v>
      </c>
      <c r="M6" s="15"/>
    </row>
    <row r="7" spans="2:13" x14ac:dyDescent="0.2">
      <c r="B7" s="241"/>
      <c r="D7" s="101"/>
      <c r="M7" s="15"/>
    </row>
    <row r="8" spans="2:13" hidden="1" x14ac:dyDescent="0.2">
      <c r="B8" s="241"/>
      <c r="D8" s="20"/>
      <c r="M8" s="15"/>
    </row>
    <row r="9" spans="2:13" hidden="1" x14ac:dyDescent="0.2">
      <c r="B9" s="241"/>
      <c r="D9" s="23"/>
      <c r="M9" s="15"/>
    </row>
    <row r="10" spans="2:13" hidden="1" x14ac:dyDescent="0.2">
      <c r="B10" s="241"/>
      <c r="D10" s="24"/>
      <c r="M10" s="15"/>
    </row>
    <row r="11" spans="2:13" hidden="1" x14ac:dyDescent="0.2">
      <c r="B11" s="16"/>
      <c r="C11" s="5"/>
      <c r="D11" s="17"/>
      <c r="E11" s="5"/>
      <c r="F11" s="5"/>
      <c r="G11" s="5"/>
      <c r="H11" s="5"/>
      <c r="I11" s="5"/>
      <c r="J11" s="5"/>
      <c r="K11" s="5"/>
      <c r="L11" s="5"/>
      <c r="M11" s="18"/>
    </row>
    <row r="14" spans="2:13" ht="21" customHeight="1" x14ac:dyDescent="0.2">
      <c r="D14" s="9" t="s">
        <v>3</v>
      </c>
      <c r="E14" s="9" t="s">
        <v>4</v>
      </c>
      <c r="F14" s="9" t="s">
        <v>5</v>
      </c>
      <c r="G14" s="9" t="s">
        <v>6</v>
      </c>
      <c r="H14" s="9" t="s">
        <v>7</v>
      </c>
      <c r="I14" s="9" t="s">
        <v>8</v>
      </c>
      <c r="J14" s="9" t="s">
        <v>9</v>
      </c>
      <c r="K14" s="9" t="s">
        <v>10</v>
      </c>
      <c r="L14" s="9" t="s">
        <v>11</v>
      </c>
      <c r="M14" s="9" t="s">
        <v>12</v>
      </c>
    </row>
    <row r="15" spans="2:13" x14ac:dyDescent="0.2">
      <c r="D15" s="188"/>
      <c r="E15" s="7"/>
      <c r="F15" s="7"/>
      <c r="G15" s="7"/>
      <c r="H15" s="7"/>
      <c r="I15" s="7"/>
      <c r="J15" s="7"/>
      <c r="K15" s="7"/>
      <c r="L15" s="7"/>
      <c r="M15" s="7"/>
    </row>
    <row r="16" spans="2:13" x14ac:dyDescent="0.2">
      <c r="B16" s="6" t="s">
        <v>13</v>
      </c>
      <c r="D16" s="188"/>
      <c r="E16" s="7"/>
      <c r="F16" s="7"/>
      <c r="G16" s="7"/>
      <c r="H16" s="7"/>
      <c r="I16" s="7"/>
      <c r="J16" s="7"/>
      <c r="K16" s="7"/>
      <c r="L16" s="7"/>
      <c r="M16" s="7"/>
    </row>
    <row r="17" spans="2:16" outlineLevel="1" x14ac:dyDescent="0.2">
      <c r="B17" s="117" t="s">
        <v>14</v>
      </c>
      <c r="D17" s="180"/>
      <c r="E17" s="7"/>
      <c r="F17" s="7"/>
      <c r="G17" s="7"/>
      <c r="H17" s="7"/>
      <c r="I17" s="7"/>
      <c r="J17" s="7"/>
      <c r="K17" s="7"/>
      <c r="L17" s="7"/>
      <c r="M17" s="7"/>
    </row>
    <row r="18" spans="2:16" outlineLevel="1" x14ac:dyDescent="0.2">
      <c r="B18" s="4" t="s">
        <v>15</v>
      </c>
      <c r="D18" s="180"/>
      <c r="E18" s="7"/>
      <c r="F18" s="7"/>
      <c r="G18" s="7"/>
      <c r="H18" s="7"/>
      <c r="I18" s="7"/>
      <c r="J18" s="7"/>
      <c r="K18" s="7"/>
      <c r="L18" s="7"/>
      <c r="M18" s="7"/>
    </row>
    <row r="19" spans="2:16" outlineLevel="1" x14ac:dyDescent="0.2">
      <c r="B19" s="4" t="s">
        <v>16</v>
      </c>
      <c r="D19" s="118"/>
      <c r="E19" s="7"/>
      <c r="F19" s="7"/>
      <c r="G19" s="7"/>
      <c r="H19" s="7"/>
      <c r="I19" s="7"/>
      <c r="J19" s="7"/>
      <c r="K19" s="7"/>
      <c r="L19" s="7"/>
      <c r="M19" s="7"/>
      <c r="N19" s="92"/>
    </row>
    <row r="20" spans="2:16" outlineLevel="1" x14ac:dyDescent="0.2">
      <c r="B20" s="4" t="s">
        <v>17</v>
      </c>
      <c r="D20" s="180">
        <f>compensation!B4</f>
        <v>3900</v>
      </c>
      <c r="E20" s="7"/>
      <c r="F20" s="7"/>
      <c r="G20" s="7"/>
      <c r="H20" s="7"/>
      <c r="I20" s="7"/>
      <c r="J20" s="7"/>
      <c r="K20" s="7"/>
      <c r="L20" s="7"/>
      <c r="M20" s="7"/>
      <c r="N20" s="92"/>
    </row>
    <row r="21" spans="2:16" outlineLevel="1" x14ac:dyDescent="0.2">
      <c r="B21" s="4" t="s">
        <v>18</v>
      </c>
      <c r="D21" s="118"/>
      <c r="E21" s="7"/>
      <c r="F21" s="7"/>
      <c r="G21" s="7"/>
      <c r="H21" s="7"/>
      <c r="I21" s="7"/>
      <c r="J21" s="7"/>
      <c r="K21" s="7"/>
      <c r="L21" s="7"/>
      <c r="M21" s="7"/>
    </row>
    <row r="22" spans="2:16" ht="11.25" customHeight="1" x14ac:dyDescent="0.2">
      <c r="B22" s="4" t="s">
        <v>19</v>
      </c>
      <c r="D22" s="207">
        <f>+compensation!B5</f>
        <v>30075</v>
      </c>
      <c r="E22" s="26"/>
      <c r="F22" s="26"/>
      <c r="G22" s="26"/>
      <c r="H22" s="26"/>
      <c r="I22" s="26"/>
      <c r="J22" s="26"/>
      <c r="K22" s="26"/>
      <c r="L22" s="26"/>
      <c r="M22" s="26"/>
    </row>
    <row r="23" spans="2:16" ht="11.25" customHeight="1" outlineLevel="1" x14ac:dyDescent="0.2">
      <c r="B23" s="4" t="s">
        <v>20</v>
      </c>
      <c r="D23" s="208">
        <f>+IF(D20=0,D24,D24-1)</f>
        <v>35</v>
      </c>
      <c r="E23" s="11"/>
      <c r="F23" s="11"/>
      <c r="G23" s="11"/>
      <c r="H23" s="11"/>
      <c r="I23" s="11"/>
      <c r="J23" s="11"/>
      <c r="K23" s="11"/>
      <c r="L23" s="11"/>
      <c r="M23" s="11"/>
      <c r="N23" s="98"/>
    </row>
    <row r="24" spans="2:16" ht="11.25" customHeight="1" x14ac:dyDescent="0.2">
      <c r="B24" s="4" t="s">
        <v>21</v>
      </c>
      <c r="D24" s="208">
        <f>compensation!B7</f>
        <v>36</v>
      </c>
      <c r="E24" s="11"/>
      <c r="F24" s="11"/>
      <c r="G24" s="11"/>
      <c r="H24" s="11"/>
      <c r="I24" s="11"/>
      <c r="J24" s="11"/>
      <c r="K24" s="11"/>
      <c r="L24" s="11"/>
      <c r="M24" s="11"/>
      <c r="N24" s="210"/>
    </row>
    <row r="25" spans="2:16" x14ac:dyDescent="0.2">
      <c r="B25" s="4" t="s">
        <v>22</v>
      </c>
      <c r="D25" s="209">
        <f>+compensation!B8</f>
        <v>7.8E-2</v>
      </c>
      <c r="E25" s="10"/>
      <c r="F25" s="10"/>
      <c r="G25" s="10"/>
      <c r="H25" s="10"/>
      <c r="I25" s="10"/>
      <c r="J25" s="10"/>
      <c r="K25" s="10"/>
      <c r="L25" s="10"/>
      <c r="M25" s="10"/>
      <c r="N25" s="93"/>
      <c r="O25" s="93"/>
    </row>
    <row r="26" spans="2:16" x14ac:dyDescent="0.2">
      <c r="B26" s="4" t="s">
        <v>23</v>
      </c>
      <c r="D26" s="28">
        <f>+compensation!B11</f>
        <v>5.9499999999999997E-2</v>
      </c>
      <c r="E26" s="10"/>
      <c r="F26" s="10"/>
      <c r="G26" s="10"/>
      <c r="H26" s="10"/>
      <c r="I26" s="10"/>
      <c r="J26" s="10"/>
      <c r="K26" s="10"/>
      <c r="L26" s="10"/>
      <c r="M26" s="10"/>
      <c r="N26" s="93"/>
    </row>
    <row r="27" spans="2:16" x14ac:dyDescent="0.2">
      <c r="B27" s="4" t="s">
        <v>24</v>
      </c>
      <c r="D27" s="28">
        <f>+D29/D22</f>
        <v>0.6062067054585758</v>
      </c>
      <c r="E27" s="10"/>
      <c r="F27" s="10"/>
      <c r="G27" s="10"/>
      <c r="H27" s="10"/>
      <c r="I27" s="10"/>
      <c r="J27" s="10"/>
      <c r="K27" s="10"/>
      <c r="L27" s="10"/>
      <c r="M27" s="10"/>
    </row>
    <row r="28" spans="2:16" hidden="1" outlineLevel="1" x14ac:dyDescent="0.2">
      <c r="B28" s="4" t="s">
        <v>25</v>
      </c>
      <c r="D28" s="27"/>
      <c r="E28" s="27" t="str">
        <f t="shared" ref="E28:M28" si="0">IF(E22=0,"",E27*E22)</f>
        <v/>
      </c>
      <c r="F28" s="27" t="str">
        <f t="shared" si="0"/>
        <v/>
      </c>
      <c r="G28" s="27" t="str">
        <f t="shared" si="0"/>
        <v/>
      </c>
      <c r="H28" s="27" t="str">
        <f t="shared" si="0"/>
        <v/>
      </c>
      <c r="I28" s="27" t="str">
        <f t="shared" si="0"/>
        <v/>
      </c>
      <c r="J28" s="27" t="str">
        <f t="shared" si="0"/>
        <v/>
      </c>
      <c r="K28" s="27" t="str">
        <f t="shared" si="0"/>
        <v/>
      </c>
      <c r="L28" s="27" t="str">
        <f t="shared" si="0"/>
        <v/>
      </c>
      <c r="M28" s="91" t="str">
        <f t="shared" si="0"/>
        <v/>
      </c>
      <c r="N28" s="183" t="e">
        <f>+D28/D17</f>
        <v>#DIV/0!</v>
      </c>
      <c r="O28" s="184"/>
      <c r="P28" s="95"/>
    </row>
    <row r="29" spans="2:16" ht="11.45" customHeight="1" collapsed="1" x14ac:dyDescent="0.2">
      <c r="B29" s="4" t="s">
        <v>26</v>
      </c>
      <c r="D29" s="207">
        <f>+compensation!B9</f>
        <v>18231.666666666668</v>
      </c>
      <c r="E29" s="27"/>
      <c r="F29" s="27"/>
      <c r="G29" s="27"/>
      <c r="H29" s="27"/>
      <c r="I29" s="27"/>
      <c r="J29" s="27"/>
      <c r="K29" s="27"/>
      <c r="L29" s="27"/>
      <c r="M29" s="91"/>
      <c r="N29" s="182">
        <f>+D29/D22</f>
        <v>0.6062067054585758</v>
      </c>
      <c r="P29" s="95"/>
    </row>
    <row r="30" spans="2:16" hidden="1" outlineLevel="1" x14ac:dyDescent="0.2">
      <c r="B30" s="2" t="s">
        <v>27</v>
      </c>
      <c r="D30" s="88"/>
      <c r="E30" s="27"/>
      <c r="F30" s="27"/>
      <c r="G30" s="27"/>
      <c r="H30" s="27"/>
      <c r="I30" s="27"/>
      <c r="J30" s="27"/>
      <c r="K30" s="27"/>
      <c r="L30" s="27"/>
      <c r="M30" s="91"/>
      <c r="N30" s="185"/>
      <c r="O30" s="185"/>
      <c r="P30" s="95"/>
    </row>
    <row r="31" spans="2:16" collapsed="1" x14ac:dyDescent="0.2">
      <c r="D31" s="188"/>
      <c r="E31" s="7"/>
      <c r="F31" s="7"/>
      <c r="G31" s="7"/>
      <c r="H31" s="7"/>
      <c r="I31" s="7"/>
      <c r="J31" s="7"/>
      <c r="K31" s="7"/>
      <c r="L31" s="7"/>
      <c r="M31" s="7"/>
      <c r="N31" s="185"/>
      <c r="O31" s="186"/>
    </row>
    <row r="32" spans="2:16" ht="21" customHeight="1" x14ac:dyDescent="0.2">
      <c r="B32" s="6" t="s">
        <v>28</v>
      </c>
      <c r="D32" s="188"/>
      <c r="E32" s="7"/>
      <c r="F32" s="7"/>
      <c r="G32" s="7"/>
      <c r="H32" s="7"/>
      <c r="I32" s="7"/>
      <c r="J32" s="7"/>
      <c r="K32" s="7"/>
      <c r="L32" s="7"/>
      <c r="M32" s="7"/>
      <c r="N32" s="185"/>
      <c r="O32" s="185"/>
    </row>
    <row r="33" spans="2:18" hidden="1" outlineLevel="1" x14ac:dyDescent="0.2">
      <c r="B33" s="4" t="s">
        <v>29</v>
      </c>
      <c r="D33" s="88">
        <v>0</v>
      </c>
      <c r="E33" s="28" t="str">
        <f t="shared" ref="E33:M33" si="1">IF(E22=0,"",2.5%)</f>
        <v/>
      </c>
      <c r="F33" s="28" t="str">
        <f t="shared" si="1"/>
        <v/>
      </c>
      <c r="G33" s="28" t="str">
        <f t="shared" si="1"/>
        <v/>
      </c>
      <c r="H33" s="28" t="str">
        <f t="shared" si="1"/>
        <v/>
      </c>
      <c r="I33" s="28" t="str">
        <f t="shared" si="1"/>
        <v/>
      </c>
      <c r="J33" s="28" t="str">
        <f t="shared" si="1"/>
        <v/>
      </c>
      <c r="K33" s="28" t="str">
        <f t="shared" si="1"/>
        <v/>
      </c>
      <c r="L33" s="28" t="str">
        <f t="shared" si="1"/>
        <v/>
      </c>
      <c r="M33" s="28" t="str">
        <f t="shared" si="1"/>
        <v/>
      </c>
      <c r="N33" s="185"/>
      <c r="O33" s="185"/>
    </row>
    <row r="34" spans="2:18" collapsed="1" x14ac:dyDescent="0.2">
      <c r="B34" s="4" t="s">
        <v>30</v>
      </c>
      <c r="D34" s="181"/>
      <c r="E34" s="10"/>
      <c r="F34" s="10"/>
      <c r="G34" s="10"/>
      <c r="H34" s="10"/>
      <c r="I34" s="10"/>
      <c r="J34" s="10"/>
      <c r="K34" s="10"/>
      <c r="L34" s="10"/>
      <c r="M34" s="10"/>
      <c r="N34" s="185"/>
      <c r="O34" s="185"/>
    </row>
    <row r="35" spans="2:18" x14ac:dyDescent="0.2">
      <c r="D35" s="7"/>
      <c r="E35" s="7"/>
      <c r="F35" s="7"/>
      <c r="G35" s="7"/>
      <c r="H35" s="7"/>
      <c r="I35" s="7"/>
      <c r="J35" s="7"/>
      <c r="K35" s="7"/>
      <c r="L35" s="7"/>
      <c r="M35" s="7"/>
      <c r="N35" s="185"/>
      <c r="O35" s="185"/>
      <c r="R35" s="120"/>
    </row>
    <row r="36" spans="2:18" ht="21" customHeight="1" x14ac:dyDescent="0.2">
      <c r="B36" s="119" t="s">
        <v>31</v>
      </c>
      <c r="D36" s="8">
        <f t="shared" ref="D36:M36" si="2">IF(D1=0,"",(D25*D40-D33)-(D26*D43-D34))</f>
        <v>4.0850751905037064E-2</v>
      </c>
      <c r="E36" s="8" t="str">
        <f t="shared" si="2"/>
        <v/>
      </c>
      <c r="F36" s="8" t="str">
        <f t="shared" si="2"/>
        <v/>
      </c>
      <c r="G36" s="8" t="str">
        <f t="shared" si="2"/>
        <v/>
      </c>
      <c r="H36" s="8" t="str">
        <f t="shared" si="2"/>
        <v/>
      </c>
      <c r="I36" s="8" t="str">
        <f t="shared" si="2"/>
        <v/>
      </c>
      <c r="J36" s="8" t="str">
        <f t="shared" si="2"/>
        <v/>
      </c>
      <c r="K36" s="8" t="str">
        <f t="shared" si="2"/>
        <v/>
      </c>
      <c r="L36" s="8" t="str">
        <f t="shared" si="2"/>
        <v/>
      </c>
      <c r="M36" s="8" t="str">
        <f t="shared" si="2"/>
        <v/>
      </c>
      <c r="N36" s="185"/>
      <c r="O36" s="185"/>
      <c r="R36" s="120"/>
    </row>
    <row r="37" spans="2:18" ht="21" customHeight="1" x14ac:dyDescent="0.2">
      <c r="B37" s="119" t="s">
        <v>32</v>
      </c>
      <c r="D37" s="89">
        <f>IF(D36="","",D22*D36)</f>
        <v>1228.5863635439896</v>
      </c>
      <c r="E37" s="8"/>
      <c r="F37" s="8"/>
      <c r="G37" s="8"/>
      <c r="H37" s="8"/>
      <c r="I37" s="8"/>
      <c r="J37" s="8"/>
      <c r="K37" s="8"/>
      <c r="L37" s="8"/>
      <c r="M37" s="90"/>
      <c r="N37" s="187">
        <f>+D37*1.2</f>
        <v>1474.3036362527876</v>
      </c>
      <c r="O37" s="184" t="s">
        <v>33</v>
      </c>
      <c r="P37" s="95"/>
      <c r="Q37" s="110"/>
      <c r="R37" s="111"/>
    </row>
    <row r="38" spans="2:18" ht="21" customHeight="1" x14ac:dyDescent="0.2">
      <c r="B38" s="119" t="s">
        <v>34</v>
      </c>
      <c r="D38" s="89">
        <f>CALCULETTE!C632</f>
        <v>459.82616350758974</v>
      </c>
      <c r="E38" s="8"/>
      <c r="F38" s="8"/>
      <c r="G38" s="8"/>
      <c r="H38" s="8"/>
      <c r="I38" s="8"/>
      <c r="J38" s="8"/>
      <c r="K38" s="8"/>
      <c r="L38" s="8"/>
      <c r="M38" s="8"/>
      <c r="N38" s="187" t="e">
        <f>+(ROUND(PMT(D26/12,IF(IF(D20=0,0,1)&gt;0,+D24-1,D24-0),-(FV(D26/12,0,0/(1+D30),-(((1-ROUND(D20/D19,5))/(1+D30))-0)*(1+D26*(+D24-(IF(IF(D20=0,0,1)&gt;0,+D24-1,D24-0)+0))/12),1)),ROUND(+D28/D19,5)/(1+D30)-0,1)*(1+D30),6)*D19)</f>
        <v>#DIV/0!</v>
      </c>
      <c r="O38" s="184" t="s">
        <v>33</v>
      </c>
      <c r="P38" s="110"/>
      <c r="Q38" s="96"/>
    </row>
    <row r="39" spans="2:18" x14ac:dyDescent="0.2">
      <c r="D39" s="120"/>
      <c r="E39" s="120"/>
    </row>
    <row r="40" spans="2:18" s="36" customFormat="1" hidden="1" outlineLevel="1" x14ac:dyDescent="0.2">
      <c r="B40" s="34" t="s">
        <v>35</v>
      </c>
      <c r="D40" s="35">
        <f t="shared" ref="D40:M40" si="3">IF(D$1=0,"",SUM(D53:D232)/12)</f>
        <v>2.1931442195925439</v>
      </c>
      <c r="E40" s="35" t="str">
        <f t="shared" si="3"/>
        <v/>
      </c>
      <c r="F40" s="35" t="str">
        <f t="shared" si="3"/>
        <v/>
      </c>
      <c r="G40" s="35" t="str">
        <f t="shared" si="3"/>
        <v/>
      </c>
      <c r="H40" s="35" t="str">
        <f t="shared" si="3"/>
        <v/>
      </c>
      <c r="I40" s="35" t="str">
        <f t="shared" si="3"/>
        <v/>
      </c>
      <c r="J40" s="35" t="str">
        <f t="shared" si="3"/>
        <v/>
      </c>
      <c r="K40" s="35" t="str">
        <f t="shared" si="3"/>
        <v/>
      </c>
      <c r="L40" s="35" t="str">
        <f t="shared" si="3"/>
        <v/>
      </c>
      <c r="M40" s="35" t="str">
        <f t="shared" si="3"/>
        <v/>
      </c>
      <c r="O40" s="96"/>
      <c r="P40" s="97"/>
    </row>
    <row r="41" spans="2:18" s="36" customFormat="1" hidden="1" outlineLevel="1" x14ac:dyDescent="0.2">
      <c r="B41" s="81" t="s">
        <v>36</v>
      </c>
      <c r="D41" s="83">
        <f>D40*D22</f>
        <v>65958.812404245764</v>
      </c>
      <c r="E41" s="82"/>
      <c r="F41" s="82"/>
      <c r="G41" s="82"/>
      <c r="H41" s="82"/>
      <c r="I41" s="82"/>
      <c r="J41" s="82"/>
      <c r="K41" s="82"/>
      <c r="L41" s="82"/>
      <c r="M41" s="82"/>
      <c r="P41" s="95"/>
    </row>
    <row r="42" spans="2:18" s="30" customFormat="1" hidden="1" outlineLevel="1" x14ac:dyDescent="0.2">
      <c r="B42" s="31" t="s">
        <v>37</v>
      </c>
      <c r="D42" s="32">
        <f t="shared" ref="D42:M42" si="4">IF(D22=0,"",D40*D22*D25)</f>
        <v>5144.7873675311694</v>
      </c>
      <c r="E42" s="32" t="str">
        <f t="shared" si="4"/>
        <v/>
      </c>
      <c r="F42" s="32" t="str">
        <f t="shared" si="4"/>
        <v/>
      </c>
      <c r="G42" s="32" t="str">
        <f t="shared" si="4"/>
        <v/>
      </c>
      <c r="H42" s="32" t="str">
        <f t="shared" si="4"/>
        <v/>
      </c>
      <c r="I42" s="32" t="str">
        <f t="shared" si="4"/>
        <v/>
      </c>
      <c r="J42" s="32" t="str">
        <f t="shared" si="4"/>
        <v/>
      </c>
      <c r="K42" s="32" t="str">
        <f t="shared" si="4"/>
        <v/>
      </c>
      <c r="L42" s="32" t="str">
        <f t="shared" si="4"/>
        <v/>
      </c>
      <c r="M42" s="32" t="str">
        <f t="shared" si="4"/>
        <v/>
      </c>
      <c r="P42" s="95"/>
    </row>
    <row r="43" spans="2:18" s="36" customFormat="1" hidden="1" outlineLevel="1" x14ac:dyDescent="0.2">
      <c r="B43" s="34" t="s">
        <v>38</v>
      </c>
      <c r="D43" s="35">
        <f t="shared" ref="D43:M43" si="5">IF(D$1=0,"",SUM(D235:D596)/12)</f>
        <v>2.188478944927418</v>
      </c>
      <c r="E43" s="35" t="str">
        <f t="shared" si="5"/>
        <v/>
      </c>
      <c r="F43" s="35" t="str">
        <f t="shared" si="5"/>
        <v/>
      </c>
      <c r="G43" s="35" t="str">
        <f t="shared" si="5"/>
        <v/>
      </c>
      <c r="H43" s="35" t="str">
        <f t="shared" si="5"/>
        <v/>
      </c>
      <c r="I43" s="35" t="str">
        <f t="shared" si="5"/>
        <v/>
      </c>
      <c r="J43" s="35" t="str">
        <f t="shared" si="5"/>
        <v/>
      </c>
      <c r="K43" s="35" t="str">
        <f t="shared" si="5"/>
        <v/>
      </c>
      <c r="L43" s="35" t="str">
        <f t="shared" si="5"/>
        <v/>
      </c>
      <c r="M43" s="35" t="str">
        <f t="shared" si="5"/>
        <v/>
      </c>
    </row>
    <row r="44" spans="2:18" s="36" customFormat="1" hidden="1" outlineLevel="1" x14ac:dyDescent="0.2">
      <c r="B44" s="81" t="s">
        <v>36</v>
      </c>
      <c r="D44" s="83">
        <f>D43*D22</f>
        <v>65818.504268692093</v>
      </c>
      <c r="E44" s="82"/>
      <c r="F44" s="82"/>
      <c r="G44" s="82"/>
      <c r="H44" s="82"/>
      <c r="I44" s="82"/>
      <c r="J44" s="82"/>
      <c r="K44" s="82"/>
      <c r="L44" s="82"/>
      <c r="M44" s="82"/>
      <c r="P44" s="95"/>
    </row>
    <row r="45" spans="2:18" s="30" customFormat="1" hidden="1" outlineLevel="1" x14ac:dyDescent="0.2">
      <c r="B45" s="31" t="s">
        <v>39</v>
      </c>
      <c r="D45" s="33">
        <f t="shared" ref="D45:M45" si="6">IF(D22=0,"",D43*D22*D26)</f>
        <v>3916.2010039871793</v>
      </c>
      <c r="E45" s="33" t="str">
        <f t="shared" si="6"/>
        <v/>
      </c>
      <c r="F45" s="33" t="str">
        <f t="shared" si="6"/>
        <v/>
      </c>
      <c r="G45" s="33" t="str">
        <f t="shared" si="6"/>
        <v/>
      </c>
      <c r="H45" s="33" t="str">
        <f t="shared" si="6"/>
        <v/>
      </c>
      <c r="I45" s="33" t="str">
        <f t="shared" si="6"/>
        <v/>
      </c>
      <c r="J45" s="33" t="str">
        <f t="shared" si="6"/>
        <v/>
      </c>
      <c r="K45" s="33" t="str">
        <f t="shared" si="6"/>
        <v/>
      </c>
      <c r="L45" s="33" t="str">
        <f t="shared" si="6"/>
        <v/>
      </c>
      <c r="M45" s="33" t="str">
        <f t="shared" si="6"/>
        <v/>
      </c>
      <c r="O45" s="109"/>
      <c r="P45" s="95"/>
    </row>
    <row r="46" spans="2:18" s="30" customFormat="1" hidden="1" outlineLevel="1" x14ac:dyDescent="0.2">
      <c r="B46" s="37" t="s">
        <v>40</v>
      </c>
      <c r="C46" s="1"/>
      <c r="D46" s="40">
        <f t="shared" ref="D46:M46" si="7">IF(D22=0,"",D42-D45)</f>
        <v>1228.58636354399</v>
      </c>
      <c r="E46" s="40" t="str">
        <f t="shared" si="7"/>
        <v/>
      </c>
      <c r="F46" s="40" t="str">
        <f t="shared" si="7"/>
        <v/>
      </c>
      <c r="G46" s="40" t="str">
        <f t="shared" si="7"/>
        <v/>
      </c>
      <c r="H46" s="40" t="str">
        <f t="shared" si="7"/>
        <v/>
      </c>
      <c r="I46" s="40" t="str">
        <f t="shared" si="7"/>
        <v/>
      </c>
      <c r="J46" s="40" t="str">
        <f t="shared" si="7"/>
        <v/>
      </c>
      <c r="K46" s="40" t="str">
        <f t="shared" si="7"/>
        <v/>
      </c>
      <c r="L46" s="40" t="str">
        <f t="shared" si="7"/>
        <v/>
      </c>
      <c r="M46" s="40" t="str">
        <f t="shared" si="7"/>
        <v/>
      </c>
      <c r="O46" s="109"/>
    </row>
    <row r="47" spans="2:18" hidden="1" outlineLevel="1" x14ac:dyDescent="0.2">
      <c r="B47" s="38" t="s">
        <v>41</v>
      </c>
      <c r="D47" s="41">
        <f t="shared" ref="D47:M47" si="8">IF(D22=0,"",D33*D22)</f>
        <v>0</v>
      </c>
      <c r="E47" s="41" t="str">
        <f t="shared" si="8"/>
        <v/>
      </c>
      <c r="F47" s="41" t="str">
        <f t="shared" si="8"/>
        <v/>
      </c>
      <c r="G47" s="41" t="str">
        <f t="shared" si="8"/>
        <v/>
      </c>
      <c r="H47" s="41" t="str">
        <f t="shared" si="8"/>
        <v/>
      </c>
      <c r="I47" s="41" t="str">
        <f t="shared" si="8"/>
        <v/>
      </c>
      <c r="J47" s="41" t="str">
        <f t="shared" si="8"/>
        <v/>
      </c>
      <c r="K47" s="41" t="str">
        <f t="shared" si="8"/>
        <v/>
      </c>
      <c r="L47" s="41" t="str">
        <f t="shared" si="8"/>
        <v/>
      </c>
      <c r="M47" s="41" t="str">
        <f t="shared" si="8"/>
        <v/>
      </c>
    </row>
    <row r="48" spans="2:18" hidden="1" outlineLevel="1" x14ac:dyDescent="0.2">
      <c r="B48" s="38" t="s">
        <v>42</v>
      </c>
      <c r="D48" s="41">
        <f t="shared" ref="D48:M48" si="9">IF(D22=0,"",D22*D34)</f>
        <v>0</v>
      </c>
      <c r="E48" s="41" t="str">
        <f t="shared" si="9"/>
        <v/>
      </c>
      <c r="F48" s="41" t="str">
        <f t="shared" si="9"/>
        <v/>
      </c>
      <c r="G48" s="41" t="str">
        <f t="shared" si="9"/>
        <v/>
      </c>
      <c r="H48" s="41" t="str">
        <f t="shared" si="9"/>
        <v/>
      </c>
      <c r="I48" s="41" t="str">
        <f t="shared" si="9"/>
        <v/>
      </c>
      <c r="J48" s="41" t="str">
        <f t="shared" si="9"/>
        <v/>
      </c>
      <c r="K48" s="41" t="str">
        <f t="shared" si="9"/>
        <v/>
      </c>
      <c r="L48" s="41" t="str">
        <f t="shared" si="9"/>
        <v/>
      </c>
      <c r="M48" s="41" t="str">
        <f t="shared" si="9"/>
        <v/>
      </c>
      <c r="O48" s="110"/>
    </row>
    <row r="49" spans="2:18" hidden="1" outlineLevel="1" x14ac:dyDescent="0.2">
      <c r="B49" s="39" t="s">
        <v>43</v>
      </c>
      <c r="D49" s="42">
        <f t="shared" ref="D49:M49" si="10">IF(D22=0,"",D47-D48)</f>
        <v>0</v>
      </c>
      <c r="E49" s="42" t="str">
        <f t="shared" si="10"/>
        <v/>
      </c>
      <c r="F49" s="42" t="str">
        <f t="shared" si="10"/>
        <v/>
      </c>
      <c r="G49" s="42" t="str">
        <f t="shared" si="10"/>
        <v/>
      </c>
      <c r="H49" s="42" t="str">
        <f t="shared" si="10"/>
        <v/>
      </c>
      <c r="I49" s="42" t="str">
        <f t="shared" si="10"/>
        <v/>
      </c>
      <c r="J49" s="42" t="str">
        <f t="shared" si="10"/>
        <v/>
      </c>
      <c r="K49" s="42" t="str">
        <f t="shared" si="10"/>
        <v/>
      </c>
      <c r="L49" s="42" t="str">
        <f t="shared" si="10"/>
        <v/>
      </c>
      <c r="M49" s="42" t="str">
        <f t="shared" si="10"/>
        <v/>
      </c>
      <c r="O49" s="110"/>
      <c r="P49" s="95"/>
    </row>
    <row r="50" spans="2:18" collapsed="1" x14ac:dyDescent="0.2">
      <c r="D50" s="29"/>
    </row>
    <row r="51" spans="2:18" x14ac:dyDescent="0.2">
      <c r="D51" s="29"/>
    </row>
    <row r="52" spans="2:18" hidden="1" outlineLevel="1" x14ac:dyDescent="0.2">
      <c r="B52" s="21" t="s">
        <v>44</v>
      </c>
      <c r="R52" s="1">
        <v>607.70360000000005</v>
      </c>
    </row>
    <row r="53" spans="2:18" hidden="1" outlineLevel="1" x14ac:dyDescent="0.2">
      <c r="B53" s="2">
        <v>0</v>
      </c>
      <c r="D53" s="22">
        <f>IF(B53&lt;$D$24,(+CALCULETTE!T632/CALCULETTE!$B$612),0)</f>
        <v>0.995</v>
      </c>
      <c r="E53" s="22" t="str">
        <f t="shared" ref="E53:M53" si="11">IF(E$1=0,"",1)</f>
        <v/>
      </c>
      <c r="F53" s="22" t="str">
        <f t="shared" si="11"/>
        <v/>
      </c>
      <c r="G53" s="22" t="str">
        <f t="shared" si="11"/>
        <v/>
      </c>
      <c r="H53" s="22" t="str">
        <f t="shared" si="11"/>
        <v/>
      </c>
      <c r="I53" s="22" t="str">
        <f t="shared" si="11"/>
        <v/>
      </c>
      <c r="J53" s="22" t="str">
        <f t="shared" si="11"/>
        <v/>
      </c>
      <c r="K53" s="22" t="str">
        <f t="shared" si="11"/>
        <v/>
      </c>
      <c r="L53" s="22" t="str">
        <f t="shared" si="11"/>
        <v/>
      </c>
      <c r="M53" s="22" t="str">
        <f t="shared" si="11"/>
        <v/>
      </c>
      <c r="N53" s="103"/>
      <c r="O53" s="102"/>
      <c r="R53" s="1">
        <v>789.71069999999997</v>
      </c>
    </row>
    <row r="54" spans="2:18" hidden="1" outlineLevel="1" x14ac:dyDescent="0.2">
      <c r="B54" s="2">
        <f t="shared" ref="B54:B85" si="12">B53+1</f>
        <v>1</v>
      </c>
      <c r="D54" s="22">
        <f>IF(B54&lt;$D$24,(+CALCULETTE!T633/CALCULETTE!$B$612),0)</f>
        <v>0.98006904703726916</v>
      </c>
      <c r="E54" s="22" t="str">
        <f t="shared" ref="E54:E85" si="13">IF(E$1=0,"",IF($B54&lt;E$23,E53+PPMT(E$25/12,$B54,E$23,E$53,-E$27,0),IF($B54=E$23,E53+PPMT(E$25/12,$B54,E$23,E$53,-E$27,0)-E$27,0)))</f>
        <v/>
      </c>
      <c r="F54" s="22" t="str">
        <f t="shared" ref="F54:F85" si="14">IF(F$1=0,"",IF($B54&lt;F$23,F53+PPMT(F$25/12,$B54,F$23,F$53,-F$27,0),IF($B54=F$23,F53+PPMT(F$25/12,$B54,F$23,F$53,-F$27,0)-F$27,0)))</f>
        <v/>
      </c>
      <c r="G54" s="22" t="str">
        <f t="shared" ref="G54:G85" si="15">IF(G$1=0,"",IF($B54&lt;G$23,G53+PPMT(G$25/12,$B54,G$23,G$53,-G$27,0),IF($B54=G$23,G53+PPMT(G$25/12,$B54,G$23,G$53,-G$27,0)-G$27,0)))</f>
        <v/>
      </c>
      <c r="H54" s="22" t="str">
        <f t="shared" ref="H54:H85" si="16">IF(H$1=0,"",IF($B54&lt;H$23,H53+PPMT(H$25/12,$B54,H$23,H$53,-H$27,0),IF($B54=H$23,H53+PPMT(H$25/12,$B54,H$23,H$53,-H$27,0)-H$27,0)))</f>
        <v/>
      </c>
      <c r="I54" s="22" t="str">
        <f t="shared" ref="I54:I85" si="17">IF(I$1=0,"",IF($B54&lt;I$23,I53+PPMT(I$25/12,$B54,I$23,I$53,-I$27,0),IF($B54=I$23,I53+PPMT(I$25/12,$B54,I$23,I$53,-I$27,0)-I$27,0)))</f>
        <v/>
      </c>
      <c r="J54" s="22" t="str">
        <f t="shared" ref="J54:J85" si="18">IF(J$1=0,"",IF($B54&lt;J$23,J53+PPMT(J$25/12,$B54,J$23,J$53,-J$27,0),IF($B54=J$23,J53+PPMT(J$25/12,$B54,J$23,J$53,-J$27,0)-J$27,0)))</f>
        <v/>
      </c>
      <c r="K54" s="22" t="str">
        <f t="shared" ref="K54:K85" si="19">IF(K$1=0,"",IF($B54&lt;K$23,K53+PPMT(K$25/12,$B54,K$23,K$53,-K$27,0),IF($B54=K$23,K53+PPMT(K$25/12,$B54,K$23,K$53,-K$27,0)-K$27,0)))</f>
        <v/>
      </c>
      <c r="L54" s="22" t="str">
        <f t="shared" ref="L54:L85" si="20">IF(L$1=0,"",IF($B54&lt;L$23,L53+PPMT(L$25/12,$B54,L$23,L$53,-L$27,0),IF($B54=L$23,L53+PPMT(L$25/12,$B54,L$23,L$53,-L$27,0)-L$27,0)))</f>
        <v/>
      </c>
      <c r="M54" s="22" t="str">
        <f t="shared" ref="M54:M85" si="21">IF(M$1=0,"",IF($B54&lt;M$23,M53+PPMT(M$25/12,$B54,M$23,M$53,-M$27,0),IF($B54=M$23,M53+PPMT(M$25/12,$B54,M$23,M$53,-M$27,0)-M$27,0)))</f>
        <v/>
      </c>
      <c r="N54" s="103"/>
      <c r="O54" s="102"/>
      <c r="R54" s="1">
        <v>670.68190000000004</v>
      </c>
    </row>
    <row r="55" spans="2:18" hidden="1" outlineLevel="1" x14ac:dyDescent="0.2">
      <c r="B55" s="2">
        <f t="shared" si="12"/>
        <v>2</v>
      </c>
      <c r="D55" s="22">
        <f>IF(B55&lt;$D$24,(+CALCULETTE!T634/CALCULETTE!$B$612),0)</f>
        <v>0.9651981384783791</v>
      </c>
      <c r="E55" s="22" t="str">
        <f t="shared" si="13"/>
        <v/>
      </c>
      <c r="F55" s="22" t="str">
        <f t="shared" si="14"/>
        <v/>
      </c>
      <c r="G55" s="22" t="str">
        <f t="shared" si="15"/>
        <v/>
      </c>
      <c r="H55" s="22" t="str">
        <f t="shared" si="16"/>
        <v/>
      </c>
      <c r="I55" s="22" t="str">
        <f t="shared" si="17"/>
        <v/>
      </c>
      <c r="J55" s="22" t="str">
        <f t="shared" si="18"/>
        <v/>
      </c>
      <c r="K55" s="22" t="str">
        <f t="shared" si="19"/>
        <v/>
      </c>
      <c r="L55" s="22" t="str">
        <f t="shared" si="20"/>
        <v/>
      </c>
      <c r="M55" s="22" t="str">
        <f t="shared" si="21"/>
        <v/>
      </c>
      <c r="N55" s="103"/>
      <c r="O55" s="102"/>
      <c r="R55" s="1">
        <v>720.06370000000004</v>
      </c>
    </row>
    <row r="56" spans="2:18" hidden="1" outlineLevel="1" x14ac:dyDescent="0.2">
      <c r="B56" s="2">
        <f t="shared" si="12"/>
        <v>3</v>
      </c>
      <c r="D56" s="22">
        <f>IF(B56&lt;$D$24,(+CALCULETTE!T635/CALCULETTE!$B$612),0)</f>
        <v>0.9503869526606058</v>
      </c>
      <c r="E56" s="22" t="str">
        <f t="shared" si="13"/>
        <v/>
      </c>
      <c r="F56" s="22" t="str">
        <f t="shared" si="14"/>
        <v/>
      </c>
      <c r="G56" s="22" t="str">
        <f t="shared" si="15"/>
        <v/>
      </c>
      <c r="H56" s="22" t="str">
        <f t="shared" si="16"/>
        <v/>
      </c>
      <c r="I56" s="22" t="str">
        <f t="shared" si="17"/>
        <v/>
      </c>
      <c r="J56" s="22" t="str">
        <f t="shared" si="18"/>
        <v/>
      </c>
      <c r="K56" s="22" t="str">
        <f t="shared" si="19"/>
        <v/>
      </c>
      <c r="L56" s="22" t="str">
        <f t="shared" si="20"/>
        <v/>
      </c>
      <c r="M56" s="22" t="str">
        <f t="shared" si="21"/>
        <v/>
      </c>
      <c r="N56" s="103"/>
      <c r="O56" s="102"/>
      <c r="R56" s="1">
        <v>326.07979999999998</v>
      </c>
    </row>
    <row r="57" spans="2:18" hidden="1" outlineLevel="1" x14ac:dyDescent="0.2">
      <c r="B57" s="2">
        <f t="shared" si="12"/>
        <v>4</v>
      </c>
      <c r="D57" s="22">
        <f>IF(B57&lt;$D$24,(+CALCULETTE!T636/CALCULETTE!$B$612),0)</f>
        <v>0.93563516949807501</v>
      </c>
      <c r="E57" s="22" t="str">
        <f t="shared" si="13"/>
        <v/>
      </c>
      <c r="F57" s="22" t="str">
        <f t="shared" si="14"/>
        <v/>
      </c>
      <c r="G57" s="22" t="str">
        <f t="shared" si="15"/>
        <v/>
      </c>
      <c r="H57" s="22" t="str">
        <f t="shared" si="16"/>
        <v/>
      </c>
      <c r="I57" s="22" t="str">
        <f t="shared" si="17"/>
        <v/>
      </c>
      <c r="J57" s="22" t="str">
        <f t="shared" si="18"/>
        <v/>
      </c>
      <c r="K57" s="22" t="str">
        <f t="shared" si="19"/>
        <v/>
      </c>
      <c r="L57" s="22" t="str">
        <f t="shared" si="20"/>
        <v/>
      </c>
      <c r="M57" s="22" t="str">
        <f t="shared" si="21"/>
        <v/>
      </c>
      <c r="N57" s="103"/>
      <c r="O57" s="102"/>
      <c r="R57" s="1">
        <v>731.30920000000003</v>
      </c>
    </row>
    <row r="58" spans="2:18" hidden="1" outlineLevel="1" x14ac:dyDescent="0.2">
      <c r="B58" s="2">
        <f t="shared" si="12"/>
        <v>5</v>
      </c>
      <c r="D58" s="22">
        <f>IF(B58&lt;$D$24,(+CALCULETTE!T637/CALCULETTE!$B$612),0)</f>
        <v>0.92094247047383104</v>
      </c>
      <c r="E58" s="22" t="str">
        <f t="shared" si="13"/>
        <v/>
      </c>
      <c r="F58" s="22" t="str">
        <f t="shared" si="14"/>
        <v/>
      </c>
      <c r="G58" s="22" t="str">
        <f t="shared" si="15"/>
        <v/>
      </c>
      <c r="H58" s="22" t="str">
        <f t="shared" si="16"/>
        <v/>
      </c>
      <c r="I58" s="22" t="str">
        <f t="shared" si="17"/>
        <v/>
      </c>
      <c r="J58" s="22" t="str">
        <f t="shared" si="18"/>
        <v/>
      </c>
      <c r="K58" s="22" t="str">
        <f t="shared" si="19"/>
        <v/>
      </c>
      <c r="L58" s="22" t="str">
        <f t="shared" si="20"/>
        <v/>
      </c>
      <c r="M58" s="22" t="str">
        <f t="shared" si="21"/>
        <v/>
      </c>
      <c r="N58" s="103"/>
      <c r="O58" s="102"/>
      <c r="R58" s="1">
        <v>414.49380000000002</v>
      </c>
    </row>
    <row r="59" spans="2:18" hidden="1" outlineLevel="1" x14ac:dyDescent="0.2">
      <c r="B59" s="2">
        <f t="shared" si="12"/>
        <v>6</v>
      </c>
      <c r="D59" s="22">
        <f>IF(B59&lt;$D$24,(+CALCULETTE!T638/CALCULETTE!$B$612),0)</f>
        <v>0.90630853863194638</v>
      </c>
      <c r="E59" s="22" t="str">
        <f t="shared" si="13"/>
        <v/>
      </c>
      <c r="F59" s="22" t="str">
        <f t="shared" si="14"/>
        <v/>
      </c>
      <c r="G59" s="22" t="str">
        <f t="shared" si="15"/>
        <v/>
      </c>
      <c r="H59" s="22" t="str">
        <f t="shared" si="16"/>
        <v/>
      </c>
      <c r="I59" s="22" t="str">
        <f t="shared" si="17"/>
        <v/>
      </c>
      <c r="J59" s="22" t="str">
        <f t="shared" si="18"/>
        <v/>
      </c>
      <c r="K59" s="22" t="str">
        <f t="shared" si="19"/>
        <v/>
      </c>
      <c r="L59" s="22" t="str">
        <f t="shared" si="20"/>
        <v/>
      </c>
      <c r="M59" s="22" t="str">
        <f t="shared" si="21"/>
        <v/>
      </c>
      <c r="N59" s="103"/>
      <c r="O59" s="102"/>
      <c r="R59" s="1">
        <v>570.59929999999997</v>
      </c>
    </row>
    <row r="60" spans="2:18" hidden="1" outlineLevel="1" x14ac:dyDescent="0.2">
      <c r="B60" s="2">
        <f t="shared" si="12"/>
        <v>7</v>
      </c>
      <c r="D60" s="22">
        <f>IF(B60&lt;$D$24,(+CALCULETTE!T639/CALCULETTE!$B$612),0)</f>
        <v>0.89173305856967011</v>
      </c>
      <c r="E60" s="22" t="str">
        <f t="shared" si="13"/>
        <v/>
      </c>
      <c r="F60" s="22" t="str">
        <f t="shared" si="14"/>
        <v/>
      </c>
      <c r="G60" s="22" t="str">
        <f t="shared" si="15"/>
        <v/>
      </c>
      <c r="H60" s="22" t="str">
        <f t="shared" si="16"/>
        <v/>
      </c>
      <c r="I60" s="22" t="str">
        <f t="shared" si="17"/>
        <v/>
      </c>
      <c r="J60" s="22" t="str">
        <f t="shared" si="18"/>
        <v/>
      </c>
      <c r="K60" s="22" t="str">
        <f t="shared" si="19"/>
        <v/>
      </c>
      <c r="L60" s="22" t="str">
        <f t="shared" si="20"/>
        <v/>
      </c>
      <c r="M60" s="22" t="str">
        <f t="shared" si="21"/>
        <v/>
      </c>
      <c r="N60" s="103"/>
      <c r="O60" s="102"/>
      <c r="R60" s="1">
        <v>701.29100000000005</v>
      </c>
    </row>
    <row r="61" spans="2:18" hidden="1" outlineLevel="1" x14ac:dyDescent="0.2">
      <c r="B61" s="2">
        <f t="shared" si="12"/>
        <v>8</v>
      </c>
      <c r="D61" s="22">
        <f>IF(B61&lt;$D$24,(+CALCULETTE!T640/CALCULETTE!$B$612),0)</f>
        <v>0.87721571642961615</v>
      </c>
      <c r="E61" s="22" t="str">
        <f t="shared" si="13"/>
        <v/>
      </c>
      <c r="F61" s="22" t="str">
        <f t="shared" si="14"/>
        <v/>
      </c>
      <c r="G61" s="22" t="str">
        <f t="shared" si="15"/>
        <v/>
      </c>
      <c r="H61" s="22" t="str">
        <f t="shared" si="16"/>
        <v/>
      </c>
      <c r="I61" s="22" t="str">
        <f t="shared" si="17"/>
        <v/>
      </c>
      <c r="J61" s="22" t="str">
        <f t="shared" si="18"/>
        <v/>
      </c>
      <c r="K61" s="22" t="str">
        <f t="shared" si="19"/>
        <v/>
      </c>
      <c r="L61" s="22" t="str">
        <f t="shared" si="20"/>
        <v/>
      </c>
      <c r="M61" s="22" t="str">
        <f t="shared" si="21"/>
        <v/>
      </c>
      <c r="N61" s="103"/>
      <c r="O61" s="102"/>
      <c r="R61" s="1">
        <v>411.47719999999998</v>
      </c>
    </row>
    <row r="62" spans="2:18" hidden="1" outlineLevel="1" x14ac:dyDescent="0.2">
      <c r="B62" s="2">
        <f t="shared" si="12"/>
        <v>9</v>
      </c>
      <c r="D62" s="22">
        <f>IF(B62&lt;$D$24,(+CALCULETTE!T641/CALCULETTE!$B$612),0)</f>
        <v>0.86275619989198926</v>
      </c>
      <c r="E62" s="22" t="str">
        <f t="shared" si="13"/>
        <v/>
      </c>
      <c r="F62" s="22" t="str">
        <f t="shared" si="14"/>
        <v/>
      </c>
      <c r="G62" s="22" t="str">
        <f t="shared" si="15"/>
        <v/>
      </c>
      <c r="H62" s="22" t="str">
        <f t="shared" si="16"/>
        <v/>
      </c>
      <c r="I62" s="22" t="str">
        <f t="shared" si="17"/>
        <v/>
      </c>
      <c r="J62" s="22" t="str">
        <f t="shared" si="18"/>
        <v/>
      </c>
      <c r="K62" s="22" t="str">
        <f t="shared" si="19"/>
        <v/>
      </c>
      <c r="L62" s="22" t="str">
        <f t="shared" si="20"/>
        <v/>
      </c>
      <c r="M62" s="22" t="str">
        <f t="shared" si="21"/>
        <v/>
      </c>
      <c r="N62" s="103"/>
      <c r="O62" s="102"/>
      <c r="R62" s="1">
        <v>629.67020000000002</v>
      </c>
    </row>
    <row r="63" spans="2:18" hidden="1" outlineLevel="1" x14ac:dyDescent="0.2">
      <c r="B63" s="2">
        <f t="shared" si="12"/>
        <v>10</v>
      </c>
      <c r="D63" s="22">
        <f>IF(B63&lt;$D$24,(+CALCULETTE!T642/CALCULETTE!$B$612),0)</f>
        <v>0.84835419816685065</v>
      </c>
      <c r="E63" s="22" t="str">
        <f t="shared" si="13"/>
        <v/>
      </c>
      <c r="F63" s="22" t="str">
        <f t="shared" si="14"/>
        <v/>
      </c>
      <c r="G63" s="22" t="str">
        <f t="shared" si="15"/>
        <v/>
      </c>
      <c r="H63" s="22" t="str">
        <f t="shared" si="16"/>
        <v/>
      </c>
      <c r="I63" s="22" t="str">
        <f t="shared" si="17"/>
        <v/>
      </c>
      <c r="J63" s="22" t="str">
        <f t="shared" si="18"/>
        <v/>
      </c>
      <c r="K63" s="22" t="str">
        <f t="shared" si="19"/>
        <v/>
      </c>
      <c r="L63" s="22" t="str">
        <f t="shared" si="20"/>
        <v/>
      </c>
      <c r="M63" s="22" t="str">
        <f t="shared" si="21"/>
        <v/>
      </c>
      <c r="N63" s="103"/>
      <c r="O63" s="102"/>
      <c r="R63" s="1">
        <v>745.95330000000001</v>
      </c>
    </row>
    <row r="64" spans="2:18" hidden="1" outlineLevel="1" x14ac:dyDescent="0.2">
      <c r="B64" s="2">
        <f t="shared" si="12"/>
        <v>11</v>
      </c>
      <c r="D64" s="22">
        <f>IF(B64&lt;$D$24,(+CALCULETTE!T643/CALCULETTE!$B$612),0)</f>
        <v>0.83400940198642304</v>
      </c>
      <c r="E64" s="22" t="str">
        <f t="shared" si="13"/>
        <v/>
      </c>
      <c r="F64" s="22" t="str">
        <f t="shared" si="14"/>
        <v/>
      </c>
      <c r="G64" s="22" t="str">
        <f t="shared" si="15"/>
        <v/>
      </c>
      <c r="H64" s="22" t="str">
        <f t="shared" si="16"/>
        <v/>
      </c>
      <c r="I64" s="22" t="str">
        <f t="shared" si="17"/>
        <v/>
      </c>
      <c r="J64" s="22" t="str">
        <f t="shared" si="18"/>
        <v/>
      </c>
      <c r="K64" s="22" t="str">
        <f t="shared" si="19"/>
        <v/>
      </c>
      <c r="L64" s="22" t="str">
        <f t="shared" si="20"/>
        <v/>
      </c>
      <c r="M64" s="22" t="str">
        <f t="shared" si="21"/>
        <v/>
      </c>
      <c r="N64" s="103"/>
      <c r="O64" s="102"/>
      <c r="R64" s="1">
        <v>584.23019999999997</v>
      </c>
    </row>
    <row r="65" spans="2:18" hidden="1" outlineLevel="1" x14ac:dyDescent="0.2">
      <c r="B65" s="2">
        <f t="shared" si="12"/>
        <v>12</v>
      </c>
      <c r="D65" s="22">
        <f>IF(B65&lt;$D$24,(+CALCULETTE!T644/CALCULETTE!$B$612),0)</f>
        <v>0.81972150359743179</v>
      </c>
      <c r="E65" s="22" t="str">
        <f t="shared" si="13"/>
        <v/>
      </c>
      <c r="F65" s="22" t="str">
        <f t="shared" si="14"/>
        <v/>
      </c>
      <c r="G65" s="22" t="str">
        <f t="shared" si="15"/>
        <v/>
      </c>
      <c r="H65" s="22" t="str">
        <f t="shared" si="16"/>
        <v/>
      </c>
      <c r="I65" s="22" t="str">
        <f t="shared" si="17"/>
        <v/>
      </c>
      <c r="J65" s="22" t="str">
        <f t="shared" si="18"/>
        <v/>
      </c>
      <c r="K65" s="22" t="str">
        <f t="shared" si="19"/>
        <v/>
      </c>
      <c r="L65" s="22" t="str">
        <f t="shared" si="20"/>
        <v/>
      </c>
      <c r="M65" s="22" t="str">
        <f t="shared" si="21"/>
        <v/>
      </c>
      <c r="N65" s="103"/>
      <c r="O65" s="102"/>
      <c r="R65" s="1">
        <v>607.70209999999997</v>
      </c>
    </row>
    <row r="66" spans="2:18" hidden="1" outlineLevel="1" x14ac:dyDescent="0.2">
      <c r="B66" s="2">
        <f t="shared" si="12"/>
        <v>13</v>
      </c>
      <c r="D66" s="22">
        <f>IF(B66&lt;$D$24,(+CALCULETTE!T645/CALCULETTE!$B$612),0)</f>
        <v>0.80549019675348665</v>
      </c>
      <c r="E66" s="22" t="str">
        <f t="shared" si="13"/>
        <v/>
      </c>
      <c r="F66" s="22" t="str">
        <f t="shared" si="14"/>
        <v/>
      </c>
      <c r="G66" s="22" t="str">
        <f t="shared" si="15"/>
        <v/>
      </c>
      <c r="H66" s="22" t="str">
        <f t="shared" si="16"/>
        <v/>
      </c>
      <c r="I66" s="22" t="str">
        <f t="shared" si="17"/>
        <v/>
      </c>
      <c r="J66" s="22" t="str">
        <f t="shared" si="18"/>
        <v/>
      </c>
      <c r="K66" s="22" t="str">
        <f t="shared" si="19"/>
        <v/>
      </c>
      <c r="L66" s="22" t="str">
        <f t="shared" si="20"/>
        <v/>
      </c>
      <c r="M66" s="22" t="str">
        <f t="shared" si="21"/>
        <v/>
      </c>
      <c r="N66" s="103"/>
      <c r="O66" s="102"/>
      <c r="R66" s="1">
        <v>323.62909999999999</v>
      </c>
    </row>
    <row r="67" spans="2:18" hidden="1" outlineLevel="1" x14ac:dyDescent="0.2">
      <c r="B67" s="2">
        <f t="shared" si="12"/>
        <v>14</v>
      </c>
      <c r="D67" s="22">
        <f>IF(B67&lt;$D$24,(+CALCULETTE!T646/CALCULETTE!$B$612),0)</f>
        <v>0.7913151767075004</v>
      </c>
      <c r="E67" s="22" t="str">
        <f t="shared" si="13"/>
        <v/>
      </c>
      <c r="F67" s="22" t="str">
        <f t="shared" si="14"/>
        <v/>
      </c>
      <c r="G67" s="22" t="str">
        <f t="shared" si="15"/>
        <v/>
      </c>
      <c r="H67" s="22" t="str">
        <f t="shared" si="16"/>
        <v/>
      </c>
      <c r="I67" s="22" t="str">
        <f t="shared" si="17"/>
        <v/>
      </c>
      <c r="J67" s="22" t="str">
        <f t="shared" si="18"/>
        <v/>
      </c>
      <c r="K67" s="22" t="str">
        <f t="shared" si="19"/>
        <v/>
      </c>
      <c r="L67" s="22" t="str">
        <f t="shared" si="20"/>
        <v/>
      </c>
      <c r="M67" s="22" t="str">
        <f t="shared" si="21"/>
        <v/>
      </c>
      <c r="N67" s="103"/>
      <c r="O67" s="102"/>
      <c r="R67" s="1">
        <v>309.87040000000002</v>
      </c>
    </row>
    <row r="68" spans="2:18" hidden="1" outlineLevel="1" x14ac:dyDescent="0.2">
      <c r="B68" s="2">
        <f t="shared" si="12"/>
        <v>15</v>
      </c>
      <c r="D68" s="22">
        <f>IF(B68&lt;$D$24,(+CALCULETTE!T647/CALCULETTE!$B$612),0)</f>
        <v>0.77719614020414518</v>
      </c>
      <c r="E68" s="22" t="str">
        <f t="shared" si="13"/>
        <v/>
      </c>
      <c r="F68" s="22" t="str">
        <f t="shared" si="14"/>
        <v/>
      </c>
      <c r="G68" s="22" t="str">
        <f t="shared" si="15"/>
        <v/>
      </c>
      <c r="H68" s="22" t="str">
        <f t="shared" si="16"/>
        <v/>
      </c>
      <c r="I68" s="22" t="str">
        <f t="shared" si="17"/>
        <v/>
      </c>
      <c r="J68" s="22" t="str">
        <f t="shared" si="18"/>
        <v/>
      </c>
      <c r="K68" s="22" t="str">
        <f t="shared" si="19"/>
        <v/>
      </c>
      <c r="L68" s="22" t="str">
        <f t="shared" si="20"/>
        <v/>
      </c>
      <c r="M68" s="22" t="str">
        <f t="shared" si="21"/>
        <v/>
      </c>
      <c r="N68" s="103"/>
      <c r="O68" s="102"/>
      <c r="R68" s="1">
        <v>807.03110000000004</v>
      </c>
    </row>
    <row r="69" spans="2:18" hidden="1" outlineLevel="1" x14ac:dyDescent="0.2">
      <c r="B69" s="2">
        <f t="shared" si="12"/>
        <v>16</v>
      </c>
      <c r="D69" s="22">
        <f>IF(B69&lt;$D$24,(+CALCULETTE!T648/CALCULETTE!$B$612),0)</f>
        <v>0.76313278547234731</v>
      </c>
      <c r="E69" s="22" t="str">
        <f t="shared" si="13"/>
        <v/>
      </c>
      <c r="F69" s="22" t="str">
        <f t="shared" si="14"/>
        <v/>
      </c>
      <c r="G69" s="22" t="str">
        <f t="shared" si="15"/>
        <v/>
      </c>
      <c r="H69" s="22" t="str">
        <f t="shared" si="16"/>
        <v/>
      </c>
      <c r="I69" s="22" t="str">
        <f t="shared" si="17"/>
        <v/>
      </c>
      <c r="J69" s="22" t="str">
        <f t="shared" si="18"/>
        <v/>
      </c>
      <c r="K69" s="22" t="str">
        <f t="shared" si="19"/>
        <v/>
      </c>
      <c r="L69" s="22" t="str">
        <f t="shared" si="20"/>
        <v/>
      </c>
      <c r="M69" s="22" t="str">
        <f t="shared" si="21"/>
        <v/>
      </c>
      <c r="N69" s="103"/>
      <c r="O69" s="102"/>
      <c r="R69" s="1">
        <v>590.50289999999995</v>
      </c>
    </row>
    <row r="70" spans="2:18" hidden="1" outlineLevel="1" x14ac:dyDescent="0.2">
      <c r="B70" s="2">
        <f t="shared" si="12"/>
        <v>17</v>
      </c>
      <c r="D70" s="22">
        <f>IF(B70&lt;$D$24,(+CALCULETTE!T649/CALCULETTE!$B$612),0)</f>
        <v>0.74912481221781824</v>
      </c>
      <c r="E70" s="22" t="str">
        <f t="shared" si="13"/>
        <v/>
      </c>
      <c r="F70" s="22" t="str">
        <f t="shared" si="14"/>
        <v/>
      </c>
      <c r="G70" s="22" t="str">
        <f t="shared" si="15"/>
        <v/>
      </c>
      <c r="H70" s="22" t="str">
        <f t="shared" si="16"/>
        <v/>
      </c>
      <c r="I70" s="22" t="str">
        <f t="shared" si="17"/>
        <v/>
      </c>
      <c r="J70" s="22" t="str">
        <f t="shared" si="18"/>
        <v/>
      </c>
      <c r="K70" s="22" t="str">
        <f t="shared" si="19"/>
        <v/>
      </c>
      <c r="L70" s="22" t="str">
        <f t="shared" si="20"/>
        <v/>
      </c>
      <c r="M70" s="22" t="str">
        <f t="shared" si="21"/>
        <v/>
      </c>
      <c r="N70" s="103"/>
      <c r="O70" s="102"/>
      <c r="R70" s="1">
        <v>407.3501</v>
      </c>
    </row>
    <row r="71" spans="2:18" hidden="1" outlineLevel="1" x14ac:dyDescent="0.2">
      <c r="B71" s="2">
        <f t="shared" si="12"/>
        <v>18</v>
      </c>
      <c r="D71" s="22">
        <f>IF(B71&lt;$D$24,(+CALCULETTE!T650/CALCULETTE!$B$612),0)</f>
        <v>0.73517192161562406</v>
      </c>
      <c r="E71" s="22" t="str">
        <f t="shared" si="13"/>
        <v/>
      </c>
      <c r="F71" s="22" t="str">
        <f t="shared" si="14"/>
        <v/>
      </c>
      <c r="G71" s="22" t="str">
        <f t="shared" si="15"/>
        <v/>
      </c>
      <c r="H71" s="22" t="str">
        <f t="shared" si="16"/>
        <v/>
      </c>
      <c r="I71" s="22" t="str">
        <f t="shared" si="17"/>
        <v/>
      </c>
      <c r="J71" s="22" t="str">
        <f t="shared" si="18"/>
        <v/>
      </c>
      <c r="K71" s="22" t="str">
        <f t="shared" si="19"/>
        <v/>
      </c>
      <c r="L71" s="22" t="str">
        <f t="shared" si="20"/>
        <v/>
      </c>
      <c r="M71" s="22" t="str">
        <f t="shared" si="21"/>
        <v/>
      </c>
      <c r="N71" s="103"/>
      <c r="O71" s="102"/>
      <c r="R71" s="1">
        <v>603.94920000000002</v>
      </c>
    </row>
    <row r="72" spans="2:18" hidden="1" outlineLevel="1" x14ac:dyDescent="0.2">
      <c r="B72" s="2">
        <f t="shared" si="12"/>
        <v>19</v>
      </c>
      <c r="D72" s="22">
        <f>IF(B72&lt;$D$24,(+CALCULETTE!T651/CALCULETTE!$B$612),0)</f>
        <v>0.72127381630279197</v>
      </c>
      <c r="E72" s="22" t="str">
        <f t="shared" si="13"/>
        <v/>
      </c>
      <c r="F72" s="22" t="str">
        <f t="shared" si="14"/>
        <v/>
      </c>
      <c r="G72" s="22" t="str">
        <f t="shared" si="15"/>
        <v/>
      </c>
      <c r="H72" s="22" t="str">
        <f t="shared" si="16"/>
        <v/>
      </c>
      <c r="I72" s="22" t="str">
        <f t="shared" si="17"/>
        <v/>
      </c>
      <c r="J72" s="22" t="str">
        <f t="shared" si="18"/>
        <v/>
      </c>
      <c r="K72" s="22" t="str">
        <f t="shared" si="19"/>
        <v/>
      </c>
      <c r="L72" s="22" t="str">
        <f t="shared" si="20"/>
        <v/>
      </c>
      <c r="M72" s="22" t="str">
        <f t="shared" si="21"/>
        <v/>
      </c>
      <c r="N72" s="103"/>
      <c r="O72" s="102"/>
      <c r="R72" s="1">
        <v>374.84609999999998</v>
      </c>
    </row>
    <row r="73" spans="2:18" hidden="1" outlineLevel="1" x14ac:dyDescent="0.2">
      <c r="B73" s="2">
        <f t="shared" si="12"/>
        <v>20</v>
      </c>
      <c r="D73" s="22">
        <f>IF(B73&lt;$D$24,(+CALCULETTE!T652/CALCULETTE!$B$612),0)</f>
        <v>0.70743020037095217</v>
      </c>
      <c r="E73" s="22" t="str">
        <f t="shared" si="13"/>
        <v/>
      </c>
      <c r="F73" s="22" t="str">
        <f t="shared" si="14"/>
        <v/>
      </c>
      <c r="G73" s="22" t="str">
        <f t="shared" si="15"/>
        <v/>
      </c>
      <c r="H73" s="22" t="str">
        <f t="shared" si="16"/>
        <v/>
      </c>
      <c r="I73" s="22" t="str">
        <f t="shared" si="17"/>
        <v/>
      </c>
      <c r="J73" s="22" t="str">
        <f t="shared" si="18"/>
        <v/>
      </c>
      <c r="K73" s="22" t="str">
        <f t="shared" si="19"/>
        <v/>
      </c>
      <c r="L73" s="22" t="str">
        <f t="shared" si="20"/>
        <v/>
      </c>
      <c r="M73" s="22" t="str">
        <f t="shared" si="21"/>
        <v/>
      </c>
      <c r="N73" s="103"/>
      <c r="O73" s="102"/>
      <c r="R73" s="1">
        <v>868.67020000000002</v>
      </c>
    </row>
    <row r="74" spans="2:18" hidden="1" outlineLevel="1" x14ac:dyDescent="0.2">
      <c r="B74" s="2">
        <f t="shared" si="12"/>
        <v>21</v>
      </c>
      <c r="D74" s="22">
        <f>IF(B74&lt;$D$24,(+CALCULETTE!T653/CALCULETTE!$B$612),0)</f>
        <v>0.69364077935901891</v>
      </c>
      <c r="E74" s="22" t="str">
        <f t="shared" si="13"/>
        <v/>
      </c>
      <c r="F74" s="22" t="str">
        <f t="shared" si="14"/>
        <v/>
      </c>
      <c r="G74" s="22" t="str">
        <f t="shared" si="15"/>
        <v/>
      </c>
      <c r="H74" s="22" t="str">
        <f t="shared" si="16"/>
        <v/>
      </c>
      <c r="I74" s="22" t="str">
        <f t="shared" si="17"/>
        <v/>
      </c>
      <c r="J74" s="22" t="str">
        <f t="shared" si="18"/>
        <v/>
      </c>
      <c r="K74" s="22" t="str">
        <f t="shared" si="19"/>
        <v/>
      </c>
      <c r="L74" s="22" t="str">
        <f t="shared" si="20"/>
        <v/>
      </c>
      <c r="M74" s="22" t="str">
        <f t="shared" si="21"/>
        <v/>
      </c>
      <c r="N74" s="103"/>
      <c r="O74" s="102"/>
      <c r="R74" s="1">
        <v>749.20159999999998</v>
      </c>
    </row>
    <row r="75" spans="2:18" hidden="1" outlineLevel="1" x14ac:dyDescent="0.2">
      <c r="B75" s="2">
        <f t="shared" si="12"/>
        <v>22</v>
      </c>
      <c r="D75" s="22">
        <f>IF(B75&lt;$D$24,(+CALCULETTE!T654/CALCULETTE!$B$612),0)</f>
        <v>0.67990526024590536</v>
      </c>
      <c r="E75" s="22" t="str">
        <f t="shared" si="13"/>
        <v/>
      </c>
      <c r="F75" s="22" t="str">
        <f t="shared" si="14"/>
        <v/>
      </c>
      <c r="G75" s="22" t="str">
        <f t="shared" si="15"/>
        <v/>
      </c>
      <c r="H75" s="22" t="str">
        <f t="shared" si="16"/>
        <v/>
      </c>
      <c r="I75" s="22" t="str">
        <f t="shared" si="17"/>
        <v/>
      </c>
      <c r="J75" s="22" t="str">
        <f t="shared" si="18"/>
        <v/>
      </c>
      <c r="K75" s="22" t="str">
        <f t="shared" si="19"/>
        <v/>
      </c>
      <c r="L75" s="22" t="str">
        <f t="shared" si="20"/>
        <v/>
      </c>
      <c r="M75" s="22" t="str">
        <f t="shared" si="21"/>
        <v/>
      </c>
      <c r="N75" s="103"/>
      <c r="O75" s="102"/>
      <c r="R75" s="1">
        <v>858.01520000000005</v>
      </c>
    </row>
    <row r="76" spans="2:18" hidden="1" outlineLevel="1" x14ac:dyDescent="0.2">
      <c r="B76" s="2">
        <f t="shared" si="12"/>
        <v>23</v>
      </c>
      <c r="D76" s="22">
        <f>IF(B76&lt;$D$24,(+CALCULETTE!T655/CALCULETTE!$B$612),0)</f>
        <v>0.66622335144327749</v>
      </c>
      <c r="E76" s="22" t="str">
        <f t="shared" si="13"/>
        <v/>
      </c>
      <c r="F76" s="22" t="str">
        <f t="shared" si="14"/>
        <v/>
      </c>
      <c r="G76" s="22" t="str">
        <f t="shared" si="15"/>
        <v/>
      </c>
      <c r="H76" s="22" t="str">
        <f t="shared" si="16"/>
        <v/>
      </c>
      <c r="I76" s="22" t="str">
        <f t="shared" si="17"/>
        <v/>
      </c>
      <c r="J76" s="22" t="str">
        <f t="shared" si="18"/>
        <v/>
      </c>
      <c r="K76" s="22" t="str">
        <f t="shared" si="19"/>
        <v/>
      </c>
      <c r="L76" s="22" t="str">
        <f t="shared" si="20"/>
        <v/>
      </c>
      <c r="M76" s="22" t="str">
        <f t="shared" si="21"/>
        <v/>
      </c>
      <c r="N76" s="103"/>
      <c r="O76" s="102"/>
      <c r="R76" s="1">
        <v>289.4676</v>
      </c>
    </row>
    <row r="77" spans="2:18" hidden="1" outlineLevel="1" x14ac:dyDescent="0.2">
      <c r="B77" s="2">
        <f t="shared" si="12"/>
        <v>24</v>
      </c>
      <c r="D77" s="22">
        <f>IF(B77&lt;$D$24,(+CALCULETTE!T656/CALCULETTE!$B$612),0)</f>
        <v>0.65259476278834194</v>
      </c>
      <c r="E77" s="22" t="str">
        <f t="shared" si="13"/>
        <v/>
      </c>
      <c r="F77" s="22" t="str">
        <f t="shared" si="14"/>
        <v/>
      </c>
      <c r="G77" s="22" t="str">
        <f t="shared" si="15"/>
        <v/>
      </c>
      <c r="H77" s="22" t="str">
        <f t="shared" si="16"/>
        <v/>
      </c>
      <c r="I77" s="22" t="str">
        <f t="shared" si="17"/>
        <v/>
      </c>
      <c r="J77" s="22" t="str">
        <f t="shared" si="18"/>
        <v/>
      </c>
      <c r="K77" s="22" t="str">
        <f t="shared" si="19"/>
        <v/>
      </c>
      <c r="L77" s="22" t="str">
        <f t="shared" si="20"/>
        <v/>
      </c>
      <c r="M77" s="22" t="str">
        <f t="shared" si="21"/>
        <v/>
      </c>
      <c r="N77" s="103"/>
      <c r="O77" s="102"/>
      <c r="R77" s="1">
        <v>699.90610000000004</v>
      </c>
    </row>
    <row r="78" spans="2:18" hidden="1" outlineLevel="1" x14ac:dyDescent="0.2">
      <c r="B78" s="2">
        <f t="shared" si="12"/>
        <v>25</v>
      </c>
      <c r="D78" s="22">
        <f>IF(B78&lt;$D$24,(+CALCULETTE!T657/CALCULETTE!$B$612),0)</f>
        <v>0.63901920553667124</v>
      </c>
      <c r="E78" s="22" t="str">
        <f t="shared" si="13"/>
        <v/>
      </c>
      <c r="F78" s="22" t="str">
        <f t="shared" si="14"/>
        <v/>
      </c>
      <c r="G78" s="22" t="str">
        <f t="shared" si="15"/>
        <v/>
      </c>
      <c r="H78" s="22" t="str">
        <f t="shared" si="16"/>
        <v/>
      </c>
      <c r="I78" s="22" t="str">
        <f t="shared" si="17"/>
        <v/>
      </c>
      <c r="J78" s="22" t="str">
        <f t="shared" si="18"/>
        <v/>
      </c>
      <c r="K78" s="22" t="str">
        <f t="shared" si="19"/>
        <v/>
      </c>
      <c r="L78" s="22" t="str">
        <f t="shared" si="20"/>
        <v/>
      </c>
      <c r="M78" s="22" t="str">
        <f t="shared" si="21"/>
        <v/>
      </c>
      <c r="N78" s="103"/>
      <c r="O78" s="102"/>
      <c r="R78" s="1">
        <v>740.25969999999995</v>
      </c>
    </row>
    <row r="79" spans="2:18" hidden="1" outlineLevel="1" x14ac:dyDescent="0.2">
      <c r="B79" s="2">
        <f t="shared" si="12"/>
        <v>26</v>
      </c>
      <c r="D79" s="22">
        <f>IF(B79&lt;$D$24,(+CALCULETTE!T658/CALCULETTE!$B$612),0)</f>
        <v>0.62549639235506382</v>
      </c>
      <c r="E79" s="22" t="str">
        <f t="shared" si="13"/>
        <v/>
      </c>
      <c r="F79" s="22" t="str">
        <f t="shared" si="14"/>
        <v/>
      </c>
      <c r="G79" s="22" t="str">
        <f t="shared" si="15"/>
        <v/>
      </c>
      <c r="H79" s="22" t="str">
        <f t="shared" si="16"/>
        <v/>
      </c>
      <c r="I79" s="22" t="str">
        <f t="shared" si="17"/>
        <v/>
      </c>
      <c r="J79" s="22" t="str">
        <f t="shared" si="18"/>
        <v/>
      </c>
      <c r="K79" s="22" t="str">
        <f t="shared" si="19"/>
        <v/>
      </c>
      <c r="L79" s="22" t="str">
        <f t="shared" si="20"/>
        <v/>
      </c>
      <c r="M79" s="22" t="str">
        <f t="shared" si="21"/>
        <v/>
      </c>
      <c r="N79" s="103"/>
      <c r="O79" s="102"/>
      <c r="R79" s="1">
        <v>584.41899999999998</v>
      </c>
    </row>
    <row r="80" spans="2:18" hidden="1" outlineLevel="1" x14ac:dyDescent="0.2">
      <c r="B80" s="2">
        <f t="shared" si="12"/>
        <v>27</v>
      </c>
      <c r="D80" s="22">
        <f>IF(B80&lt;$D$24,(+CALCULETTE!T659/CALCULETTE!$B$612),0)</f>
        <v>0.61202603731444116</v>
      </c>
      <c r="E80" s="22" t="str">
        <f t="shared" si="13"/>
        <v/>
      </c>
      <c r="F80" s="22" t="str">
        <f t="shared" si="14"/>
        <v/>
      </c>
      <c r="G80" s="22" t="str">
        <f t="shared" si="15"/>
        <v/>
      </c>
      <c r="H80" s="22" t="str">
        <f t="shared" si="16"/>
        <v/>
      </c>
      <c r="I80" s="22" t="str">
        <f t="shared" si="17"/>
        <v/>
      </c>
      <c r="J80" s="22" t="str">
        <f t="shared" si="18"/>
        <v/>
      </c>
      <c r="K80" s="22" t="str">
        <f t="shared" si="19"/>
        <v/>
      </c>
      <c r="L80" s="22" t="str">
        <f t="shared" si="20"/>
        <v/>
      </c>
      <c r="M80" s="22" t="str">
        <f t="shared" si="21"/>
        <v/>
      </c>
      <c r="N80" s="103"/>
      <c r="O80" s="102"/>
      <c r="R80" s="1">
        <v>762.62969999999996</v>
      </c>
    </row>
    <row r="81" spans="2:18" hidden="1" outlineLevel="1" x14ac:dyDescent="0.2">
      <c r="B81" s="2">
        <f t="shared" si="12"/>
        <v>28</v>
      </c>
      <c r="D81" s="22">
        <f>IF(B81&lt;$D$24,(+CALCULETTE!T660/CALCULETTE!$B$612),0)</f>
        <v>0.59860785588277854</v>
      </c>
      <c r="E81" s="22" t="str">
        <f t="shared" si="13"/>
        <v/>
      </c>
      <c r="F81" s="22" t="str">
        <f t="shared" si="14"/>
        <v/>
      </c>
      <c r="G81" s="22" t="str">
        <f t="shared" si="15"/>
        <v/>
      </c>
      <c r="H81" s="22" t="str">
        <f t="shared" si="16"/>
        <v/>
      </c>
      <c r="I81" s="22" t="str">
        <f t="shared" si="17"/>
        <v/>
      </c>
      <c r="J81" s="22" t="str">
        <f t="shared" si="18"/>
        <v/>
      </c>
      <c r="K81" s="22" t="str">
        <f t="shared" si="19"/>
        <v/>
      </c>
      <c r="L81" s="22" t="str">
        <f t="shared" si="20"/>
        <v/>
      </c>
      <c r="M81" s="22" t="str">
        <f t="shared" si="21"/>
        <v/>
      </c>
      <c r="N81" s="103"/>
      <c r="O81" s="102"/>
      <c r="R81" s="1">
        <v>307.31490000000002</v>
      </c>
    </row>
    <row r="82" spans="2:18" hidden="1" outlineLevel="1" x14ac:dyDescent="0.2">
      <c r="B82" s="2">
        <f t="shared" si="12"/>
        <v>29</v>
      </c>
      <c r="D82" s="22">
        <f>IF(B82&lt;$D$24,(+CALCULETTE!T661/CALCULETTE!$B$612),0)</f>
        <v>0.585241564918072</v>
      </c>
      <c r="E82" s="22" t="str">
        <f t="shared" si="13"/>
        <v/>
      </c>
      <c r="F82" s="22" t="str">
        <f t="shared" si="14"/>
        <v/>
      </c>
      <c r="G82" s="22" t="str">
        <f t="shared" si="15"/>
        <v/>
      </c>
      <c r="H82" s="22" t="str">
        <f t="shared" si="16"/>
        <v/>
      </c>
      <c r="I82" s="22" t="str">
        <f t="shared" si="17"/>
        <v/>
      </c>
      <c r="J82" s="22" t="str">
        <f t="shared" si="18"/>
        <v/>
      </c>
      <c r="K82" s="22" t="str">
        <f t="shared" si="19"/>
        <v/>
      </c>
      <c r="L82" s="22" t="str">
        <f t="shared" si="20"/>
        <v/>
      </c>
      <c r="M82" s="22" t="str">
        <f t="shared" si="21"/>
        <v/>
      </c>
      <c r="N82" s="103"/>
      <c r="O82" s="102"/>
      <c r="R82" s="1">
        <v>349.0949</v>
      </c>
    </row>
    <row r="83" spans="2:18" hidden="1" outlineLevel="1" x14ac:dyDescent="0.2">
      <c r="B83" s="2">
        <f t="shared" si="12"/>
        <v>30</v>
      </c>
      <c r="D83" s="22">
        <f>IF(B83&lt;$D$24,(+CALCULETTE!T662/CALCULETTE!$B$612),0)</f>
        <v>0.57192688266134073</v>
      </c>
      <c r="E83" s="22" t="str">
        <f t="shared" si="13"/>
        <v/>
      </c>
      <c r="F83" s="22" t="str">
        <f t="shared" si="14"/>
        <v/>
      </c>
      <c r="G83" s="22" t="str">
        <f t="shared" si="15"/>
        <v/>
      </c>
      <c r="H83" s="22" t="str">
        <f t="shared" si="16"/>
        <v/>
      </c>
      <c r="I83" s="22" t="str">
        <f t="shared" si="17"/>
        <v/>
      </c>
      <c r="J83" s="22" t="str">
        <f t="shared" si="18"/>
        <v/>
      </c>
      <c r="K83" s="22" t="str">
        <f t="shared" si="19"/>
        <v/>
      </c>
      <c r="L83" s="22" t="str">
        <f t="shared" si="20"/>
        <v/>
      </c>
      <c r="M83" s="22" t="str">
        <f t="shared" si="21"/>
        <v/>
      </c>
      <c r="N83" s="103"/>
      <c r="O83" s="102"/>
      <c r="R83" s="1">
        <v>835.25009999999997</v>
      </c>
    </row>
    <row r="84" spans="2:18" hidden="1" outlineLevel="1" x14ac:dyDescent="0.2">
      <c r="B84" s="2">
        <f t="shared" si="12"/>
        <v>31</v>
      </c>
      <c r="D84" s="22">
        <f>IF(B84&lt;$D$24,(+CALCULETTE!T663/CALCULETTE!$B$612),0)</f>
        <v>0.55866352872966396</v>
      </c>
      <c r="E84" s="22" t="str">
        <f t="shared" si="13"/>
        <v/>
      </c>
      <c r="F84" s="22" t="str">
        <f t="shared" si="14"/>
        <v/>
      </c>
      <c r="G84" s="22" t="str">
        <f t="shared" si="15"/>
        <v/>
      </c>
      <c r="H84" s="22" t="str">
        <f t="shared" si="16"/>
        <v/>
      </c>
      <c r="I84" s="22" t="str">
        <f t="shared" si="17"/>
        <v/>
      </c>
      <c r="J84" s="22" t="str">
        <f t="shared" si="18"/>
        <v/>
      </c>
      <c r="K84" s="22" t="str">
        <f t="shared" si="19"/>
        <v/>
      </c>
      <c r="L84" s="22" t="str">
        <f t="shared" si="20"/>
        <v/>
      </c>
      <c r="M84" s="22" t="str">
        <f t="shared" si="21"/>
        <v/>
      </c>
      <c r="N84" s="103"/>
      <c r="O84" s="102"/>
      <c r="R84" s="1">
        <v>749.70259999999996</v>
      </c>
    </row>
    <row r="85" spans="2:18" hidden="1" outlineLevel="1" x14ac:dyDescent="0.2">
      <c r="B85" s="2">
        <f t="shared" si="12"/>
        <v>32</v>
      </c>
      <c r="D85" s="22">
        <f>IF(B85&lt;$D$24,(+CALCULETTE!T664/CALCULETTE!$B$612),0)</f>
        <v>0.5454512241092524</v>
      </c>
      <c r="E85" s="22" t="str">
        <f t="shared" si="13"/>
        <v/>
      </c>
      <c r="F85" s="22" t="str">
        <f t="shared" si="14"/>
        <v/>
      </c>
      <c r="G85" s="22" t="str">
        <f t="shared" si="15"/>
        <v/>
      </c>
      <c r="H85" s="22" t="str">
        <f t="shared" si="16"/>
        <v/>
      </c>
      <c r="I85" s="22" t="str">
        <f t="shared" si="17"/>
        <v/>
      </c>
      <c r="J85" s="22" t="str">
        <f t="shared" si="18"/>
        <v/>
      </c>
      <c r="K85" s="22" t="str">
        <f t="shared" si="19"/>
        <v/>
      </c>
      <c r="L85" s="22" t="str">
        <f t="shared" si="20"/>
        <v/>
      </c>
      <c r="M85" s="22" t="str">
        <f t="shared" si="21"/>
        <v/>
      </c>
      <c r="N85" s="103"/>
      <c r="O85" s="102"/>
      <c r="R85" s="1">
        <v>343.75990000000002</v>
      </c>
    </row>
    <row r="86" spans="2:18" hidden="1" outlineLevel="1" x14ac:dyDescent="0.2">
      <c r="B86" s="2">
        <f t="shared" ref="B86:B117" si="22">B85+1</f>
        <v>33</v>
      </c>
      <c r="D86" s="22">
        <f>IF(B86&lt;$D$24,(+CALCULETTE!T665/CALCULETTE!$B$612),0)</f>
        <v>0.53228969114855451</v>
      </c>
      <c r="E86" s="22" t="str">
        <f t="shared" ref="E86:E117" si="23">IF(E$1=0,"",IF($B86&lt;E$23,E85+PPMT(E$25/12,$B86,E$23,E$53,-E$27,0),IF($B86=E$23,E85+PPMT(E$25/12,$B86,E$23,E$53,-E$27,0)-E$27,0)))</f>
        <v/>
      </c>
      <c r="F86" s="22" t="str">
        <f t="shared" ref="F86:F117" si="24">IF(F$1=0,"",IF($B86&lt;F$23,F85+PPMT(F$25/12,$B86,F$23,F$53,-F$27,0),IF($B86=F$23,F85+PPMT(F$25/12,$B86,F$23,F$53,-F$27,0)-F$27,0)))</f>
        <v/>
      </c>
      <c r="G86" s="22" t="str">
        <f t="shared" ref="G86:G117" si="25">IF(G$1=0,"",IF($B86&lt;G$23,G85+PPMT(G$25/12,$B86,G$23,G$53,-G$27,0),IF($B86=G$23,G85+PPMT(G$25/12,$B86,G$23,G$53,-G$27,0)-G$27,0)))</f>
        <v/>
      </c>
      <c r="H86" s="22" t="str">
        <f t="shared" ref="H86:H117" si="26">IF(H$1=0,"",IF($B86&lt;H$23,H85+PPMT(H$25/12,$B86,H$23,H$53,-H$27,0),IF($B86=H$23,H85+PPMT(H$25/12,$B86,H$23,H$53,-H$27,0)-H$27,0)))</f>
        <v/>
      </c>
      <c r="I86" s="22" t="str">
        <f t="shared" ref="I86:I117" si="27">IF(I$1=0,"",IF($B86&lt;I$23,I85+PPMT(I$25/12,$B86,I$23,I$53,-I$27,0),IF($B86=I$23,I85+PPMT(I$25/12,$B86,I$23,I$53,-I$27,0)-I$27,0)))</f>
        <v/>
      </c>
      <c r="J86" s="22" t="str">
        <f t="shared" ref="J86:J117" si="28">IF(J$1=0,"",IF($B86&lt;J$23,J85+PPMT(J$25/12,$B86,J$23,J$53,-J$27,0),IF($B86=J$23,J85+PPMT(J$25/12,$B86,J$23,J$53,-J$27,0)-J$27,0)))</f>
        <v/>
      </c>
      <c r="K86" s="22" t="str">
        <f t="shared" ref="K86:K117" si="29">IF(K$1=0,"",IF($B86&lt;K$23,K85+PPMT(K$25/12,$B86,K$23,K$53,-K$27,0),IF($B86=K$23,K85+PPMT(K$25/12,$B86,K$23,K$53,-K$27,0)-K$27,0)))</f>
        <v/>
      </c>
      <c r="L86" s="22" t="str">
        <f t="shared" ref="L86:L117" si="30">IF(L$1=0,"",IF($B86&lt;L$23,L85+PPMT(L$25/12,$B86,L$23,L$53,-L$27,0),IF($B86=L$23,L85+PPMT(L$25/12,$B86,L$23,L$53,-L$27,0)-L$27,0)))</f>
        <v/>
      </c>
      <c r="M86" s="22" t="str">
        <f t="shared" ref="M86:M117" si="31">IF(M$1=0,"",IF($B86&lt;M$23,M85+PPMT(M$25/12,$B86,M$23,M$53,-M$27,0),IF($B86=M$23,M85+PPMT(M$25/12,$B86,M$23,M$53,-M$27,0)-M$27,0)))</f>
        <v/>
      </c>
      <c r="N86" s="103"/>
      <c r="O86" s="102"/>
      <c r="R86" s="1">
        <v>319.83839999999998</v>
      </c>
    </row>
    <row r="87" spans="2:18" hidden="1" outlineLevel="1" x14ac:dyDescent="0.2">
      <c r="B87" s="2">
        <f t="shared" si="22"/>
        <v>34</v>
      </c>
      <c r="D87" s="22">
        <f>IF(B87&lt;$D$24,(+CALCULETTE!T666/CALCULETTE!$B$612),0)</f>
        <v>0.51917865355139714</v>
      </c>
      <c r="E87" s="22" t="str">
        <f t="shared" si="23"/>
        <v/>
      </c>
      <c r="F87" s="22" t="str">
        <f t="shared" si="24"/>
        <v/>
      </c>
      <c r="G87" s="22" t="str">
        <f t="shared" si="25"/>
        <v/>
      </c>
      <c r="H87" s="22" t="str">
        <f t="shared" si="26"/>
        <v/>
      </c>
      <c r="I87" s="22" t="str">
        <f t="shared" si="27"/>
        <v/>
      </c>
      <c r="J87" s="22" t="str">
        <f t="shared" si="28"/>
        <v/>
      </c>
      <c r="K87" s="22" t="str">
        <f t="shared" si="29"/>
        <v/>
      </c>
      <c r="L87" s="22" t="str">
        <f t="shared" si="30"/>
        <v/>
      </c>
      <c r="M87" s="22" t="str">
        <f t="shared" si="31"/>
        <v/>
      </c>
      <c r="N87" s="103"/>
      <c r="O87" s="102"/>
    </row>
    <row r="88" spans="2:18" hidden="1" outlineLevel="1" x14ac:dyDescent="0.2">
      <c r="B88" s="2">
        <f t="shared" si="22"/>
        <v>35</v>
      </c>
      <c r="D88" s="22">
        <f>IF(B88&lt;$D$24,(+CALCULETTE!T667/CALCULETTE!$B$612),0)</f>
        <v>-3.0297492757019484E-16</v>
      </c>
      <c r="E88" s="22" t="str">
        <f t="shared" si="23"/>
        <v/>
      </c>
      <c r="F88" s="22" t="str">
        <f t="shared" si="24"/>
        <v/>
      </c>
      <c r="G88" s="22" t="str">
        <f t="shared" si="25"/>
        <v/>
      </c>
      <c r="H88" s="22" t="str">
        <f t="shared" si="26"/>
        <v/>
      </c>
      <c r="I88" s="22" t="str">
        <f t="shared" si="27"/>
        <v/>
      </c>
      <c r="J88" s="22" t="str">
        <f t="shared" si="28"/>
        <v/>
      </c>
      <c r="K88" s="22" t="str">
        <f t="shared" si="29"/>
        <v/>
      </c>
      <c r="L88" s="22" t="str">
        <f t="shared" si="30"/>
        <v/>
      </c>
      <c r="M88" s="22" t="str">
        <f t="shared" si="31"/>
        <v/>
      </c>
      <c r="N88" s="103"/>
      <c r="O88" s="102"/>
    </row>
    <row r="89" spans="2:18" hidden="1" outlineLevel="1" x14ac:dyDescent="0.2">
      <c r="B89" s="2">
        <f t="shared" si="22"/>
        <v>36</v>
      </c>
      <c r="D89" s="22">
        <f>IF(B89&lt;$D$24,(+CALCULETTE!T668/CALCULETTE!$B$612),0)</f>
        <v>0</v>
      </c>
      <c r="E89" s="22" t="str">
        <f t="shared" si="23"/>
        <v/>
      </c>
      <c r="F89" s="22" t="str">
        <f t="shared" si="24"/>
        <v/>
      </c>
      <c r="G89" s="22" t="str">
        <f t="shared" si="25"/>
        <v/>
      </c>
      <c r="H89" s="22" t="str">
        <f t="shared" si="26"/>
        <v/>
      </c>
      <c r="I89" s="22" t="str">
        <f t="shared" si="27"/>
        <v/>
      </c>
      <c r="J89" s="22" t="str">
        <f t="shared" si="28"/>
        <v/>
      </c>
      <c r="K89" s="22" t="str">
        <f t="shared" si="29"/>
        <v/>
      </c>
      <c r="L89" s="22" t="str">
        <f t="shared" si="30"/>
        <v/>
      </c>
      <c r="M89" s="22" t="str">
        <f t="shared" si="31"/>
        <v/>
      </c>
      <c r="N89" s="103"/>
      <c r="O89" s="102"/>
    </row>
    <row r="90" spans="2:18" hidden="1" outlineLevel="1" x14ac:dyDescent="0.2">
      <c r="B90" s="2">
        <f t="shared" si="22"/>
        <v>37</v>
      </c>
      <c r="D90" s="22">
        <f>IF(B90&lt;$D$24,(+CALCULETTE!T669/CALCULETTE!$B$612),0)</f>
        <v>0</v>
      </c>
      <c r="E90" s="22" t="str">
        <f t="shared" si="23"/>
        <v/>
      </c>
      <c r="F90" s="22" t="str">
        <f t="shared" si="24"/>
        <v/>
      </c>
      <c r="G90" s="22" t="str">
        <f t="shared" si="25"/>
        <v/>
      </c>
      <c r="H90" s="22" t="str">
        <f t="shared" si="26"/>
        <v/>
      </c>
      <c r="I90" s="22" t="str">
        <f t="shared" si="27"/>
        <v/>
      </c>
      <c r="J90" s="22" t="str">
        <f t="shared" si="28"/>
        <v/>
      </c>
      <c r="K90" s="22" t="str">
        <f t="shared" si="29"/>
        <v/>
      </c>
      <c r="L90" s="22" t="str">
        <f t="shared" si="30"/>
        <v/>
      </c>
      <c r="M90" s="22" t="str">
        <f t="shared" si="31"/>
        <v/>
      </c>
      <c r="N90" s="103"/>
      <c r="O90" s="102"/>
    </row>
    <row r="91" spans="2:18" hidden="1" outlineLevel="1" x14ac:dyDescent="0.2">
      <c r="B91" s="2">
        <f t="shared" si="22"/>
        <v>38</v>
      </c>
      <c r="D91" s="22">
        <f>IF(B91&lt;$D$24,(+CALCULETTE!T670/CALCULETTE!$B$612),0)</f>
        <v>0</v>
      </c>
      <c r="E91" s="22" t="str">
        <f t="shared" si="23"/>
        <v/>
      </c>
      <c r="F91" s="22" t="str">
        <f t="shared" si="24"/>
        <v/>
      </c>
      <c r="G91" s="22" t="str">
        <f t="shared" si="25"/>
        <v/>
      </c>
      <c r="H91" s="22" t="str">
        <f t="shared" si="26"/>
        <v/>
      </c>
      <c r="I91" s="22" t="str">
        <f t="shared" si="27"/>
        <v/>
      </c>
      <c r="J91" s="22" t="str">
        <f t="shared" si="28"/>
        <v/>
      </c>
      <c r="K91" s="22" t="str">
        <f t="shared" si="29"/>
        <v/>
      </c>
      <c r="L91" s="22" t="str">
        <f t="shared" si="30"/>
        <v/>
      </c>
      <c r="M91" s="22" t="str">
        <f t="shared" si="31"/>
        <v/>
      </c>
      <c r="N91" s="103"/>
      <c r="O91" s="102"/>
    </row>
    <row r="92" spans="2:18" hidden="1" outlineLevel="1" x14ac:dyDescent="0.2">
      <c r="B92" s="2">
        <f t="shared" si="22"/>
        <v>39</v>
      </c>
      <c r="D92" s="22">
        <f>IF(B92&lt;$D$24,(+CALCULETTE!T671/CALCULETTE!$B$612),0)</f>
        <v>0</v>
      </c>
      <c r="E92" s="22" t="str">
        <f t="shared" si="23"/>
        <v/>
      </c>
      <c r="F92" s="22" t="str">
        <f t="shared" si="24"/>
        <v/>
      </c>
      <c r="G92" s="22" t="str">
        <f t="shared" si="25"/>
        <v/>
      </c>
      <c r="H92" s="22" t="str">
        <f t="shared" si="26"/>
        <v/>
      </c>
      <c r="I92" s="22" t="str">
        <f t="shared" si="27"/>
        <v/>
      </c>
      <c r="J92" s="22" t="str">
        <f t="shared" si="28"/>
        <v/>
      </c>
      <c r="K92" s="22" t="str">
        <f t="shared" si="29"/>
        <v/>
      </c>
      <c r="L92" s="22" t="str">
        <f t="shared" si="30"/>
        <v/>
      </c>
      <c r="M92" s="22" t="str">
        <f t="shared" si="31"/>
        <v/>
      </c>
      <c r="N92" s="103"/>
      <c r="O92" s="102"/>
    </row>
    <row r="93" spans="2:18" hidden="1" outlineLevel="1" x14ac:dyDescent="0.2">
      <c r="B93" s="2">
        <f t="shared" si="22"/>
        <v>40</v>
      </c>
      <c r="D93" s="22">
        <f>IF(B93&lt;$D$24,(+CALCULETTE!T672/CALCULETTE!$B$612),0)</f>
        <v>0</v>
      </c>
      <c r="E93" s="22" t="str">
        <f t="shared" si="23"/>
        <v/>
      </c>
      <c r="F93" s="22" t="str">
        <f t="shared" si="24"/>
        <v/>
      </c>
      <c r="G93" s="22" t="str">
        <f t="shared" si="25"/>
        <v/>
      </c>
      <c r="H93" s="22" t="str">
        <f t="shared" si="26"/>
        <v/>
      </c>
      <c r="I93" s="22" t="str">
        <f t="shared" si="27"/>
        <v/>
      </c>
      <c r="J93" s="22" t="str">
        <f t="shared" si="28"/>
        <v/>
      </c>
      <c r="K93" s="22" t="str">
        <f t="shared" si="29"/>
        <v/>
      </c>
      <c r="L93" s="22" t="str">
        <f t="shared" si="30"/>
        <v/>
      </c>
      <c r="M93" s="22" t="str">
        <f t="shared" si="31"/>
        <v/>
      </c>
      <c r="N93" s="103"/>
      <c r="O93" s="102"/>
    </row>
    <row r="94" spans="2:18" hidden="1" outlineLevel="1" x14ac:dyDescent="0.2">
      <c r="B94" s="2">
        <f t="shared" si="22"/>
        <v>41</v>
      </c>
      <c r="D94" s="22">
        <f>IF(B94&lt;$D$24,(+CALCULETTE!T673/CALCULETTE!$B$612),0)</f>
        <v>0</v>
      </c>
      <c r="E94" s="22" t="str">
        <f t="shared" si="23"/>
        <v/>
      </c>
      <c r="F94" s="22" t="str">
        <f t="shared" si="24"/>
        <v/>
      </c>
      <c r="G94" s="22" t="str">
        <f t="shared" si="25"/>
        <v/>
      </c>
      <c r="H94" s="22" t="str">
        <f t="shared" si="26"/>
        <v/>
      </c>
      <c r="I94" s="22" t="str">
        <f t="shared" si="27"/>
        <v/>
      </c>
      <c r="J94" s="22" t="str">
        <f t="shared" si="28"/>
        <v/>
      </c>
      <c r="K94" s="22" t="str">
        <f t="shared" si="29"/>
        <v/>
      </c>
      <c r="L94" s="22" t="str">
        <f t="shared" si="30"/>
        <v/>
      </c>
      <c r="M94" s="22" t="str">
        <f t="shared" si="31"/>
        <v/>
      </c>
      <c r="N94" s="103"/>
      <c r="O94" s="102"/>
    </row>
    <row r="95" spans="2:18" hidden="1" outlineLevel="1" x14ac:dyDescent="0.2">
      <c r="B95" s="2">
        <f t="shared" si="22"/>
        <v>42</v>
      </c>
      <c r="D95" s="22">
        <f>IF(B95&lt;$D$24,(+CALCULETTE!T674/CALCULETTE!$B$612),0)</f>
        <v>0</v>
      </c>
      <c r="E95" s="22" t="str">
        <f t="shared" si="23"/>
        <v/>
      </c>
      <c r="F95" s="22" t="str">
        <f t="shared" si="24"/>
        <v/>
      </c>
      <c r="G95" s="22" t="str">
        <f t="shared" si="25"/>
        <v/>
      </c>
      <c r="H95" s="22" t="str">
        <f t="shared" si="26"/>
        <v/>
      </c>
      <c r="I95" s="22" t="str">
        <f t="shared" si="27"/>
        <v/>
      </c>
      <c r="J95" s="22" t="str">
        <f t="shared" si="28"/>
        <v/>
      </c>
      <c r="K95" s="22" t="str">
        <f t="shared" si="29"/>
        <v/>
      </c>
      <c r="L95" s="22" t="str">
        <f t="shared" si="30"/>
        <v/>
      </c>
      <c r="M95" s="22" t="str">
        <f t="shared" si="31"/>
        <v/>
      </c>
      <c r="N95" s="103"/>
      <c r="O95" s="102"/>
    </row>
    <row r="96" spans="2:18" hidden="1" outlineLevel="1" x14ac:dyDescent="0.2">
      <c r="B96" s="2">
        <f t="shared" si="22"/>
        <v>43</v>
      </c>
      <c r="D96" s="22">
        <f>IF(B96&lt;$D$24,(+CALCULETTE!T675/CALCULETTE!$B$612),0)</f>
        <v>0</v>
      </c>
      <c r="E96" s="22" t="str">
        <f t="shared" si="23"/>
        <v/>
      </c>
      <c r="F96" s="22" t="str">
        <f t="shared" si="24"/>
        <v/>
      </c>
      <c r="G96" s="22" t="str">
        <f t="shared" si="25"/>
        <v/>
      </c>
      <c r="H96" s="22" t="str">
        <f t="shared" si="26"/>
        <v/>
      </c>
      <c r="I96" s="22" t="str">
        <f t="shared" si="27"/>
        <v/>
      </c>
      <c r="J96" s="22" t="str">
        <f t="shared" si="28"/>
        <v/>
      </c>
      <c r="K96" s="22" t="str">
        <f t="shared" si="29"/>
        <v/>
      </c>
      <c r="L96" s="22" t="str">
        <f t="shared" si="30"/>
        <v/>
      </c>
      <c r="M96" s="22" t="str">
        <f t="shared" si="31"/>
        <v/>
      </c>
      <c r="N96" s="103"/>
      <c r="O96" s="102"/>
    </row>
    <row r="97" spans="2:15" hidden="1" outlineLevel="1" x14ac:dyDescent="0.2">
      <c r="B97" s="2">
        <f t="shared" si="22"/>
        <v>44</v>
      </c>
      <c r="D97" s="22">
        <f>IF(B97&lt;$D$24,(+CALCULETTE!T676/CALCULETTE!$B$612),0)</f>
        <v>0</v>
      </c>
      <c r="E97" s="22" t="str">
        <f t="shared" si="23"/>
        <v/>
      </c>
      <c r="F97" s="22" t="str">
        <f t="shared" si="24"/>
        <v/>
      </c>
      <c r="G97" s="22" t="str">
        <f t="shared" si="25"/>
        <v/>
      </c>
      <c r="H97" s="22" t="str">
        <f t="shared" si="26"/>
        <v/>
      </c>
      <c r="I97" s="22" t="str">
        <f t="shared" si="27"/>
        <v/>
      </c>
      <c r="J97" s="22" t="str">
        <f t="shared" si="28"/>
        <v/>
      </c>
      <c r="K97" s="22" t="str">
        <f t="shared" si="29"/>
        <v/>
      </c>
      <c r="L97" s="22" t="str">
        <f t="shared" si="30"/>
        <v/>
      </c>
      <c r="M97" s="22" t="str">
        <f t="shared" si="31"/>
        <v/>
      </c>
      <c r="N97" s="103"/>
      <c r="O97" s="102"/>
    </row>
    <row r="98" spans="2:15" hidden="1" outlineLevel="1" x14ac:dyDescent="0.2">
      <c r="B98" s="2">
        <f t="shared" si="22"/>
        <v>45</v>
      </c>
      <c r="D98" s="22">
        <f>IF(B98&lt;$D$24,(+CALCULETTE!T677/CALCULETTE!$B$612),0)</f>
        <v>0</v>
      </c>
      <c r="E98" s="22" t="str">
        <f t="shared" si="23"/>
        <v/>
      </c>
      <c r="F98" s="22" t="str">
        <f t="shared" si="24"/>
        <v/>
      </c>
      <c r="G98" s="22" t="str">
        <f t="shared" si="25"/>
        <v/>
      </c>
      <c r="H98" s="22" t="str">
        <f t="shared" si="26"/>
        <v/>
      </c>
      <c r="I98" s="22" t="str">
        <f t="shared" si="27"/>
        <v/>
      </c>
      <c r="J98" s="22" t="str">
        <f t="shared" si="28"/>
        <v/>
      </c>
      <c r="K98" s="22" t="str">
        <f t="shared" si="29"/>
        <v/>
      </c>
      <c r="L98" s="22" t="str">
        <f t="shared" si="30"/>
        <v/>
      </c>
      <c r="M98" s="22" t="str">
        <f t="shared" si="31"/>
        <v/>
      </c>
      <c r="N98" s="103"/>
      <c r="O98" s="102"/>
    </row>
    <row r="99" spans="2:15" hidden="1" outlineLevel="1" x14ac:dyDescent="0.2">
      <c r="B99" s="2">
        <f t="shared" si="22"/>
        <v>46</v>
      </c>
      <c r="D99" s="22">
        <f>IF(B99&lt;$D$24,(+CALCULETTE!T678/CALCULETTE!$B$612),0)</f>
        <v>0</v>
      </c>
      <c r="E99" s="22" t="str">
        <f t="shared" si="23"/>
        <v/>
      </c>
      <c r="F99" s="22" t="str">
        <f t="shared" si="24"/>
        <v/>
      </c>
      <c r="G99" s="22" t="str">
        <f t="shared" si="25"/>
        <v/>
      </c>
      <c r="H99" s="22" t="str">
        <f t="shared" si="26"/>
        <v/>
      </c>
      <c r="I99" s="22" t="str">
        <f t="shared" si="27"/>
        <v/>
      </c>
      <c r="J99" s="22" t="str">
        <f t="shared" si="28"/>
        <v/>
      </c>
      <c r="K99" s="22" t="str">
        <f t="shared" si="29"/>
        <v/>
      </c>
      <c r="L99" s="22" t="str">
        <f t="shared" si="30"/>
        <v/>
      </c>
      <c r="M99" s="22" t="str">
        <f t="shared" si="31"/>
        <v/>
      </c>
      <c r="N99" s="103"/>
      <c r="O99" s="102"/>
    </row>
    <row r="100" spans="2:15" hidden="1" outlineLevel="1" x14ac:dyDescent="0.2">
      <c r="B100" s="2">
        <f t="shared" si="22"/>
        <v>47</v>
      </c>
      <c r="D100" s="22">
        <f>IF(B100&lt;$D$24,(+CALCULETTE!T679/CALCULETTE!$B$612),0)</f>
        <v>0</v>
      </c>
      <c r="E100" s="22" t="str">
        <f t="shared" si="23"/>
        <v/>
      </c>
      <c r="F100" s="22" t="str">
        <f t="shared" si="24"/>
        <v/>
      </c>
      <c r="G100" s="22" t="str">
        <f t="shared" si="25"/>
        <v/>
      </c>
      <c r="H100" s="22" t="str">
        <f t="shared" si="26"/>
        <v/>
      </c>
      <c r="I100" s="22" t="str">
        <f t="shared" si="27"/>
        <v/>
      </c>
      <c r="J100" s="22" t="str">
        <f t="shared" si="28"/>
        <v/>
      </c>
      <c r="K100" s="22" t="str">
        <f t="shared" si="29"/>
        <v/>
      </c>
      <c r="L100" s="22" t="str">
        <f t="shared" si="30"/>
        <v/>
      </c>
      <c r="M100" s="22" t="str">
        <f t="shared" si="31"/>
        <v/>
      </c>
      <c r="N100" s="103"/>
      <c r="O100" s="102"/>
    </row>
    <row r="101" spans="2:15" hidden="1" outlineLevel="1" x14ac:dyDescent="0.2">
      <c r="B101" s="2">
        <f t="shared" si="22"/>
        <v>48</v>
      </c>
      <c r="D101" s="22">
        <f>IF(B101&lt;$D$24,(+CALCULETTE!T680/CALCULETTE!$B$612),0)</f>
        <v>0</v>
      </c>
      <c r="E101" s="22" t="str">
        <f t="shared" si="23"/>
        <v/>
      </c>
      <c r="F101" s="22" t="str">
        <f t="shared" si="24"/>
        <v/>
      </c>
      <c r="G101" s="22" t="str">
        <f t="shared" si="25"/>
        <v/>
      </c>
      <c r="H101" s="22" t="str">
        <f t="shared" si="26"/>
        <v/>
      </c>
      <c r="I101" s="22" t="str">
        <f t="shared" si="27"/>
        <v/>
      </c>
      <c r="J101" s="22" t="str">
        <f t="shared" si="28"/>
        <v/>
      </c>
      <c r="K101" s="22" t="str">
        <f t="shared" si="29"/>
        <v/>
      </c>
      <c r="L101" s="22" t="str">
        <f t="shared" si="30"/>
        <v/>
      </c>
      <c r="M101" s="22" t="str">
        <f t="shared" si="31"/>
        <v/>
      </c>
      <c r="N101" s="103"/>
      <c r="O101" s="102"/>
    </row>
    <row r="102" spans="2:15" hidden="1" outlineLevel="1" x14ac:dyDescent="0.2">
      <c r="B102" s="2">
        <f t="shared" si="22"/>
        <v>49</v>
      </c>
      <c r="D102" s="22">
        <f>IF(B102&lt;$D$24,(+CALCULETTE!T681/CALCULETTE!$B$612),0)</f>
        <v>0</v>
      </c>
      <c r="E102" s="22" t="str">
        <f t="shared" si="23"/>
        <v/>
      </c>
      <c r="F102" s="22" t="str">
        <f t="shared" si="24"/>
        <v/>
      </c>
      <c r="G102" s="22" t="str">
        <f t="shared" si="25"/>
        <v/>
      </c>
      <c r="H102" s="22" t="str">
        <f t="shared" si="26"/>
        <v/>
      </c>
      <c r="I102" s="22" t="str">
        <f t="shared" si="27"/>
        <v/>
      </c>
      <c r="J102" s="22" t="str">
        <f t="shared" si="28"/>
        <v/>
      </c>
      <c r="K102" s="22" t="str">
        <f t="shared" si="29"/>
        <v/>
      </c>
      <c r="L102" s="22" t="str">
        <f t="shared" si="30"/>
        <v/>
      </c>
      <c r="M102" s="22" t="str">
        <f t="shared" si="31"/>
        <v/>
      </c>
      <c r="N102" s="103"/>
      <c r="O102" s="102"/>
    </row>
    <row r="103" spans="2:15" hidden="1" outlineLevel="1" x14ac:dyDescent="0.2">
      <c r="B103" s="2">
        <f t="shared" si="22"/>
        <v>50</v>
      </c>
      <c r="D103" s="22">
        <f>IF(B103&lt;$D$24,(+CALCULETTE!T682/CALCULETTE!$B$612),0)</f>
        <v>0</v>
      </c>
      <c r="E103" s="22" t="str">
        <f t="shared" si="23"/>
        <v/>
      </c>
      <c r="F103" s="22" t="str">
        <f t="shared" si="24"/>
        <v/>
      </c>
      <c r="G103" s="22" t="str">
        <f t="shared" si="25"/>
        <v/>
      </c>
      <c r="H103" s="22" t="str">
        <f t="shared" si="26"/>
        <v/>
      </c>
      <c r="I103" s="22" t="str">
        <f t="shared" si="27"/>
        <v/>
      </c>
      <c r="J103" s="22" t="str">
        <f t="shared" si="28"/>
        <v/>
      </c>
      <c r="K103" s="22" t="str">
        <f t="shared" si="29"/>
        <v/>
      </c>
      <c r="L103" s="22" t="str">
        <f t="shared" si="30"/>
        <v/>
      </c>
      <c r="M103" s="22" t="str">
        <f t="shared" si="31"/>
        <v/>
      </c>
      <c r="N103" s="103"/>
      <c r="O103" s="102"/>
    </row>
    <row r="104" spans="2:15" hidden="1" outlineLevel="1" x14ac:dyDescent="0.2">
      <c r="B104" s="2">
        <f t="shared" si="22"/>
        <v>51</v>
      </c>
      <c r="D104" s="22">
        <f>IF(B104&lt;$D$24,(+CALCULETTE!T683/CALCULETTE!$B$612),0)</f>
        <v>0</v>
      </c>
      <c r="E104" s="22" t="str">
        <f t="shared" si="23"/>
        <v/>
      </c>
      <c r="F104" s="22" t="str">
        <f t="shared" si="24"/>
        <v/>
      </c>
      <c r="G104" s="22" t="str">
        <f t="shared" si="25"/>
        <v/>
      </c>
      <c r="H104" s="22" t="str">
        <f t="shared" si="26"/>
        <v/>
      </c>
      <c r="I104" s="22" t="str">
        <f t="shared" si="27"/>
        <v/>
      </c>
      <c r="J104" s="22" t="str">
        <f t="shared" si="28"/>
        <v/>
      </c>
      <c r="K104" s="22" t="str">
        <f t="shared" si="29"/>
        <v/>
      </c>
      <c r="L104" s="22" t="str">
        <f t="shared" si="30"/>
        <v/>
      </c>
      <c r="M104" s="22" t="str">
        <f t="shared" si="31"/>
        <v/>
      </c>
      <c r="N104" s="103"/>
      <c r="O104" s="102"/>
    </row>
    <row r="105" spans="2:15" hidden="1" outlineLevel="1" x14ac:dyDescent="0.2">
      <c r="B105" s="2">
        <f t="shared" si="22"/>
        <v>52</v>
      </c>
      <c r="D105" s="22">
        <f>IF(B105&lt;$D$24,(+CALCULETTE!T684/CALCULETTE!$B$612),0)</f>
        <v>0</v>
      </c>
      <c r="E105" s="22" t="str">
        <f t="shared" si="23"/>
        <v/>
      </c>
      <c r="F105" s="22" t="str">
        <f t="shared" si="24"/>
        <v/>
      </c>
      <c r="G105" s="22" t="str">
        <f t="shared" si="25"/>
        <v/>
      </c>
      <c r="H105" s="22" t="str">
        <f t="shared" si="26"/>
        <v/>
      </c>
      <c r="I105" s="22" t="str">
        <f t="shared" si="27"/>
        <v/>
      </c>
      <c r="J105" s="22" t="str">
        <f t="shared" si="28"/>
        <v/>
      </c>
      <c r="K105" s="22" t="str">
        <f t="shared" si="29"/>
        <v/>
      </c>
      <c r="L105" s="22" t="str">
        <f t="shared" si="30"/>
        <v/>
      </c>
      <c r="M105" s="22" t="str">
        <f t="shared" si="31"/>
        <v/>
      </c>
      <c r="N105" s="103"/>
      <c r="O105" s="102"/>
    </row>
    <row r="106" spans="2:15" hidden="1" outlineLevel="1" x14ac:dyDescent="0.2">
      <c r="B106" s="2">
        <f t="shared" si="22"/>
        <v>53</v>
      </c>
      <c r="D106" s="22">
        <f>IF(B106&lt;$D$24,(+CALCULETTE!T685/CALCULETTE!$B$612),0)</f>
        <v>0</v>
      </c>
      <c r="E106" s="22" t="str">
        <f t="shared" si="23"/>
        <v/>
      </c>
      <c r="F106" s="22" t="str">
        <f t="shared" si="24"/>
        <v/>
      </c>
      <c r="G106" s="22" t="str">
        <f t="shared" si="25"/>
        <v/>
      </c>
      <c r="H106" s="22" t="str">
        <f t="shared" si="26"/>
        <v/>
      </c>
      <c r="I106" s="22" t="str">
        <f t="shared" si="27"/>
        <v/>
      </c>
      <c r="J106" s="22" t="str">
        <f t="shared" si="28"/>
        <v/>
      </c>
      <c r="K106" s="22" t="str">
        <f t="shared" si="29"/>
        <v/>
      </c>
      <c r="L106" s="22" t="str">
        <f t="shared" si="30"/>
        <v/>
      </c>
      <c r="M106" s="22" t="str">
        <f t="shared" si="31"/>
        <v/>
      </c>
      <c r="N106" s="103"/>
      <c r="O106" s="102"/>
    </row>
    <row r="107" spans="2:15" hidden="1" outlineLevel="1" x14ac:dyDescent="0.2">
      <c r="B107" s="2">
        <f t="shared" si="22"/>
        <v>54</v>
      </c>
      <c r="D107" s="22">
        <f>IF(B107&lt;$D$24,(+CALCULETTE!T686/CALCULETTE!$B$612),0)</f>
        <v>0</v>
      </c>
      <c r="E107" s="22" t="str">
        <f t="shared" si="23"/>
        <v/>
      </c>
      <c r="F107" s="22" t="str">
        <f t="shared" si="24"/>
        <v/>
      </c>
      <c r="G107" s="22" t="str">
        <f t="shared" si="25"/>
        <v/>
      </c>
      <c r="H107" s="22" t="str">
        <f t="shared" si="26"/>
        <v/>
      </c>
      <c r="I107" s="22" t="str">
        <f t="shared" si="27"/>
        <v/>
      </c>
      <c r="J107" s="22" t="str">
        <f t="shared" si="28"/>
        <v/>
      </c>
      <c r="K107" s="22" t="str">
        <f t="shared" si="29"/>
        <v/>
      </c>
      <c r="L107" s="22" t="str">
        <f t="shared" si="30"/>
        <v/>
      </c>
      <c r="M107" s="22" t="str">
        <f t="shared" si="31"/>
        <v/>
      </c>
      <c r="N107" s="103"/>
      <c r="O107" s="102"/>
    </row>
    <row r="108" spans="2:15" hidden="1" outlineLevel="1" x14ac:dyDescent="0.2">
      <c r="B108" s="2">
        <f t="shared" si="22"/>
        <v>55</v>
      </c>
      <c r="D108" s="22">
        <f>IF(B108&lt;$D$24,(+CALCULETTE!T687/CALCULETTE!$B$612),0)</f>
        <v>0</v>
      </c>
      <c r="E108" s="22" t="str">
        <f t="shared" si="23"/>
        <v/>
      </c>
      <c r="F108" s="22" t="str">
        <f t="shared" si="24"/>
        <v/>
      </c>
      <c r="G108" s="22" t="str">
        <f t="shared" si="25"/>
        <v/>
      </c>
      <c r="H108" s="22" t="str">
        <f t="shared" si="26"/>
        <v/>
      </c>
      <c r="I108" s="22" t="str">
        <f t="shared" si="27"/>
        <v/>
      </c>
      <c r="J108" s="22" t="str">
        <f t="shared" si="28"/>
        <v/>
      </c>
      <c r="K108" s="22" t="str">
        <f t="shared" si="29"/>
        <v/>
      </c>
      <c r="L108" s="22" t="str">
        <f t="shared" si="30"/>
        <v/>
      </c>
      <c r="M108" s="22" t="str">
        <f t="shared" si="31"/>
        <v/>
      </c>
      <c r="N108" s="103"/>
      <c r="O108" s="102"/>
    </row>
    <row r="109" spans="2:15" hidden="1" outlineLevel="1" x14ac:dyDescent="0.2">
      <c r="B109" s="2">
        <f t="shared" si="22"/>
        <v>56</v>
      </c>
      <c r="D109" s="22">
        <f>IF(B109&lt;$D$24,(+CALCULETTE!T688/CALCULETTE!$B$612),0)</f>
        <v>0</v>
      </c>
      <c r="E109" s="22" t="str">
        <f t="shared" si="23"/>
        <v/>
      </c>
      <c r="F109" s="22" t="str">
        <f t="shared" si="24"/>
        <v/>
      </c>
      <c r="G109" s="22" t="str">
        <f t="shared" si="25"/>
        <v/>
      </c>
      <c r="H109" s="22" t="str">
        <f t="shared" si="26"/>
        <v/>
      </c>
      <c r="I109" s="22" t="str">
        <f t="shared" si="27"/>
        <v/>
      </c>
      <c r="J109" s="22" t="str">
        <f t="shared" si="28"/>
        <v/>
      </c>
      <c r="K109" s="22" t="str">
        <f t="shared" si="29"/>
        <v/>
      </c>
      <c r="L109" s="22" t="str">
        <f t="shared" si="30"/>
        <v/>
      </c>
      <c r="M109" s="22" t="str">
        <f t="shared" si="31"/>
        <v/>
      </c>
      <c r="N109" s="103"/>
      <c r="O109" s="102"/>
    </row>
    <row r="110" spans="2:15" hidden="1" outlineLevel="1" x14ac:dyDescent="0.2">
      <c r="B110" s="2">
        <f t="shared" si="22"/>
        <v>57</v>
      </c>
      <c r="D110" s="22">
        <f>IF(B110&lt;$D$24,(+CALCULETTE!T689/CALCULETTE!$B$612),0)</f>
        <v>0</v>
      </c>
      <c r="E110" s="22" t="str">
        <f t="shared" si="23"/>
        <v/>
      </c>
      <c r="F110" s="22" t="str">
        <f t="shared" si="24"/>
        <v/>
      </c>
      <c r="G110" s="22" t="str">
        <f t="shared" si="25"/>
        <v/>
      </c>
      <c r="H110" s="22" t="str">
        <f t="shared" si="26"/>
        <v/>
      </c>
      <c r="I110" s="22" t="str">
        <f t="shared" si="27"/>
        <v/>
      </c>
      <c r="J110" s="22" t="str">
        <f t="shared" si="28"/>
        <v/>
      </c>
      <c r="K110" s="22" t="str">
        <f t="shared" si="29"/>
        <v/>
      </c>
      <c r="L110" s="22" t="str">
        <f t="shared" si="30"/>
        <v/>
      </c>
      <c r="M110" s="22" t="str">
        <f t="shared" si="31"/>
        <v/>
      </c>
      <c r="N110" s="103"/>
      <c r="O110" s="102"/>
    </row>
    <row r="111" spans="2:15" hidden="1" outlineLevel="1" x14ac:dyDescent="0.2">
      <c r="B111" s="2">
        <f t="shared" si="22"/>
        <v>58</v>
      </c>
      <c r="D111" s="22">
        <f>IF(B111&lt;$D$24,(+CALCULETTE!T690/CALCULETTE!$B$612),0)</f>
        <v>0</v>
      </c>
      <c r="E111" s="22" t="str">
        <f t="shared" si="23"/>
        <v/>
      </c>
      <c r="F111" s="22" t="str">
        <f t="shared" si="24"/>
        <v/>
      </c>
      <c r="G111" s="22" t="str">
        <f t="shared" si="25"/>
        <v/>
      </c>
      <c r="H111" s="22" t="str">
        <f t="shared" si="26"/>
        <v/>
      </c>
      <c r="I111" s="22" t="str">
        <f t="shared" si="27"/>
        <v/>
      </c>
      <c r="J111" s="22" t="str">
        <f t="shared" si="28"/>
        <v/>
      </c>
      <c r="K111" s="22" t="str">
        <f t="shared" si="29"/>
        <v/>
      </c>
      <c r="L111" s="22" t="str">
        <f t="shared" si="30"/>
        <v/>
      </c>
      <c r="M111" s="22" t="str">
        <f t="shared" si="31"/>
        <v/>
      </c>
      <c r="N111" s="103"/>
      <c r="O111" s="102"/>
    </row>
    <row r="112" spans="2:15" hidden="1" outlineLevel="1" x14ac:dyDescent="0.2">
      <c r="B112" s="2">
        <f t="shared" si="22"/>
        <v>59</v>
      </c>
      <c r="D112" s="22">
        <f>IF(B112&lt;$D$24,(+CALCULETTE!T691/CALCULETTE!$B$612),0)</f>
        <v>0</v>
      </c>
      <c r="E112" s="22" t="str">
        <f t="shared" si="23"/>
        <v/>
      </c>
      <c r="F112" s="22" t="str">
        <f t="shared" si="24"/>
        <v/>
      </c>
      <c r="G112" s="22" t="str">
        <f t="shared" si="25"/>
        <v/>
      </c>
      <c r="H112" s="22" t="str">
        <f t="shared" si="26"/>
        <v/>
      </c>
      <c r="I112" s="22" t="str">
        <f t="shared" si="27"/>
        <v/>
      </c>
      <c r="J112" s="22" t="str">
        <f t="shared" si="28"/>
        <v/>
      </c>
      <c r="K112" s="22" t="str">
        <f t="shared" si="29"/>
        <v/>
      </c>
      <c r="L112" s="22" t="str">
        <f t="shared" si="30"/>
        <v/>
      </c>
      <c r="M112" s="22" t="str">
        <f t="shared" si="31"/>
        <v/>
      </c>
      <c r="N112" s="103"/>
      <c r="O112" s="102"/>
    </row>
    <row r="113" spans="2:15" hidden="1" outlineLevel="1" x14ac:dyDescent="0.2">
      <c r="B113" s="2">
        <f t="shared" si="22"/>
        <v>60</v>
      </c>
      <c r="D113" s="22">
        <f>IF(B113&lt;$D$24,(+CALCULETTE!T692/CALCULETTE!$B$612),0)</f>
        <v>0</v>
      </c>
      <c r="E113" s="22" t="str">
        <f t="shared" si="23"/>
        <v/>
      </c>
      <c r="F113" s="22" t="str">
        <f t="shared" si="24"/>
        <v/>
      </c>
      <c r="G113" s="22" t="str">
        <f t="shared" si="25"/>
        <v/>
      </c>
      <c r="H113" s="22" t="str">
        <f t="shared" si="26"/>
        <v/>
      </c>
      <c r="I113" s="22" t="str">
        <f t="shared" si="27"/>
        <v/>
      </c>
      <c r="J113" s="22" t="str">
        <f t="shared" si="28"/>
        <v/>
      </c>
      <c r="K113" s="22" t="str">
        <f t="shared" si="29"/>
        <v/>
      </c>
      <c r="L113" s="22" t="str">
        <f t="shared" si="30"/>
        <v/>
      </c>
      <c r="M113" s="22" t="str">
        <f t="shared" si="31"/>
        <v/>
      </c>
      <c r="N113" s="103"/>
      <c r="O113" s="102"/>
    </row>
    <row r="114" spans="2:15" hidden="1" outlineLevel="1" x14ac:dyDescent="0.2">
      <c r="B114" s="2">
        <f t="shared" si="22"/>
        <v>61</v>
      </c>
      <c r="D114" s="22">
        <f>IF(B114&lt;$D$24,(+CALCULETTE!T693/CALCULETTE!$B$612),0)</f>
        <v>0</v>
      </c>
      <c r="E114" s="22" t="str">
        <f t="shared" si="23"/>
        <v/>
      </c>
      <c r="F114" s="22" t="str">
        <f t="shared" si="24"/>
        <v/>
      </c>
      <c r="G114" s="22" t="str">
        <f t="shared" si="25"/>
        <v/>
      </c>
      <c r="H114" s="22" t="str">
        <f t="shared" si="26"/>
        <v/>
      </c>
      <c r="I114" s="22" t="str">
        <f t="shared" si="27"/>
        <v/>
      </c>
      <c r="J114" s="22" t="str">
        <f t="shared" si="28"/>
        <v/>
      </c>
      <c r="K114" s="22" t="str">
        <f t="shared" si="29"/>
        <v/>
      </c>
      <c r="L114" s="22" t="str">
        <f t="shared" si="30"/>
        <v/>
      </c>
      <c r="M114" s="22" t="str">
        <f t="shared" si="31"/>
        <v/>
      </c>
      <c r="N114" s="103"/>
      <c r="O114" s="102"/>
    </row>
    <row r="115" spans="2:15" hidden="1" outlineLevel="1" x14ac:dyDescent="0.2">
      <c r="B115" s="2">
        <f t="shared" si="22"/>
        <v>62</v>
      </c>
      <c r="D115" s="22">
        <f>IF(B115&lt;$D$24,(+CALCULETTE!T694/CALCULETTE!$B$612),0)</f>
        <v>0</v>
      </c>
      <c r="E115" s="22" t="str">
        <f t="shared" si="23"/>
        <v/>
      </c>
      <c r="F115" s="22" t="str">
        <f t="shared" si="24"/>
        <v/>
      </c>
      <c r="G115" s="22" t="str">
        <f t="shared" si="25"/>
        <v/>
      </c>
      <c r="H115" s="22" t="str">
        <f t="shared" si="26"/>
        <v/>
      </c>
      <c r="I115" s="22" t="str">
        <f t="shared" si="27"/>
        <v/>
      </c>
      <c r="J115" s="22" t="str">
        <f t="shared" si="28"/>
        <v/>
      </c>
      <c r="K115" s="22" t="str">
        <f t="shared" si="29"/>
        <v/>
      </c>
      <c r="L115" s="22" t="str">
        <f t="shared" si="30"/>
        <v/>
      </c>
      <c r="M115" s="22" t="str">
        <f t="shared" si="31"/>
        <v/>
      </c>
      <c r="N115" s="103"/>
      <c r="O115" s="102"/>
    </row>
    <row r="116" spans="2:15" hidden="1" outlineLevel="1" x14ac:dyDescent="0.2">
      <c r="B116" s="2">
        <f t="shared" si="22"/>
        <v>63</v>
      </c>
      <c r="D116" s="22">
        <f>IF(B116&lt;$D$24,(+CALCULETTE!T695/CALCULETTE!$B$612),0)</f>
        <v>0</v>
      </c>
      <c r="E116" s="22" t="str">
        <f t="shared" si="23"/>
        <v/>
      </c>
      <c r="F116" s="22" t="str">
        <f t="shared" si="24"/>
        <v/>
      </c>
      <c r="G116" s="22" t="str">
        <f t="shared" si="25"/>
        <v/>
      </c>
      <c r="H116" s="22" t="str">
        <f t="shared" si="26"/>
        <v/>
      </c>
      <c r="I116" s="22" t="str">
        <f t="shared" si="27"/>
        <v/>
      </c>
      <c r="J116" s="22" t="str">
        <f t="shared" si="28"/>
        <v/>
      </c>
      <c r="K116" s="22" t="str">
        <f t="shared" si="29"/>
        <v/>
      </c>
      <c r="L116" s="22" t="str">
        <f t="shared" si="30"/>
        <v/>
      </c>
      <c r="M116" s="22" t="str">
        <f t="shared" si="31"/>
        <v/>
      </c>
      <c r="N116" s="103"/>
      <c r="O116" s="102"/>
    </row>
    <row r="117" spans="2:15" hidden="1" outlineLevel="1" x14ac:dyDescent="0.2">
      <c r="B117" s="2">
        <f t="shared" si="22"/>
        <v>64</v>
      </c>
      <c r="D117" s="22">
        <f>IF(B117&lt;$D$24,(+CALCULETTE!T696/CALCULETTE!$B$612),0)</f>
        <v>0</v>
      </c>
      <c r="E117" s="22" t="str">
        <f t="shared" si="23"/>
        <v/>
      </c>
      <c r="F117" s="22" t="str">
        <f t="shared" si="24"/>
        <v/>
      </c>
      <c r="G117" s="22" t="str">
        <f t="shared" si="25"/>
        <v/>
      </c>
      <c r="H117" s="22" t="str">
        <f t="shared" si="26"/>
        <v/>
      </c>
      <c r="I117" s="22" t="str">
        <f t="shared" si="27"/>
        <v/>
      </c>
      <c r="J117" s="22" t="str">
        <f t="shared" si="28"/>
        <v/>
      </c>
      <c r="K117" s="22" t="str">
        <f t="shared" si="29"/>
        <v/>
      </c>
      <c r="L117" s="22" t="str">
        <f t="shared" si="30"/>
        <v/>
      </c>
      <c r="M117" s="22" t="str">
        <f t="shared" si="31"/>
        <v/>
      </c>
      <c r="N117" s="103"/>
      <c r="O117" s="102"/>
    </row>
    <row r="118" spans="2:15" hidden="1" outlineLevel="1" x14ac:dyDescent="0.2">
      <c r="B118" s="2">
        <f t="shared" ref="B118:B149" si="32">B117+1</f>
        <v>65</v>
      </c>
      <c r="D118" s="22">
        <f>IF(B118&lt;$D$24,(+CALCULETTE!T697/CALCULETTE!$B$612),0)</f>
        <v>0</v>
      </c>
      <c r="E118" s="22" t="str">
        <f t="shared" ref="E118:E149" si="33">IF(E$1=0,"",IF($B118&lt;E$23,E117+PPMT(E$25/12,$B118,E$23,E$53,-E$27,0),IF($B118=E$23,E117+PPMT(E$25/12,$B118,E$23,E$53,-E$27,0)-E$27,0)))</f>
        <v/>
      </c>
      <c r="F118" s="22" t="str">
        <f t="shared" ref="F118:F149" si="34">IF(F$1=0,"",IF($B118&lt;F$23,F117+PPMT(F$25/12,$B118,F$23,F$53,-F$27,0),IF($B118=F$23,F117+PPMT(F$25/12,$B118,F$23,F$53,-F$27,0)-F$27,0)))</f>
        <v/>
      </c>
      <c r="G118" s="22" t="str">
        <f t="shared" ref="G118:G149" si="35">IF(G$1=0,"",IF($B118&lt;G$23,G117+PPMT(G$25/12,$B118,G$23,G$53,-G$27,0),IF($B118=G$23,G117+PPMT(G$25/12,$B118,G$23,G$53,-G$27,0)-G$27,0)))</f>
        <v/>
      </c>
      <c r="H118" s="22" t="str">
        <f t="shared" ref="H118:H149" si="36">IF(H$1=0,"",IF($B118&lt;H$23,H117+PPMT(H$25/12,$B118,H$23,H$53,-H$27,0),IF($B118=H$23,H117+PPMT(H$25/12,$B118,H$23,H$53,-H$27,0)-H$27,0)))</f>
        <v/>
      </c>
      <c r="I118" s="22" t="str">
        <f t="shared" ref="I118:I149" si="37">IF(I$1=0,"",IF($B118&lt;I$23,I117+PPMT(I$25/12,$B118,I$23,I$53,-I$27,0),IF($B118=I$23,I117+PPMT(I$25/12,$B118,I$23,I$53,-I$27,0)-I$27,0)))</f>
        <v/>
      </c>
      <c r="J118" s="22" t="str">
        <f t="shared" ref="J118:J149" si="38">IF(J$1=0,"",IF($B118&lt;J$23,J117+PPMT(J$25/12,$B118,J$23,J$53,-J$27,0),IF($B118=J$23,J117+PPMT(J$25/12,$B118,J$23,J$53,-J$27,0)-J$27,0)))</f>
        <v/>
      </c>
      <c r="K118" s="22" t="str">
        <f t="shared" ref="K118:K149" si="39">IF(K$1=0,"",IF($B118&lt;K$23,K117+PPMT(K$25/12,$B118,K$23,K$53,-K$27,0),IF($B118=K$23,K117+PPMT(K$25/12,$B118,K$23,K$53,-K$27,0)-K$27,0)))</f>
        <v/>
      </c>
      <c r="L118" s="22" t="str">
        <f t="shared" ref="L118:L149" si="40">IF(L$1=0,"",IF($B118&lt;L$23,L117+PPMT(L$25/12,$B118,L$23,L$53,-L$27,0),IF($B118=L$23,L117+PPMT(L$25/12,$B118,L$23,L$53,-L$27,0)-L$27,0)))</f>
        <v/>
      </c>
      <c r="M118" s="22" t="str">
        <f t="shared" ref="M118:M149" si="41">IF(M$1=0,"",IF($B118&lt;M$23,M117+PPMT(M$25/12,$B118,M$23,M$53,-M$27,0),IF($B118=M$23,M117+PPMT(M$25/12,$B118,M$23,M$53,-M$27,0)-M$27,0)))</f>
        <v/>
      </c>
      <c r="N118" s="103"/>
      <c r="O118" s="102"/>
    </row>
    <row r="119" spans="2:15" hidden="1" outlineLevel="1" x14ac:dyDescent="0.2">
      <c r="B119" s="2">
        <f t="shared" si="32"/>
        <v>66</v>
      </c>
      <c r="D119" s="22">
        <f>IF(B119&lt;$D$24,(+CALCULETTE!T698/CALCULETTE!$B$612),0)</f>
        <v>0</v>
      </c>
      <c r="E119" s="22" t="str">
        <f t="shared" si="33"/>
        <v/>
      </c>
      <c r="F119" s="22" t="str">
        <f t="shared" si="34"/>
        <v/>
      </c>
      <c r="G119" s="22" t="str">
        <f t="shared" si="35"/>
        <v/>
      </c>
      <c r="H119" s="22" t="str">
        <f t="shared" si="36"/>
        <v/>
      </c>
      <c r="I119" s="22" t="str">
        <f t="shared" si="37"/>
        <v/>
      </c>
      <c r="J119" s="22" t="str">
        <f t="shared" si="38"/>
        <v/>
      </c>
      <c r="K119" s="22" t="str">
        <f t="shared" si="39"/>
        <v/>
      </c>
      <c r="L119" s="22" t="str">
        <f t="shared" si="40"/>
        <v/>
      </c>
      <c r="M119" s="22" t="str">
        <f t="shared" si="41"/>
        <v/>
      </c>
      <c r="N119" s="103"/>
      <c r="O119" s="102"/>
    </row>
    <row r="120" spans="2:15" hidden="1" outlineLevel="1" x14ac:dyDescent="0.2">
      <c r="B120" s="2">
        <f t="shared" si="32"/>
        <v>67</v>
      </c>
      <c r="D120" s="22">
        <f>IF(B120&lt;$D$24,(+CALCULETTE!T699/CALCULETTE!$B$612),0)</f>
        <v>0</v>
      </c>
      <c r="E120" s="22" t="str">
        <f t="shared" si="33"/>
        <v/>
      </c>
      <c r="F120" s="22" t="str">
        <f t="shared" si="34"/>
        <v/>
      </c>
      <c r="G120" s="22" t="str">
        <f t="shared" si="35"/>
        <v/>
      </c>
      <c r="H120" s="22" t="str">
        <f t="shared" si="36"/>
        <v/>
      </c>
      <c r="I120" s="22" t="str">
        <f t="shared" si="37"/>
        <v/>
      </c>
      <c r="J120" s="22" t="str">
        <f t="shared" si="38"/>
        <v/>
      </c>
      <c r="K120" s="22" t="str">
        <f t="shared" si="39"/>
        <v/>
      </c>
      <c r="L120" s="22" t="str">
        <f t="shared" si="40"/>
        <v/>
      </c>
      <c r="M120" s="22" t="str">
        <f t="shared" si="41"/>
        <v/>
      </c>
      <c r="N120" s="103"/>
      <c r="O120" s="102"/>
    </row>
    <row r="121" spans="2:15" hidden="1" outlineLevel="1" x14ac:dyDescent="0.2">
      <c r="B121" s="2">
        <f t="shared" si="32"/>
        <v>68</v>
      </c>
      <c r="D121" s="22">
        <f>IF(B121&lt;$D$24,(+CALCULETTE!T700/CALCULETTE!$B$612),0)</f>
        <v>0</v>
      </c>
      <c r="E121" s="22" t="str">
        <f t="shared" si="33"/>
        <v/>
      </c>
      <c r="F121" s="22" t="str">
        <f t="shared" si="34"/>
        <v/>
      </c>
      <c r="G121" s="22" t="str">
        <f t="shared" si="35"/>
        <v/>
      </c>
      <c r="H121" s="22" t="str">
        <f t="shared" si="36"/>
        <v/>
      </c>
      <c r="I121" s="22" t="str">
        <f t="shared" si="37"/>
        <v/>
      </c>
      <c r="J121" s="22" t="str">
        <f t="shared" si="38"/>
        <v/>
      </c>
      <c r="K121" s="22" t="str">
        <f t="shared" si="39"/>
        <v/>
      </c>
      <c r="L121" s="22" t="str">
        <f t="shared" si="40"/>
        <v/>
      </c>
      <c r="M121" s="22" t="str">
        <f t="shared" si="41"/>
        <v/>
      </c>
      <c r="N121" s="103"/>
      <c r="O121" s="102"/>
    </row>
    <row r="122" spans="2:15" hidden="1" outlineLevel="1" x14ac:dyDescent="0.2">
      <c r="B122" s="2">
        <f t="shared" si="32"/>
        <v>69</v>
      </c>
      <c r="D122" s="22">
        <f>IF(B122&lt;$D$24,(+CALCULETTE!T701/CALCULETTE!$B$612),0)</f>
        <v>0</v>
      </c>
      <c r="E122" s="22" t="str">
        <f t="shared" si="33"/>
        <v/>
      </c>
      <c r="F122" s="22" t="str">
        <f t="shared" si="34"/>
        <v/>
      </c>
      <c r="G122" s="22" t="str">
        <f t="shared" si="35"/>
        <v/>
      </c>
      <c r="H122" s="22" t="str">
        <f t="shared" si="36"/>
        <v/>
      </c>
      <c r="I122" s="22" t="str">
        <f t="shared" si="37"/>
        <v/>
      </c>
      <c r="J122" s="22" t="str">
        <f t="shared" si="38"/>
        <v/>
      </c>
      <c r="K122" s="22" t="str">
        <f t="shared" si="39"/>
        <v/>
      </c>
      <c r="L122" s="22" t="str">
        <f t="shared" si="40"/>
        <v/>
      </c>
      <c r="M122" s="22" t="str">
        <f t="shared" si="41"/>
        <v/>
      </c>
      <c r="N122" s="103"/>
      <c r="O122" s="102"/>
    </row>
    <row r="123" spans="2:15" hidden="1" outlineLevel="1" x14ac:dyDescent="0.2">
      <c r="B123" s="2">
        <f t="shared" si="32"/>
        <v>70</v>
      </c>
      <c r="D123" s="22">
        <f>IF(B123&lt;$D$24,(+CALCULETTE!T702/CALCULETTE!$B$612),0)</f>
        <v>0</v>
      </c>
      <c r="E123" s="22" t="str">
        <f t="shared" si="33"/>
        <v/>
      </c>
      <c r="F123" s="22" t="str">
        <f t="shared" si="34"/>
        <v/>
      </c>
      <c r="G123" s="22" t="str">
        <f t="shared" si="35"/>
        <v/>
      </c>
      <c r="H123" s="22" t="str">
        <f t="shared" si="36"/>
        <v/>
      </c>
      <c r="I123" s="22" t="str">
        <f t="shared" si="37"/>
        <v/>
      </c>
      <c r="J123" s="22" t="str">
        <f t="shared" si="38"/>
        <v/>
      </c>
      <c r="K123" s="22" t="str">
        <f t="shared" si="39"/>
        <v/>
      </c>
      <c r="L123" s="22" t="str">
        <f t="shared" si="40"/>
        <v/>
      </c>
      <c r="M123" s="22" t="str">
        <f t="shared" si="41"/>
        <v/>
      </c>
      <c r="N123" s="103"/>
      <c r="O123" s="102"/>
    </row>
    <row r="124" spans="2:15" hidden="1" outlineLevel="1" x14ac:dyDescent="0.2">
      <c r="B124" s="2">
        <f t="shared" si="32"/>
        <v>71</v>
      </c>
      <c r="D124" s="22">
        <f>IF(B124&lt;$D$24,(+CALCULETTE!T703/CALCULETTE!$B$612),0)</f>
        <v>0</v>
      </c>
      <c r="E124" s="22" t="str">
        <f t="shared" si="33"/>
        <v/>
      </c>
      <c r="F124" s="22" t="str">
        <f t="shared" si="34"/>
        <v/>
      </c>
      <c r="G124" s="22" t="str">
        <f t="shared" si="35"/>
        <v/>
      </c>
      <c r="H124" s="22" t="str">
        <f t="shared" si="36"/>
        <v/>
      </c>
      <c r="I124" s="22" t="str">
        <f t="shared" si="37"/>
        <v/>
      </c>
      <c r="J124" s="22" t="str">
        <f t="shared" si="38"/>
        <v/>
      </c>
      <c r="K124" s="22" t="str">
        <f t="shared" si="39"/>
        <v/>
      </c>
      <c r="L124" s="22" t="str">
        <f t="shared" si="40"/>
        <v/>
      </c>
      <c r="M124" s="22" t="str">
        <f t="shared" si="41"/>
        <v/>
      </c>
      <c r="N124" s="103"/>
      <c r="O124" s="102"/>
    </row>
    <row r="125" spans="2:15" hidden="1" outlineLevel="1" x14ac:dyDescent="0.2">
      <c r="B125" s="2">
        <f t="shared" si="32"/>
        <v>72</v>
      </c>
      <c r="D125" s="22">
        <f>IF(B125&lt;$D$24,(+CALCULETTE!T704/CALCULETTE!$B$612),0)</f>
        <v>0</v>
      </c>
      <c r="E125" s="22" t="str">
        <f t="shared" si="33"/>
        <v/>
      </c>
      <c r="F125" s="22" t="str">
        <f t="shared" si="34"/>
        <v/>
      </c>
      <c r="G125" s="22" t="str">
        <f t="shared" si="35"/>
        <v/>
      </c>
      <c r="H125" s="22" t="str">
        <f t="shared" si="36"/>
        <v/>
      </c>
      <c r="I125" s="22" t="str">
        <f t="shared" si="37"/>
        <v/>
      </c>
      <c r="J125" s="22" t="str">
        <f t="shared" si="38"/>
        <v/>
      </c>
      <c r="K125" s="22" t="str">
        <f t="shared" si="39"/>
        <v/>
      </c>
      <c r="L125" s="22" t="str">
        <f t="shared" si="40"/>
        <v/>
      </c>
      <c r="M125" s="22" t="str">
        <f t="shared" si="41"/>
        <v/>
      </c>
      <c r="N125" s="103"/>
      <c r="O125" s="102"/>
    </row>
    <row r="126" spans="2:15" hidden="1" outlineLevel="1" x14ac:dyDescent="0.2">
      <c r="B126" s="2">
        <f t="shared" si="32"/>
        <v>73</v>
      </c>
      <c r="D126" s="22">
        <f>IF(B126&lt;$D$24,(+CALCULETTE!T705/CALCULETTE!$B$612),0)</f>
        <v>0</v>
      </c>
      <c r="E126" s="22" t="str">
        <f t="shared" si="33"/>
        <v/>
      </c>
      <c r="F126" s="22" t="str">
        <f t="shared" si="34"/>
        <v/>
      </c>
      <c r="G126" s="22" t="str">
        <f t="shared" si="35"/>
        <v/>
      </c>
      <c r="H126" s="22" t="str">
        <f t="shared" si="36"/>
        <v/>
      </c>
      <c r="I126" s="22" t="str">
        <f t="shared" si="37"/>
        <v/>
      </c>
      <c r="J126" s="22" t="str">
        <f t="shared" si="38"/>
        <v/>
      </c>
      <c r="K126" s="22" t="str">
        <f t="shared" si="39"/>
        <v/>
      </c>
      <c r="L126" s="22" t="str">
        <f t="shared" si="40"/>
        <v/>
      </c>
      <c r="M126" s="22" t="str">
        <f t="shared" si="41"/>
        <v/>
      </c>
      <c r="N126" s="103"/>
      <c r="O126" s="102"/>
    </row>
    <row r="127" spans="2:15" hidden="1" outlineLevel="1" x14ac:dyDescent="0.2">
      <c r="B127" s="2">
        <f t="shared" si="32"/>
        <v>74</v>
      </c>
      <c r="D127" s="22">
        <f>IF(B127&lt;$D$24,(+CALCULETTE!T706/CALCULETTE!$B$612),0)</f>
        <v>0</v>
      </c>
      <c r="E127" s="22" t="str">
        <f t="shared" si="33"/>
        <v/>
      </c>
      <c r="F127" s="22" t="str">
        <f t="shared" si="34"/>
        <v/>
      </c>
      <c r="G127" s="22" t="str">
        <f t="shared" si="35"/>
        <v/>
      </c>
      <c r="H127" s="22" t="str">
        <f t="shared" si="36"/>
        <v/>
      </c>
      <c r="I127" s="22" t="str">
        <f t="shared" si="37"/>
        <v/>
      </c>
      <c r="J127" s="22" t="str">
        <f t="shared" si="38"/>
        <v/>
      </c>
      <c r="K127" s="22" t="str">
        <f t="shared" si="39"/>
        <v/>
      </c>
      <c r="L127" s="22" t="str">
        <f t="shared" si="40"/>
        <v/>
      </c>
      <c r="M127" s="22" t="str">
        <f t="shared" si="41"/>
        <v/>
      </c>
      <c r="N127" s="103"/>
      <c r="O127" s="102"/>
    </row>
    <row r="128" spans="2:15" hidden="1" outlineLevel="1" x14ac:dyDescent="0.2">
      <c r="B128" s="2">
        <f t="shared" si="32"/>
        <v>75</v>
      </c>
      <c r="D128" s="22">
        <f>IF(B128&lt;$D$24,(+CALCULETTE!T707/CALCULETTE!$B$612),0)</f>
        <v>0</v>
      </c>
      <c r="E128" s="22" t="str">
        <f t="shared" si="33"/>
        <v/>
      </c>
      <c r="F128" s="22" t="str">
        <f t="shared" si="34"/>
        <v/>
      </c>
      <c r="G128" s="22" t="str">
        <f t="shared" si="35"/>
        <v/>
      </c>
      <c r="H128" s="22" t="str">
        <f t="shared" si="36"/>
        <v/>
      </c>
      <c r="I128" s="22" t="str">
        <f t="shared" si="37"/>
        <v/>
      </c>
      <c r="J128" s="22" t="str">
        <f t="shared" si="38"/>
        <v/>
      </c>
      <c r="K128" s="22" t="str">
        <f t="shared" si="39"/>
        <v/>
      </c>
      <c r="L128" s="22" t="str">
        <f t="shared" si="40"/>
        <v/>
      </c>
      <c r="M128" s="22" t="str">
        <f t="shared" si="41"/>
        <v/>
      </c>
      <c r="N128" s="103"/>
      <c r="O128" s="102"/>
    </row>
    <row r="129" spans="2:15" hidden="1" outlineLevel="1" x14ac:dyDescent="0.2">
      <c r="B129" s="2">
        <f t="shared" si="32"/>
        <v>76</v>
      </c>
      <c r="D129" s="22">
        <f>IF(B129&lt;$D$24,(+CALCULETTE!T708/CALCULETTE!$B$612),0)</f>
        <v>0</v>
      </c>
      <c r="E129" s="22" t="str">
        <f t="shared" si="33"/>
        <v/>
      </c>
      <c r="F129" s="22" t="str">
        <f t="shared" si="34"/>
        <v/>
      </c>
      <c r="G129" s="22" t="str">
        <f t="shared" si="35"/>
        <v/>
      </c>
      <c r="H129" s="22" t="str">
        <f t="shared" si="36"/>
        <v/>
      </c>
      <c r="I129" s="22" t="str">
        <f t="shared" si="37"/>
        <v/>
      </c>
      <c r="J129" s="22" t="str">
        <f t="shared" si="38"/>
        <v/>
      </c>
      <c r="K129" s="22" t="str">
        <f t="shared" si="39"/>
        <v/>
      </c>
      <c r="L129" s="22" t="str">
        <f t="shared" si="40"/>
        <v/>
      </c>
      <c r="M129" s="22" t="str">
        <f t="shared" si="41"/>
        <v/>
      </c>
      <c r="N129" s="103"/>
      <c r="O129" s="102"/>
    </row>
    <row r="130" spans="2:15" hidden="1" outlineLevel="1" x14ac:dyDescent="0.2">
      <c r="B130" s="2">
        <f t="shared" si="32"/>
        <v>77</v>
      </c>
      <c r="D130" s="22">
        <f>IF(B130&lt;$D$24,(+CALCULETTE!T709/CALCULETTE!$B$612),0)</f>
        <v>0</v>
      </c>
      <c r="E130" s="22" t="str">
        <f t="shared" si="33"/>
        <v/>
      </c>
      <c r="F130" s="22" t="str">
        <f t="shared" si="34"/>
        <v/>
      </c>
      <c r="G130" s="22" t="str">
        <f t="shared" si="35"/>
        <v/>
      </c>
      <c r="H130" s="22" t="str">
        <f t="shared" si="36"/>
        <v/>
      </c>
      <c r="I130" s="22" t="str">
        <f t="shared" si="37"/>
        <v/>
      </c>
      <c r="J130" s="22" t="str">
        <f t="shared" si="38"/>
        <v/>
      </c>
      <c r="K130" s="22" t="str">
        <f t="shared" si="39"/>
        <v/>
      </c>
      <c r="L130" s="22" t="str">
        <f t="shared" si="40"/>
        <v/>
      </c>
      <c r="M130" s="22" t="str">
        <f t="shared" si="41"/>
        <v/>
      </c>
      <c r="N130" s="103"/>
      <c r="O130" s="102"/>
    </row>
    <row r="131" spans="2:15" hidden="1" outlineLevel="1" x14ac:dyDescent="0.2">
      <c r="B131" s="2">
        <f t="shared" si="32"/>
        <v>78</v>
      </c>
      <c r="D131" s="22">
        <f>IF(B131&lt;$D$24,(+CALCULETTE!T710/CALCULETTE!$B$612),0)</f>
        <v>0</v>
      </c>
      <c r="E131" s="22" t="str">
        <f t="shared" si="33"/>
        <v/>
      </c>
      <c r="F131" s="22" t="str">
        <f t="shared" si="34"/>
        <v/>
      </c>
      <c r="G131" s="22" t="str">
        <f t="shared" si="35"/>
        <v/>
      </c>
      <c r="H131" s="22" t="str">
        <f t="shared" si="36"/>
        <v/>
      </c>
      <c r="I131" s="22" t="str">
        <f t="shared" si="37"/>
        <v/>
      </c>
      <c r="J131" s="22" t="str">
        <f t="shared" si="38"/>
        <v/>
      </c>
      <c r="K131" s="22" t="str">
        <f t="shared" si="39"/>
        <v/>
      </c>
      <c r="L131" s="22" t="str">
        <f t="shared" si="40"/>
        <v/>
      </c>
      <c r="M131" s="22" t="str">
        <f t="shared" si="41"/>
        <v/>
      </c>
      <c r="N131" s="103"/>
      <c r="O131" s="102"/>
    </row>
    <row r="132" spans="2:15" hidden="1" outlineLevel="1" x14ac:dyDescent="0.2">
      <c r="B132" s="2">
        <f t="shared" si="32"/>
        <v>79</v>
      </c>
      <c r="D132" s="22">
        <f>IF(B132&lt;$D$24,(+CALCULETTE!T711/CALCULETTE!$B$612),0)</f>
        <v>0</v>
      </c>
      <c r="E132" s="22" t="str">
        <f t="shared" si="33"/>
        <v/>
      </c>
      <c r="F132" s="22" t="str">
        <f t="shared" si="34"/>
        <v/>
      </c>
      <c r="G132" s="22" t="str">
        <f t="shared" si="35"/>
        <v/>
      </c>
      <c r="H132" s="22" t="str">
        <f t="shared" si="36"/>
        <v/>
      </c>
      <c r="I132" s="22" t="str">
        <f t="shared" si="37"/>
        <v/>
      </c>
      <c r="J132" s="22" t="str">
        <f t="shared" si="38"/>
        <v/>
      </c>
      <c r="K132" s="22" t="str">
        <f t="shared" si="39"/>
        <v/>
      </c>
      <c r="L132" s="22" t="str">
        <f t="shared" si="40"/>
        <v/>
      </c>
      <c r="M132" s="22" t="str">
        <f t="shared" si="41"/>
        <v/>
      </c>
      <c r="N132" s="103"/>
      <c r="O132" s="102"/>
    </row>
    <row r="133" spans="2:15" hidden="1" outlineLevel="1" x14ac:dyDescent="0.2">
      <c r="B133" s="2">
        <f t="shared" si="32"/>
        <v>80</v>
      </c>
      <c r="D133" s="22">
        <f>IF(B133&lt;$D$24,(+CALCULETTE!T712/CALCULETTE!$B$612),0)</f>
        <v>0</v>
      </c>
      <c r="E133" s="22" t="str">
        <f t="shared" si="33"/>
        <v/>
      </c>
      <c r="F133" s="22" t="str">
        <f t="shared" si="34"/>
        <v/>
      </c>
      <c r="G133" s="22" t="str">
        <f t="shared" si="35"/>
        <v/>
      </c>
      <c r="H133" s="22" t="str">
        <f t="shared" si="36"/>
        <v/>
      </c>
      <c r="I133" s="22" t="str">
        <f t="shared" si="37"/>
        <v/>
      </c>
      <c r="J133" s="22" t="str">
        <f t="shared" si="38"/>
        <v/>
      </c>
      <c r="K133" s="22" t="str">
        <f t="shared" si="39"/>
        <v/>
      </c>
      <c r="L133" s="22" t="str">
        <f t="shared" si="40"/>
        <v/>
      </c>
      <c r="M133" s="22" t="str">
        <f t="shared" si="41"/>
        <v/>
      </c>
      <c r="N133" s="103"/>
      <c r="O133" s="102"/>
    </row>
    <row r="134" spans="2:15" hidden="1" outlineLevel="1" x14ac:dyDescent="0.2">
      <c r="B134" s="2">
        <f t="shared" si="32"/>
        <v>81</v>
      </c>
      <c r="D134" s="22">
        <f>IF(B134&lt;$D$24,(+CALCULETTE!T713/CALCULETTE!$B$612),0)</f>
        <v>0</v>
      </c>
      <c r="E134" s="22" t="str">
        <f t="shared" si="33"/>
        <v/>
      </c>
      <c r="F134" s="22" t="str">
        <f t="shared" si="34"/>
        <v/>
      </c>
      <c r="G134" s="22" t="str">
        <f t="shared" si="35"/>
        <v/>
      </c>
      <c r="H134" s="22" t="str">
        <f t="shared" si="36"/>
        <v/>
      </c>
      <c r="I134" s="22" t="str">
        <f t="shared" si="37"/>
        <v/>
      </c>
      <c r="J134" s="22" t="str">
        <f t="shared" si="38"/>
        <v/>
      </c>
      <c r="K134" s="22" t="str">
        <f t="shared" si="39"/>
        <v/>
      </c>
      <c r="L134" s="22" t="str">
        <f t="shared" si="40"/>
        <v/>
      </c>
      <c r="M134" s="22" t="str">
        <f t="shared" si="41"/>
        <v/>
      </c>
      <c r="N134" s="103"/>
      <c r="O134" s="102"/>
    </row>
    <row r="135" spans="2:15" hidden="1" outlineLevel="1" x14ac:dyDescent="0.2">
      <c r="B135" s="2">
        <f t="shared" si="32"/>
        <v>82</v>
      </c>
      <c r="D135" s="22">
        <f>IF(B135&lt;$D$24,(+CALCULETTE!T714/CALCULETTE!$B$612),0)</f>
        <v>0</v>
      </c>
      <c r="E135" s="22" t="str">
        <f t="shared" si="33"/>
        <v/>
      </c>
      <c r="F135" s="22" t="str">
        <f t="shared" si="34"/>
        <v/>
      </c>
      <c r="G135" s="22" t="str">
        <f t="shared" si="35"/>
        <v/>
      </c>
      <c r="H135" s="22" t="str">
        <f t="shared" si="36"/>
        <v/>
      </c>
      <c r="I135" s="22" t="str">
        <f t="shared" si="37"/>
        <v/>
      </c>
      <c r="J135" s="22" t="str">
        <f t="shared" si="38"/>
        <v/>
      </c>
      <c r="K135" s="22" t="str">
        <f t="shared" si="39"/>
        <v/>
      </c>
      <c r="L135" s="22" t="str">
        <f t="shared" si="40"/>
        <v/>
      </c>
      <c r="M135" s="22" t="str">
        <f t="shared" si="41"/>
        <v/>
      </c>
      <c r="N135" s="103"/>
      <c r="O135" s="102"/>
    </row>
    <row r="136" spans="2:15" hidden="1" outlineLevel="1" x14ac:dyDescent="0.2">
      <c r="B136" s="2">
        <f t="shared" si="32"/>
        <v>83</v>
      </c>
      <c r="D136" s="22">
        <f>IF(B136&lt;$D$24,(+CALCULETTE!T715/CALCULETTE!$B$612),0)</f>
        <v>0</v>
      </c>
      <c r="E136" s="22" t="str">
        <f t="shared" si="33"/>
        <v/>
      </c>
      <c r="F136" s="22" t="str">
        <f t="shared" si="34"/>
        <v/>
      </c>
      <c r="G136" s="22" t="str">
        <f t="shared" si="35"/>
        <v/>
      </c>
      <c r="H136" s="22" t="str">
        <f t="shared" si="36"/>
        <v/>
      </c>
      <c r="I136" s="22" t="str">
        <f t="shared" si="37"/>
        <v/>
      </c>
      <c r="J136" s="22" t="str">
        <f t="shared" si="38"/>
        <v/>
      </c>
      <c r="K136" s="22" t="str">
        <f t="shared" si="39"/>
        <v/>
      </c>
      <c r="L136" s="22" t="str">
        <f t="shared" si="40"/>
        <v/>
      </c>
      <c r="M136" s="22" t="str">
        <f t="shared" si="41"/>
        <v/>
      </c>
      <c r="N136" s="103"/>
      <c r="O136" s="102"/>
    </row>
    <row r="137" spans="2:15" hidden="1" outlineLevel="1" x14ac:dyDescent="0.2">
      <c r="B137" s="2">
        <f t="shared" si="32"/>
        <v>84</v>
      </c>
      <c r="D137" s="22">
        <f>IF(B137&lt;$D$24,(+CALCULETTE!T716/CALCULETTE!$B$612),0)</f>
        <v>0</v>
      </c>
      <c r="E137" s="22" t="str">
        <f t="shared" si="33"/>
        <v/>
      </c>
      <c r="F137" s="22" t="str">
        <f t="shared" si="34"/>
        <v/>
      </c>
      <c r="G137" s="22" t="str">
        <f t="shared" si="35"/>
        <v/>
      </c>
      <c r="H137" s="22" t="str">
        <f t="shared" si="36"/>
        <v/>
      </c>
      <c r="I137" s="22" t="str">
        <f t="shared" si="37"/>
        <v/>
      </c>
      <c r="J137" s="22" t="str">
        <f t="shared" si="38"/>
        <v/>
      </c>
      <c r="K137" s="22" t="str">
        <f t="shared" si="39"/>
        <v/>
      </c>
      <c r="L137" s="22" t="str">
        <f t="shared" si="40"/>
        <v/>
      </c>
      <c r="M137" s="22" t="str">
        <f t="shared" si="41"/>
        <v/>
      </c>
      <c r="N137" s="103"/>
      <c r="O137" s="102"/>
    </row>
    <row r="138" spans="2:15" hidden="1" outlineLevel="1" x14ac:dyDescent="0.2">
      <c r="B138" s="2">
        <f t="shared" si="32"/>
        <v>85</v>
      </c>
      <c r="D138" s="22">
        <f>IF(B138&lt;$D$24,(+CALCULETTE!T717/CALCULETTE!$B$612),0)</f>
        <v>0</v>
      </c>
      <c r="E138" s="22" t="str">
        <f t="shared" si="33"/>
        <v/>
      </c>
      <c r="F138" s="22" t="str">
        <f t="shared" si="34"/>
        <v/>
      </c>
      <c r="G138" s="22" t="str">
        <f t="shared" si="35"/>
        <v/>
      </c>
      <c r="H138" s="22" t="str">
        <f t="shared" si="36"/>
        <v/>
      </c>
      <c r="I138" s="22" t="str">
        <f t="shared" si="37"/>
        <v/>
      </c>
      <c r="J138" s="22" t="str">
        <f t="shared" si="38"/>
        <v/>
      </c>
      <c r="K138" s="22" t="str">
        <f t="shared" si="39"/>
        <v/>
      </c>
      <c r="L138" s="22" t="str">
        <f t="shared" si="40"/>
        <v/>
      </c>
      <c r="M138" s="22" t="str">
        <f t="shared" si="41"/>
        <v/>
      </c>
      <c r="N138" s="103"/>
      <c r="O138" s="102"/>
    </row>
    <row r="139" spans="2:15" hidden="1" outlineLevel="1" x14ac:dyDescent="0.2">
      <c r="B139" s="2">
        <f t="shared" si="32"/>
        <v>86</v>
      </c>
      <c r="D139" s="22">
        <f>IF(B139&lt;$D$24,(+CALCULETTE!T718/CALCULETTE!$B$612),0)</f>
        <v>0</v>
      </c>
      <c r="E139" s="22" t="str">
        <f t="shared" si="33"/>
        <v/>
      </c>
      <c r="F139" s="22" t="str">
        <f t="shared" si="34"/>
        <v/>
      </c>
      <c r="G139" s="22" t="str">
        <f t="shared" si="35"/>
        <v/>
      </c>
      <c r="H139" s="22" t="str">
        <f t="shared" si="36"/>
        <v/>
      </c>
      <c r="I139" s="22" t="str">
        <f t="shared" si="37"/>
        <v/>
      </c>
      <c r="J139" s="22" t="str">
        <f t="shared" si="38"/>
        <v/>
      </c>
      <c r="K139" s="22" t="str">
        <f t="shared" si="39"/>
        <v/>
      </c>
      <c r="L139" s="22" t="str">
        <f t="shared" si="40"/>
        <v/>
      </c>
      <c r="M139" s="22" t="str">
        <f t="shared" si="41"/>
        <v/>
      </c>
      <c r="N139" s="103"/>
      <c r="O139" s="102"/>
    </row>
    <row r="140" spans="2:15" hidden="1" outlineLevel="1" x14ac:dyDescent="0.2">
      <c r="B140" s="2">
        <f t="shared" si="32"/>
        <v>87</v>
      </c>
      <c r="D140" s="22">
        <f>IF(B140&lt;$D$24,(+CALCULETTE!T719/CALCULETTE!$B$612),0)</f>
        <v>0</v>
      </c>
      <c r="E140" s="22" t="str">
        <f t="shared" si="33"/>
        <v/>
      </c>
      <c r="F140" s="22" t="str">
        <f t="shared" si="34"/>
        <v/>
      </c>
      <c r="G140" s="22" t="str">
        <f t="shared" si="35"/>
        <v/>
      </c>
      <c r="H140" s="22" t="str">
        <f t="shared" si="36"/>
        <v/>
      </c>
      <c r="I140" s="22" t="str">
        <f t="shared" si="37"/>
        <v/>
      </c>
      <c r="J140" s="22" t="str">
        <f t="shared" si="38"/>
        <v/>
      </c>
      <c r="K140" s="22" t="str">
        <f t="shared" si="39"/>
        <v/>
      </c>
      <c r="L140" s="22" t="str">
        <f t="shared" si="40"/>
        <v/>
      </c>
      <c r="M140" s="22" t="str">
        <f t="shared" si="41"/>
        <v/>
      </c>
      <c r="N140" s="103"/>
      <c r="O140" s="102"/>
    </row>
    <row r="141" spans="2:15" hidden="1" outlineLevel="1" x14ac:dyDescent="0.2">
      <c r="B141" s="2">
        <f t="shared" si="32"/>
        <v>88</v>
      </c>
      <c r="D141" s="22">
        <f>IF(B141&lt;$D$24,(+CALCULETTE!T720/CALCULETTE!$B$612),0)</f>
        <v>0</v>
      </c>
      <c r="E141" s="22" t="str">
        <f t="shared" si="33"/>
        <v/>
      </c>
      <c r="F141" s="22" t="str">
        <f t="shared" si="34"/>
        <v/>
      </c>
      <c r="G141" s="22" t="str">
        <f t="shared" si="35"/>
        <v/>
      </c>
      <c r="H141" s="22" t="str">
        <f t="shared" si="36"/>
        <v/>
      </c>
      <c r="I141" s="22" t="str">
        <f t="shared" si="37"/>
        <v/>
      </c>
      <c r="J141" s="22" t="str">
        <f t="shared" si="38"/>
        <v/>
      </c>
      <c r="K141" s="22" t="str">
        <f t="shared" si="39"/>
        <v/>
      </c>
      <c r="L141" s="22" t="str">
        <f t="shared" si="40"/>
        <v/>
      </c>
      <c r="M141" s="22" t="str">
        <f t="shared" si="41"/>
        <v/>
      </c>
      <c r="N141" s="103"/>
      <c r="O141" s="102"/>
    </row>
    <row r="142" spans="2:15" hidden="1" outlineLevel="1" x14ac:dyDescent="0.2">
      <c r="B142" s="2">
        <f t="shared" si="32"/>
        <v>89</v>
      </c>
      <c r="D142" s="22">
        <f>IF(B142&lt;$D$24,(+CALCULETTE!T721/CALCULETTE!$B$612),0)</f>
        <v>0</v>
      </c>
      <c r="E142" s="22" t="str">
        <f t="shared" si="33"/>
        <v/>
      </c>
      <c r="F142" s="22" t="str">
        <f t="shared" si="34"/>
        <v/>
      </c>
      <c r="G142" s="22" t="str">
        <f t="shared" si="35"/>
        <v/>
      </c>
      <c r="H142" s="22" t="str">
        <f t="shared" si="36"/>
        <v/>
      </c>
      <c r="I142" s="22" t="str">
        <f t="shared" si="37"/>
        <v/>
      </c>
      <c r="J142" s="22" t="str">
        <f t="shared" si="38"/>
        <v/>
      </c>
      <c r="K142" s="22" t="str">
        <f t="shared" si="39"/>
        <v/>
      </c>
      <c r="L142" s="22" t="str">
        <f t="shared" si="40"/>
        <v/>
      </c>
      <c r="M142" s="22" t="str">
        <f t="shared" si="41"/>
        <v/>
      </c>
      <c r="N142" s="103"/>
      <c r="O142" s="102"/>
    </row>
    <row r="143" spans="2:15" hidden="1" outlineLevel="1" x14ac:dyDescent="0.2">
      <c r="B143" s="2">
        <f t="shared" si="32"/>
        <v>90</v>
      </c>
      <c r="D143" s="22">
        <f>IF(B143&lt;$D$24,(+CALCULETTE!T722/CALCULETTE!$B$612),0)</f>
        <v>0</v>
      </c>
      <c r="E143" s="22" t="str">
        <f t="shared" si="33"/>
        <v/>
      </c>
      <c r="F143" s="22" t="str">
        <f t="shared" si="34"/>
        <v/>
      </c>
      <c r="G143" s="22" t="str">
        <f t="shared" si="35"/>
        <v/>
      </c>
      <c r="H143" s="22" t="str">
        <f t="shared" si="36"/>
        <v/>
      </c>
      <c r="I143" s="22" t="str">
        <f t="shared" si="37"/>
        <v/>
      </c>
      <c r="J143" s="22" t="str">
        <f t="shared" si="38"/>
        <v/>
      </c>
      <c r="K143" s="22" t="str">
        <f t="shared" si="39"/>
        <v/>
      </c>
      <c r="L143" s="22" t="str">
        <f t="shared" si="40"/>
        <v/>
      </c>
      <c r="M143" s="22" t="str">
        <f t="shared" si="41"/>
        <v/>
      </c>
      <c r="N143" s="103"/>
      <c r="O143" s="102"/>
    </row>
    <row r="144" spans="2:15" hidden="1" outlineLevel="1" x14ac:dyDescent="0.2">
      <c r="B144" s="2">
        <f t="shared" si="32"/>
        <v>91</v>
      </c>
      <c r="D144" s="22">
        <f>IF(B144&lt;$D$24,(+CALCULETTE!T723/CALCULETTE!$B$612),0)</f>
        <v>0</v>
      </c>
      <c r="E144" s="22" t="str">
        <f t="shared" si="33"/>
        <v/>
      </c>
      <c r="F144" s="22" t="str">
        <f t="shared" si="34"/>
        <v/>
      </c>
      <c r="G144" s="22" t="str">
        <f t="shared" si="35"/>
        <v/>
      </c>
      <c r="H144" s="22" t="str">
        <f t="shared" si="36"/>
        <v/>
      </c>
      <c r="I144" s="22" t="str">
        <f t="shared" si="37"/>
        <v/>
      </c>
      <c r="J144" s="22" t="str">
        <f t="shared" si="38"/>
        <v/>
      </c>
      <c r="K144" s="22" t="str">
        <f t="shared" si="39"/>
        <v/>
      </c>
      <c r="L144" s="22" t="str">
        <f t="shared" si="40"/>
        <v/>
      </c>
      <c r="M144" s="22" t="str">
        <f t="shared" si="41"/>
        <v/>
      </c>
      <c r="N144" s="103"/>
      <c r="O144" s="102"/>
    </row>
    <row r="145" spans="2:15" hidden="1" outlineLevel="1" x14ac:dyDescent="0.2">
      <c r="B145" s="2">
        <f t="shared" si="32"/>
        <v>92</v>
      </c>
      <c r="D145" s="22">
        <f>IF(B145&lt;$D$24,(+CALCULETTE!T724/CALCULETTE!$B$612),0)</f>
        <v>0</v>
      </c>
      <c r="E145" s="22" t="str">
        <f t="shared" si="33"/>
        <v/>
      </c>
      <c r="F145" s="22" t="str">
        <f t="shared" si="34"/>
        <v/>
      </c>
      <c r="G145" s="22" t="str">
        <f t="shared" si="35"/>
        <v/>
      </c>
      <c r="H145" s="22" t="str">
        <f t="shared" si="36"/>
        <v/>
      </c>
      <c r="I145" s="22" t="str">
        <f t="shared" si="37"/>
        <v/>
      </c>
      <c r="J145" s="22" t="str">
        <f t="shared" si="38"/>
        <v/>
      </c>
      <c r="K145" s="22" t="str">
        <f t="shared" si="39"/>
        <v/>
      </c>
      <c r="L145" s="22" t="str">
        <f t="shared" si="40"/>
        <v/>
      </c>
      <c r="M145" s="22" t="str">
        <f t="shared" si="41"/>
        <v/>
      </c>
      <c r="N145" s="103"/>
      <c r="O145" s="102"/>
    </row>
    <row r="146" spans="2:15" hidden="1" outlineLevel="1" x14ac:dyDescent="0.2">
      <c r="B146" s="2">
        <f t="shared" si="32"/>
        <v>93</v>
      </c>
      <c r="D146" s="22">
        <f>IF(B146&lt;$D$24,(+CALCULETTE!T725/CALCULETTE!$B$612),0)</f>
        <v>0</v>
      </c>
      <c r="E146" s="22" t="str">
        <f t="shared" si="33"/>
        <v/>
      </c>
      <c r="F146" s="22" t="str">
        <f t="shared" si="34"/>
        <v/>
      </c>
      <c r="G146" s="22" t="str">
        <f t="shared" si="35"/>
        <v/>
      </c>
      <c r="H146" s="22" t="str">
        <f t="shared" si="36"/>
        <v/>
      </c>
      <c r="I146" s="22" t="str">
        <f t="shared" si="37"/>
        <v/>
      </c>
      <c r="J146" s="22" t="str">
        <f t="shared" si="38"/>
        <v/>
      </c>
      <c r="K146" s="22" t="str">
        <f t="shared" si="39"/>
        <v/>
      </c>
      <c r="L146" s="22" t="str">
        <f t="shared" si="40"/>
        <v/>
      </c>
      <c r="M146" s="22" t="str">
        <f t="shared" si="41"/>
        <v/>
      </c>
      <c r="N146" s="103"/>
      <c r="O146" s="102"/>
    </row>
    <row r="147" spans="2:15" hidden="1" outlineLevel="1" x14ac:dyDescent="0.2">
      <c r="B147" s="2">
        <f t="shared" si="32"/>
        <v>94</v>
      </c>
      <c r="D147" s="22">
        <f>IF(B147&lt;$D$24,(+CALCULETTE!T726/CALCULETTE!$B$612),0)</f>
        <v>0</v>
      </c>
      <c r="E147" s="22" t="str">
        <f t="shared" si="33"/>
        <v/>
      </c>
      <c r="F147" s="22" t="str">
        <f t="shared" si="34"/>
        <v/>
      </c>
      <c r="G147" s="22" t="str">
        <f t="shared" si="35"/>
        <v/>
      </c>
      <c r="H147" s="22" t="str">
        <f t="shared" si="36"/>
        <v/>
      </c>
      <c r="I147" s="22" t="str">
        <f t="shared" si="37"/>
        <v/>
      </c>
      <c r="J147" s="22" t="str">
        <f t="shared" si="38"/>
        <v/>
      </c>
      <c r="K147" s="22" t="str">
        <f t="shared" si="39"/>
        <v/>
      </c>
      <c r="L147" s="22" t="str">
        <f t="shared" si="40"/>
        <v/>
      </c>
      <c r="M147" s="22" t="str">
        <f t="shared" si="41"/>
        <v/>
      </c>
      <c r="N147" s="103"/>
      <c r="O147" s="102"/>
    </row>
    <row r="148" spans="2:15" hidden="1" outlineLevel="1" x14ac:dyDescent="0.2">
      <c r="B148" s="2">
        <f t="shared" si="32"/>
        <v>95</v>
      </c>
      <c r="D148" s="22">
        <f>IF(B148&lt;$D$24,(+CALCULETTE!T727/CALCULETTE!$B$612),0)</f>
        <v>0</v>
      </c>
      <c r="E148" s="22" t="str">
        <f t="shared" si="33"/>
        <v/>
      </c>
      <c r="F148" s="22" t="str">
        <f t="shared" si="34"/>
        <v/>
      </c>
      <c r="G148" s="22" t="str">
        <f t="shared" si="35"/>
        <v/>
      </c>
      <c r="H148" s="22" t="str">
        <f t="shared" si="36"/>
        <v/>
      </c>
      <c r="I148" s="22" t="str">
        <f t="shared" si="37"/>
        <v/>
      </c>
      <c r="J148" s="22" t="str">
        <f t="shared" si="38"/>
        <v/>
      </c>
      <c r="K148" s="22" t="str">
        <f t="shared" si="39"/>
        <v/>
      </c>
      <c r="L148" s="22" t="str">
        <f t="shared" si="40"/>
        <v/>
      </c>
      <c r="M148" s="22" t="str">
        <f t="shared" si="41"/>
        <v/>
      </c>
      <c r="N148" s="103"/>
      <c r="O148" s="102"/>
    </row>
    <row r="149" spans="2:15" hidden="1" outlineLevel="1" x14ac:dyDescent="0.2">
      <c r="B149" s="2">
        <f t="shared" si="32"/>
        <v>96</v>
      </c>
      <c r="D149" s="22">
        <f>IF(B149&lt;$D$24,(+CALCULETTE!T728/CALCULETTE!$B$612),0)</f>
        <v>0</v>
      </c>
      <c r="E149" s="22" t="str">
        <f t="shared" si="33"/>
        <v/>
      </c>
      <c r="F149" s="22" t="str">
        <f t="shared" si="34"/>
        <v/>
      </c>
      <c r="G149" s="22" t="str">
        <f t="shared" si="35"/>
        <v/>
      </c>
      <c r="H149" s="22" t="str">
        <f t="shared" si="36"/>
        <v/>
      </c>
      <c r="I149" s="22" t="str">
        <f t="shared" si="37"/>
        <v/>
      </c>
      <c r="J149" s="22" t="str">
        <f t="shared" si="38"/>
        <v/>
      </c>
      <c r="K149" s="22" t="str">
        <f t="shared" si="39"/>
        <v/>
      </c>
      <c r="L149" s="22" t="str">
        <f t="shared" si="40"/>
        <v/>
      </c>
      <c r="M149" s="22" t="str">
        <f t="shared" si="41"/>
        <v/>
      </c>
      <c r="N149" s="103"/>
      <c r="O149" s="102"/>
    </row>
    <row r="150" spans="2:15" hidden="1" outlineLevel="1" x14ac:dyDescent="0.2">
      <c r="B150" s="2">
        <f t="shared" ref="B150:B181" si="42">B149+1</f>
        <v>97</v>
      </c>
      <c r="D150" s="22">
        <f>IF(B150&lt;$D$24,(+CALCULETTE!T729/CALCULETTE!$B$612),0)</f>
        <v>0</v>
      </c>
      <c r="E150" s="22" t="str">
        <f t="shared" ref="E150:E181" si="43">IF(E$1=0,"",IF($B150&lt;E$23,E149+PPMT(E$25/12,$B150,E$23,E$53,-E$27,0),IF($B150=E$23,E149+PPMT(E$25/12,$B150,E$23,E$53,-E$27,0)-E$27,0)))</f>
        <v/>
      </c>
      <c r="F150" s="22" t="str">
        <f t="shared" ref="F150:F181" si="44">IF(F$1=0,"",IF($B150&lt;F$23,F149+PPMT(F$25/12,$B150,F$23,F$53,-F$27,0),IF($B150=F$23,F149+PPMT(F$25/12,$B150,F$23,F$53,-F$27,0)-F$27,0)))</f>
        <v/>
      </c>
      <c r="G150" s="22" t="str">
        <f t="shared" ref="G150:G181" si="45">IF(G$1=0,"",IF($B150&lt;G$23,G149+PPMT(G$25/12,$B150,G$23,G$53,-G$27,0),IF($B150=G$23,G149+PPMT(G$25/12,$B150,G$23,G$53,-G$27,0)-G$27,0)))</f>
        <v/>
      </c>
      <c r="H150" s="22" t="str">
        <f t="shared" ref="H150:H181" si="46">IF(H$1=0,"",IF($B150&lt;H$23,H149+PPMT(H$25/12,$B150,H$23,H$53,-H$27,0),IF($B150=H$23,H149+PPMT(H$25/12,$B150,H$23,H$53,-H$27,0)-H$27,0)))</f>
        <v/>
      </c>
      <c r="I150" s="22" t="str">
        <f t="shared" ref="I150:I181" si="47">IF(I$1=0,"",IF($B150&lt;I$23,I149+PPMT(I$25/12,$B150,I$23,I$53,-I$27,0),IF($B150=I$23,I149+PPMT(I$25/12,$B150,I$23,I$53,-I$27,0)-I$27,0)))</f>
        <v/>
      </c>
      <c r="J150" s="22" t="str">
        <f t="shared" ref="J150:J181" si="48">IF(J$1=0,"",IF($B150&lt;J$23,J149+PPMT(J$25/12,$B150,J$23,J$53,-J$27,0),IF($B150=J$23,J149+PPMT(J$25/12,$B150,J$23,J$53,-J$27,0)-J$27,0)))</f>
        <v/>
      </c>
      <c r="K150" s="22" t="str">
        <f t="shared" ref="K150:K181" si="49">IF(K$1=0,"",IF($B150&lt;K$23,K149+PPMT(K$25/12,$B150,K$23,K$53,-K$27,0),IF($B150=K$23,K149+PPMT(K$25/12,$B150,K$23,K$53,-K$27,0)-K$27,0)))</f>
        <v/>
      </c>
      <c r="L150" s="22" t="str">
        <f t="shared" ref="L150:L181" si="50">IF(L$1=0,"",IF($B150&lt;L$23,L149+PPMT(L$25/12,$B150,L$23,L$53,-L$27,0),IF($B150=L$23,L149+PPMT(L$25/12,$B150,L$23,L$53,-L$27,0)-L$27,0)))</f>
        <v/>
      </c>
      <c r="M150" s="22" t="str">
        <f t="shared" ref="M150:M181" si="51">IF(M$1=0,"",IF($B150&lt;M$23,M149+PPMT(M$25/12,$B150,M$23,M$53,-M$27,0),IF($B150=M$23,M149+PPMT(M$25/12,$B150,M$23,M$53,-M$27,0)-M$27,0)))</f>
        <v/>
      </c>
      <c r="N150" s="103"/>
      <c r="O150" s="102"/>
    </row>
    <row r="151" spans="2:15" hidden="1" outlineLevel="1" x14ac:dyDescent="0.2">
      <c r="B151" s="2">
        <f t="shared" si="42"/>
        <v>98</v>
      </c>
      <c r="D151" s="22">
        <f>IF(B151&lt;$D$24,(+CALCULETTE!T730/CALCULETTE!$B$612),0)</f>
        <v>0</v>
      </c>
      <c r="E151" s="22" t="str">
        <f t="shared" si="43"/>
        <v/>
      </c>
      <c r="F151" s="22" t="str">
        <f t="shared" si="44"/>
        <v/>
      </c>
      <c r="G151" s="22" t="str">
        <f t="shared" si="45"/>
        <v/>
      </c>
      <c r="H151" s="22" t="str">
        <f t="shared" si="46"/>
        <v/>
      </c>
      <c r="I151" s="22" t="str">
        <f t="shared" si="47"/>
        <v/>
      </c>
      <c r="J151" s="22" t="str">
        <f t="shared" si="48"/>
        <v/>
      </c>
      <c r="K151" s="22" t="str">
        <f t="shared" si="49"/>
        <v/>
      </c>
      <c r="L151" s="22" t="str">
        <f t="shared" si="50"/>
        <v/>
      </c>
      <c r="M151" s="22" t="str">
        <f t="shared" si="51"/>
        <v/>
      </c>
      <c r="N151" s="103"/>
      <c r="O151" s="102"/>
    </row>
    <row r="152" spans="2:15" hidden="1" outlineLevel="1" x14ac:dyDescent="0.2">
      <c r="B152" s="2">
        <f t="shared" si="42"/>
        <v>99</v>
      </c>
      <c r="D152" s="22">
        <f>IF(B152&lt;$D$24,(+CALCULETTE!T731/CALCULETTE!$B$612),0)</f>
        <v>0</v>
      </c>
      <c r="E152" s="22" t="str">
        <f t="shared" si="43"/>
        <v/>
      </c>
      <c r="F152" s="22" t="str">
        <f t="shared" si="44"/>
        <v/>
      </c>
      <c r="G152" s="22" t="str">
        <f t="shared" si="45"/>
        <v/>
      </c>
      <c r="H152" s="22" t="str">
        <f t="shared" si="46"/>
        <v/>
      </c>
      <c r="I152" s="22" t="str">
        <f t="shared" si="47"/>
        <v/>
      </c>
      <c r="J152" s="22" t="str">
        <f t="shared" si="48"/>
        <v/>
      </c>
      <c r="K152" s="22" t="str">
        <f t="shared" si="49"/>
        <v/>
      </c>
      <c r="L152" s="22" t="str">
        <f t="shared" si="50"/>
        <v/>
      </c>
      <c r="M152" s="22" t="str">
        <f t="shared" si="51"/>
        <v/>
      </c>
      <c r="N152" s="103"/>
      <c r="O152" s="102"/>
    </row>
    <row r="153" spans="2:15" hidden="1" outlineLevel="1" x14ac:dyDescent="0.2">
      <c r="B153" s="2">
        <f t="shared" si="42"/>
        <v>100</v>
      </c>
      <c r="D153" s="22">
        <f>IF(B153&lt;$D$24,(+CALCULETTE!T732/CALCULETTE!$B$612),0)</f>
        <v>0</v>
      </c>
      <c r="E153" s="22" t="str">
        <f t="shared" si="43"/>
        <v/>
      </c>
      <c r="F153" s="22" t="str">
        <f t="shared" si="44"/>
        <v/>
      </c>
      <c r="G153" s="22" t="str">
        <f t="shared" si="45"/>
        <v/>
      </c>
      <c r="H153" s="22" t="str">
        <f t="shared" si="46"/>
        <v/>
      </c>
      <c r="I153" s="22" t="str">
        <f t="shared" si="47"/>
        <v/>
      </c>
      <c r="J153" s="22" t="str">
        <f t="shared" si="48"/>
        <v/>
      </c>
      <c r="K153" s="22" t="str">
        <f t="shared" si="49"/>
        <v/>
      </c>
      <c r="L153" s="22" t="str">
        <f t="shared" si="50"/>
        <v/>
      </c>
      <c r="M153" s="22" t="str">
        <f t="shared" si="51"/>
        <v/>
      </c>
      <c r="N153" s="103"/>
      <c r="O153" s="102"/>
    </row>
    <row r="154" spans="2:15" hidden="1" outlineLevel="1" x14ac:dyDescent="0.2">
      <c r="B154" s="2">
        <f t="shared" si="42"/>
        <v>101</v>
      </c>
      <c r="D154" s="22">
        <f>IF(B154&lt;$D$24,(+CALCULETTE!T733/CALCULETTE!$B$612),0)</f>
        <v>0</v>
      </c>
      <c r="E154" s="22" t="str">
        <f t="shared" si="43"/>
        <v/>
      </c>
      <c r="F154" s="22" t="str">
        <f t="shared" si="44"/>
        <v/>
      </c>
      <c r="G154" s="22" t="str">
        <f t="shared" si="45"/>
        <v/>
      </c>
      <c r="H154" s="22" t="str">
        <f t="shared" si="46"/>
        <v/>
      </c>
      <c r="I154" s="22" t="str">
        <f t="shared" si="47"/>
        <v/>
      </c>
      <c r="J154" s="22" t="str">
        <f t="shared" si="48"/>
        <v/>
      </c>
      <c r="K154" s="22" t="str">
        <f t="shared" si="49"/>
        <v/>
      </c>
      <c r="L154" s="22" t="str">
        <f t="shared" si="50"/>
        <v/>
      </c>
      <c r="M154" s="22" t="str">
        <f t="shared" si="51"/>
        <v/>
      </c>
      <c r="N154" s="103"/>
      <c r="O154" s="102"/>
    </row>
    <row r="155" spans="2:15" hidden="1" outlineLevel="1" x14ac:dyDescent="0.2">
      <c r="B155" s="2">
        <f t="shared" si="42"/>
        <v>102</v>
      </c>
      <c r="D155" s="22">
        <f>IF(B155&lt;$D$24,(+CALCULETTE!T734/CALCULETTE!$B$612),0)</f>
        <v>0</v>
      </c>
      <c r="E155" s="22" t="str">
        <f t="shared" si="43"/>
        <v/>
      </c>
      <c r="F155" s="22" t="str">
        <f t="shared" si="44"/>
        <v/>
      </c>
      <c r="G155" s="22" t="str">
        <f t="shared" si="45"/>
        <v/>
      </c>
      <c r="H155" s="22" t="str">
        <f t="shared" si="46"/>
        <v/>
      </c>
      <c r="I155" s="22" t="str">
        <f t="shared" si="47"/>
        <v/>
      </c>
      <c r="J155" s="22" t="str">
        <f t="shared" si="48"/>
        <v/>
      </c>
      <c r="K155" s="22" t="str">
        <f t="shared" si="49"/>
        <v/>
      </c>
      <c r="L155" s="22" t="str">
        <f t="shared" si="50"/>
        <v/>
      </c>
      <c r="M155" s="22" t="str">
        <f t="shared" si="51"/>
        <v/>
      </c>
      <c r="N155" s="103"/>
      <c r="O155" s="102"/>
    </row>
    <row r="156" spans="2:15" hidden="1" outlineLevel="1" x14ac:dyDescent="0.2">
      <c r="B156" s="2">
        <f t="shared" si="42"/>
        <v>103</v>
      </c>
      <c r="D156" s="22">
        <f>IF(B156&lt;$D$24,(+CALCULETTE!T735/CALCULETTE!$B$612),0)</f>
        <v>0</v>
      </c>
      <c r="E156" s="22" t="str">
        <f t="shared" si="43"/>
        <v/>
      </c>
      <c r="F156" s="22" t="str">
        <f t="shared" si="44"/>
        <v/>
      </c>
      <c r="G156" s="22" t="str">
        <f t="shared" si="45"/>
        <v/>
      </c>
      <c r="H156" s="22" t="str">
        <f t="shared" si="46"/>
        <v/>
      </c>
      <c r="I156" s="22" t="str">
        <f t="shared" si="47"/>
        <v/>
      </c>
      <c r="J156" s="22" t="str">
        <f t="shared" si="48"/>
        <v/>
      </c>
      <c r="K156" s="22" t="str">
        <f t="shared" si="49"/>
        <v/>
      </c>
      <c r="L156" s="22" t="str">
        <f t="shared" si="50"/>
        <v/>
      </c>
      <c r="M156" s="22" t="str">
        <f t="shared" si="51"/>
        <v/>
      </c>
      <c r="N156" s="103"/>
      <c r="O156" s="102"/>
    </row>
    <row r="157" spans="2:15" hidden="1" outlineLevel="1" x14ac:dyDescent="0.2">
      <c r="B157" s="2">
        <f t="shared" si="42"/>
        <v>104</v>
      </c>
      <c r="D157" s="22">
        <f>IF(B157&lt;$D$24,(+CALCULETTE!T736/CALCULETTE!$B$612),0)</f>
        <v>0</v>
      </c>
      <c r="E157" s="22" t="str">
        <f t="shared" si="43"/>
        <v/>
      </c>
      <c r="F157" s="22" t="str">
        <f t="shared" si="44"/>
        <v/>
      </c>
      <c r="G157" s="22" t="str">
        <f t="shared" si="45"/>
        <v/>
      </c>
      <c r="H157" s="22" t="str">
        <f t="shared" si="46"/>
        <v/>
      </c>
      <c r="I157" s="22" t="str">
        <f t="shared" si="47"/>
        <v/>
      </c>
      <c r="J157" s="22" t="str">
        <f t="shared" si="48"/>
        <v/>
      </c>
      <c r="K157" s="22" t="str">
        <f t="shared" si="49"/>
        <v/>
      </c>
      <c r="L157" s="22" t="str">
        <f t="shared" si="50"/>
        <v/>
      </c>
      <c r="M157" s="22" t="str">
        <f t="shared" si="51"/>
        <v/>
      </c>
      <c r="N157" s="103"/>
      <c r="O157" s="102"/>
    </row>
    <row r="158" spans="2:15" hidden="1" outlineLevel="1" x14ac:dyDescent="0.2">
      <c r="B158" s="2">
        <f t="shared" si="42"/>
        <v>105</v>
      </c>
      <c r="D158" s="22">
        <f>IF(B158&lt;$D$24,(+CALCULETTE!T737/CALCULETTE!$B$612),0)</f>
        <v>0</v>
      </c>
      <c r="E158" s="22" t="str">
        <f t="shared" si="43"/>
        <v/>
      </c>
      <c r="F158" s="22" t="str">
        <f t="shared" si="44"/>
        <v/>
      </c>
      <c r="G158" s="22" t="str">
        <f t="shared" si="45"/>
        <v/>
      </c>
      <c r="H158" s="22" t="str">
        <f t="shared" si="46"/>
        <v/>
      </c>
      <c r="I158" s="22" t="str">
        <f t="shared" si="47"/>
        <v/>
      </c>
      <c r="J158" s="22" t="str">
        <f t="shared" si="48"/>
        <v/>
      </c>
      <c r="K158" s="22" t="str">
        <f t="shared" si="49"/>
        <v/>
      </c>
      <c r="L158" s="22" t="str">
        <f t="shared" si="50"/>
        <v/>
      </c>
      <c r="M158" s="22" t="str">
        <f t="shared" si="51"/>
        <v/>
      </c>
      <c r="N158" s="103"/>
      <c r="O158" s="102"/>
    </row>
    <row r="159" spans="2:15" hidden="1" outlineLevel="1" x14ac:dyDescent="0.2">
      <c r="B159" s="2">
        <f t="shared" si="42"/>
        <v>106</v>
      </c>
      <c r="D159" s="22">
        <f>IF(B159&lt;$D$24,(+CALCULETTE!T738/CALCULETTE!$B$612),0)</f>
        <v>0</v>
      </c>
      <c r="E159" s="22" t="str">
        <f t="shared" si="43"/>
        <v/>
      </c>
      <c r="F159" s="22" t="str">
        <f t="shared" si="44"/>
        <v/>
      </c>
      <c r="G159" s="22" t="str">
        <f t="shared" si="45"/>
        <v/>
      </c>
      <c r="H159" s="22" t="str">
        <f t="shared" si="46"/>
        <v/>
      </c>
      <c r="I159" s="22" t="str">
        <f t="shared" si="47"/>
        <v/>
      </c>
      <c r="J159" s="22" t="str">
        <f t="shared" si="48"/>
        <v/>
      </c>
      <c r="K159" s="22" t="str">
        <f t="shared" si="49"/>
        <v/>
      </c>
      <c r="L159" s="22" t="str">
        <f t="shared" si="50"/>
        <v/>
      </c>
      <c r="M159" s="22" t="str">
        <f t="shared" si="51"/>
        <v/>
      </c>
      <c r="N159" s="103"/>
      <c r="O159" s="102"/>
    </row>
    <row r="160" spans="2:15" hidden="1" outlineLevel="1" x14ac:dyDescent="0.2">
      <c r="B160" s="2">
        <f t="shared" si="42"/>
        <v>107</v>
      </c>
      <c r="D160" s="22">
        <f>IF(B160&lt;$D$24,(+CALCULETTE!T739/CALCULETTE!$B$612),0)</f>
        <v>0</v>
      </c>
      <c r="E160" s="22" t="str">
        <f t="shared" si="43"/>
        <v/>
      </c>
      <c r="F160" s="22" t="str">
        <f t="shared" si="44"/>
        <v/>
      </c>
      <c r="G160" s="22" t="str">
        <f t="shared" si="45"/>
        <v/>
      </c>
      <c r="H160" s="22" t="str">
        <f t="shared" si="46"/>
        <v/>
      </c>
      <c r="I160" s="22" t="str">
        <f t="shared" si="47"/>
        <v/>
      </c>
      <c r="J160" s="22" t="str">
        <f t="shared" si="48"/>
        <v/>
      </c>
      <c r="K160" s="22" t="str">
        <f t="shared" si="49"/>
        <v/>
      </c>
      <c r="L160" s="22" t="str">
        <f t="shared" si="50"/>
        <v/>
      </c>
      <c r="M160" s="22" t="str">
        <f t="shared" si="51"/>
        <v/>
      </c>
      <c r="N160" s="103"/>
      <c r="O160" s="102"/>
    </row>
    <row r="161" spans="2:15" hidden="1" outlineLevel="1" x14ac:dyDescent="0.2">
      <c r="B161" s="2">
        <f t="shared" si="42"/>
        <v>108</v>
      </c>
      <c r="D161" s="22">
        <f>IF(B161&lt;$D$24,(+CALCULETTE!T740/CALCULETTE!$B$612),0)</f>
        <v>0</v>
      </c>
      <c r="E161" s="22" t="str">
        <f t="shared" si="43"/>
        <v/>
      </c>
      <c r="F161" s="22" t="str">
        <f t="shared" si="44"/>
        <v/>
      </c>
      <c r="G161" s="22" t="str">
        <f t="shared" si="45"/>
        <v/>
      </c>
      <c r="H161" s="22" t="str">
        <f t="shared" si="46"/>
        <v/>
      </c>
      <c r="I161" s="22" t="str">
        <f t="shared" si="47"/>
        <v/>
      </c>
      <c r="J161" s="22" t="str">
        <f t="shared" si="48"/>
        <v/>
      </c>
      <c r="K161" s="22" t="str">
        <f t="shared" si="49"/>
        <v/>
      </c>
      <c r="L161" s="22" t="str">
        <f t="shared" si="50"/>
        <v/>
      </c>
      <c r="M161" s="22" t="str">
        <f t="shared" si="51"/>
        <v/>
      </c>
      <c r="N161" s="103"/>
      <c r="O161" s="102"/>
    </row>
    <row r="162" spans="2:15" hidden="1" outlineLevel="1" x14ac:dyDescent="0.2">
      <c r="B162" s="2">
        <f t="shared" si="42"/>
        <v>109</v>
      </c>
      <c r="D162" s="22">
        <f>IF(B162&lt;$D$24,(+CALCULETTE!T741/CALCULETTE!$B$612),0)</f>
        <v>0</v>
      </c>
      <c r="E162" s="22" t="str">
        <f t="shared" si="43"/>
        <v/>
      </c>
      <c r="F162" s="22" t="str">
        <f t="shared" si="44"/>
        <v/>
      </c>
      <c r="G162" s="22" t="str">
        <f t="shared" si="45"/>
        <v/>
      </c>
      <c r="H162" s="22" t="str">
        <f t="shared" si="46"/>
        <v/>
      </c>
      <c r="I162" s="22" t="str">
        <f t="shared" si="47"/>
        <v/>
      </c>
      <c r="J162" s="22" t="str">
        <f t="shared" si="48"/>
        <v/>
      </c>
      <c r="K162" s="22" t="str">
        <f t="shared" si="49"/>
        <v/>
      </c>
      <c r="L162" s="22" t="str">
        <f t="shared" si="50"/>
        <v/>
      </c>
      <c r="M162" s="22" t="str">
        <f t="shared" si="51"/>
        <v/>
      </c>
      <c r="N162" s="103"/>
      <c r="O162" s="102"/>
    </row>
    <row r="163" spans="2:15" hidden="1" outlineLevel="1" x14ac:dyDescent="0.2">
      <c r="B163" s="2">
        <f t="shared" si="42"/>
        <v>110</v>
      </c>
      <c r="D163" s="22">
        <f>IF(B163&lt;$D$24,(+CALCULETTE!T742/CALCULETTE!$B$612),0)</f>
        <v>0</v>
      </c>
      <c r="E163" s="22" t="str">
        <f t="shared" si="43"/>
        <v/>
      </c>
      <c r="F163" s="22" t="str">
        <f t="shared" si="44"/>
        <v/>
      </c>
      <c r="G163" s="22" t="str">
        <f t="shared" si="45"/>
        <v/>
      </c>
      <c r="H163" s="22" t="str">
        <f t="shared" si="46"/>
        <v/>
      </c>
      <c r="I163" s="22" t="str">
        <f t="shared" si="47"/>
        <v/>
      </c>
      <c r="J163" s="22" t="str">
        <f t="shared" si="48"/>
        <v/>
      </c>
      <c r="K163" s="22" t="str">
        <f t="shared" si="49"/>
        <v/>
      </c>
      <c r="L163" s="22" t="str">
        <f t="shared" si="50"/>
        <v/>
      </c>
      <c r="M163" s="22" t="str">
        <f t="shared" si="51"/>
        <v/>
      </c>
      <c r="N163" s="103"/>
      <c r="O163" s="102"/>
    </row>
    <row r="164" spans="2:15" hidden="1" outlineLevel="1" x14ac:dyDescent="0.2">
      <c r="B164" s="2">
        <f t="shared" si="42"/>
        <v>111</v>
      </c>
      <c r="D164" s="22">
        <f>IF(B164&lt;$D$24,(+CALCULETTE!T743/CALCULETTE!$B$612),0)</f>
        <v>0</v>
      </c>
      <c r="E164" s="22" t="str">
        <f t="shared" si="43"/>
        <v/>
      </c>
      <c r="F164" s="22" t="str">
        <f t="shared" si="44"/>
        <v/>
      </c>
      <c r="G164" s="22" t="str">
        <f t="shared" si="45"/>
        <v/>
      </c>
      <c r="H164" s="22" t="str">
        <f t="shared" si="46"/>
        <v/>
      </c>
      <c r="I164" s="22" t="str">
        <f t="shared" si="47"/>
        <v/>
      </c>
      <c r="J164" s="22" t="str">
        <f t="shared" si="48"/>
        <v/>
      </c>
      <c r="K164" s="22" t="str">
        <f t="shared" si="49"/>
        <v/>
      </c>
      <c r="L164" s="22" t="str">
        <f t="shared" si="50"/>
        <v/>
      </c>
      <c r="M164" s="22" t="str">
        <f t="shared" si="51"/>
        <v/>
      </c>
      <c r="N164" s="103"/>
      <c r="O164" s="102"/>
    </row>
    <row r="165" spans="2:15" hidden="1" outlineLevel="1" x14ac:dyDescent="0.2">
      <c r="B165" s="2">
        <f t="shared" si="42"/>
        <v>112</v>
      </c>
      <c r="D165" s="22">
        <f>IF(B165&lt;$D$24,(+CALCULETTE!T744/CALCULETTE!$B$612),0)</f>
        <v>0</v>
      </c>
      <c r="E165" s="22" t="str">
        <f t="shared" si="43"/>
        <v/>
      </c>
      <c r="F165" s="22" t="str">
        <f t="shared" si="44"/>
        <v/>
      </c>
      <c r="G165" s="22" t="str">
        <f t="shared" si="45"/>
        <v/>
      </c>
      <c r="H165" s="22" t="str">
        <f t="shared" si="46"/>
        <v/>
      </c>
      <c r="I165" s="22" t="str">
        <f t="shared" si="47"/>
        <v/>
      </c>
      <c r="J165" s="22" t="str">
        <f t="shared" si="48"/>
        <v/>
      </c>
      <c r="K165" s="22" t="str">
        <f t="shared" si="49"/>
        <v/>
      </c>
      <c r="L165" s="22" t="str">
        <f t="shared" si="50"/>
        <v/>
      </c>
      <c r="M165" s="22" t="str">
        <f t="shared" si="51"/>
        <v/>
      </c>
      <c r="N165" s="103"/>
      <c r="O165" s="102"/>
    </row>
    <row r="166" spans="2:15" hidden="1" outlineLevel="1" x14ac:dyDescent="0.2">
      <c r="B166" s="2">
        <f t="shared" si="42"/>
        <v>113</v>
      </c>
      <c r="D166" s="22">
        <f>IF(B166&lt;$D$24,(+CALCULETTE!T745/CALCULETTE!$B$612),0)</f>
        <v>0</v>
      </c>
      <c r="E166" s="22" t="str">
        <f t="shared" si="43"/>
        <v/>
      </c>
      <c r="F166" s="22" t="str">
        <f t="shared" si="44"/>
        <v/>
      </c>
      <c r="G166" s="22" t="str">
        <f t="shared" si="45"/>
        <v/>
      </c>
      <c r="H166" s="22" t="str">
        <f t="shared" si="46"/>
        <v/>
      </c>
      <c r="I166" s="22" t="str">
        <f t="shared" si="47"/>
        <v/>
      </c>
      <c r="J166" s="22" t="str">
        <f t="shared" si="48"/>
        <v/>
      </c>
      <c r="K166" s="22" t="str">
        <f t="shared" si="49"/>
        <v/>
      </c>
      <c r="L166" s="22" t="str">
        <f t="shared" si="50"/>
        <v/>
      </c>
      <c r="M166" s="22" t="str">
        <f t="shared" si="51"/>
        <v/>
      </c>
      <c r="N166" s="103"/>
      <c r="O166" s="102"/>
    </row>
    <row r="167" spans="2:15" hidden="1" outlineLevel="1" x14ac:dyDescent="0.2">
      <c r="B167" s="2">
        <f t="shared" si="42"/>
        <v>114</v>
      </c>
      <c r="D167" s="22">
        <f>IF(B167&lt;$D$24,(+CALCULETTE!T746/CALCULETTE!$B$612),0)</f>
        <v>0</v>
      </c>
      <c r="E167" s="22" t="str">
        <f t="shared" si="43"/>
        <v/>
      </c>
      <c r="F167" s="22" t="str">
        <f t="shared" si="44"/>
        <v/>
      </c>
      <c r="G167" s="22" t="str">
        <f t="shared" si="45"/>
        <v/>
      </c>
      <c r="H167" s="22" t="str">
        <f t="shared" si="46"/>
        <v/>
      </c>
      <c r="I167" s="22" t="str">
        <f t="shared" si="47"/>
        <v/>
      </c>
      <c r="J167" s="22" t="str">
        <f t="shared" si="48"/>
        <v/>
      </c>
      <c r="K167" s="22" t="str">
        <f t="shared" si="49"/>
        <v/>
      </c>
      <c r="L167" s="22" t="str">
        <f t="shared" si="50"/>
        <v/>
      </c>
      <c r="M167" s="22" t="str">
        <f t="shared" si="51"/>
        <v/>
      </c>
      <c r="N167" s="103"/>
      <c r="O167" s="102"/>
    </row>
    <row r="168" spans="2:15" hidden="1" outlineLevel="1" x14ac:dyDescent="0.2">
      <c r="B168" s="2">
        <f t="shared" si="42"/>
        <v>115</v>
      </c>
      <c r="D168" s="22">
        <f>IF(B168&lt;$D$24,(+CALCULETTE!T747/CALCULETTE!$B$612),0)</f>
        <v>0</v>
      </c>
      <c r="E168" s="22" t="str">
        <f t="shared" si="43"/>
        <v/>
      </c>
      <c r="F168" s="22" t="str">
        <f t="shared" si="44"/>
        <v/>
      </c>
      <c r="G168" s="22" t="str">
        <f t="shared" si="45"/>
        <v/>
      </c>
      <c r="H168" s="22" t="str">
        <f t="shared" si="46"/>
        <v/>
      </c>
      <c r="I168" s="22" t="str">
        <f t="shared" si="47"/>
        <v/>
      </c>
      <c r="J168" s="22" t="str">
        <f t="shared" si="48"/>
        <v/>
      </c>
      <c r="K168" s="22" t="str">
        <f t="shared" si="49"/>
        <v/>
      </c>
      <c r="L168" s="22" t="str">
        <f t="shared" si="50"/>
        <v/>
      </c>
      <c r="M168" s="22" t="str">
        <f t="shared" si="51"/>
        <v/>
      </c>
      <c r="N168" s="103"/>
      <c r="O168" s="102"/>
    </row>
    <row r="169" spans="2:15" hidden="1" outlineLevel="1" x14ac:dyDescent="0.2">
      <c r="B169" s="2">
        <f t="shared" si="42"/>
        <v>116</v>
      </c>
      <c r="D169" s="22">
        <f>IF(B169&lt;$D$24,(+CALCULETTE!T748/CALCULETTE!$B$612),0)</f>
        <v>0</v>
      </c>
      <c r="E169" s="22" t="str">
        <f t="shared" si="43"/>
        <v/>
      </c>
      <c r="F169" s="22" t="str">
        <f t="shared" si="44"/>
        <v/>
      </c>
      <c r="G169" s="22" t="str">
        <f t="shared" si="45"/>
        <v/>
      </c>
      <c r="H169" s="22" t="str">
        <f t="shared" si="46"/>
        <v/>
      </c>
      <c r="I169" s="22" t="str">
        <f t="shared" si="47"/>
        <v/>
      </c>
      <c r="J169" s="22" t="str">
        <f t="shared" si="48"/>
        <v/>
      </c>
      <c r="K169" s="22" t="str">
        <f t="shared" si="49"/>
        <v/>
      </c>
      <c r="L169" s="22" t="str">
        <f t="shared" si="50"/>
        <v/>
      </c>
      <c r="M169" s="22" t="str">
        <f t="shared" si="51"/>
        <v/>
      </c>
      <c r="N169" s="103"/>
      <c r="O169" s="102"/>
    </row>
    <row r="170" spans="2:15" hidden="1" outlineLevel="1" x14ac:dyDescent="0.2">
      <c r="B170" s="2">
        <f t="shared" si="42"/>
        <v>117</v>
      </c>
      <c r="D170" s="22">
        <f>IF(B170&lt;$D$24,(+CALCULETTE!T749/CALCULETTE!$B$612),0)</f>
        <v>0</v>
      </c>
      <c r="E170" s="22" t="str">
        <f t="shared" si="43"/>
        <v/>
      </c>
      <c r="F170" s="22" t="str">
        <f t="shared" si="44"/>
        <v/>
      </c>
      <c r="G170" s="22" t="str">
        <f t="shared" si="45"/>
        <v/>
      </c>
      <c r="H170" s="22" t="str">
        <f t="shared" si="46"/>
        <v/>
      </c>
      <c r="I170" s="22" t="str">
        <f t="shared" si="47"/>
        <v/>
      </c>
      <c r="J170" s="22" t="str">
        <f t="shared" si="48"/>
        <v/>
      </c>
      <c r="K170" s="22" t="str">
        <f t="shared" si="49"/>
        <v/>
      </c>
      <c r="L170" s="22" t="str">
        <f t="shared" si="50"/>
        <v/>
      </c>
      <c r="M170" s="22" t="str">
        <f t="shared" si="51"/>
        <v/>
      </c>
      <c r="N170" s="103"/>
      <c r="O170" s="102"/>
    </row>
    <row r="171" spans="2:15" hidden="1" outlineLevel="1" x14ac:dyDescent="0.2">
      <c r="B171" s="2">
        <f t="shared" si="42"/>
        <v>118</v>
      </c>
      <c r="D171" s="22">
        <f>IF(B171&lt;$D$24,(+CALCULETTE!T750/CALCULETTE!$B$612),0)</f>
        <v>0</v>
      </c>
      <c r="E171" s="22" t="str">
        <f t="shared" si="43"/>
        <v/>
      </c>
      <c r="F171" s="22" t="str">
        <f t="shared" si="44"/>
        <v/>
      </c>
      <c r="G171" s="22" t="str">
        <f t="shared" si="45"/>
        <v/>
      </c>
      <c r="H171" s="22" t="str">
        <f t="shared" si="46"/>
        <v/>
      </c>
      <c r="I171" s="22" t="str">
        <f t="shared" si="47"/>
        <v/>
      </c>
      <c r="J171" s="22" t="str">
        <f t="shared" si="48"/>
        <v/>
      </c>
      <c r="K171" s="22" t="str">
        <f t="shared" si="49"/>
        <v/>
      </c>
      <c r="L171" s="22" t="str">
        <f t="shared" si="50"/>
        <v/>
      </c>
      <c r="M171" s="22" t="str">
        <f t="shared" si="51"/>
        <v/>
      </c>
      <c r="N171" s="103"/>
      <c r="O171" s="102"/>
    </row>
    <row r="172" spans="2:15" hidden="1" outlineLevel="1" x14ac:dyDescent="0.2">
      <c r="B172" s="2">
        <f t="shared" si="42"/>
        <v>119</v>
      </c>
      <c r="D172" s="22">
        <f>IF(B172&lt;$D$24,(+CALCULETTE!T751/CALCULETTE!$B$612),0)</f>
        <v>0</v>
      </c>
      <c r="E172" s="22" t="str">
        <f t="shared" si="43"/>
        <v/>
      </c>
      <c r="F172" s="22" t="str">
        <f t="shared" si="44"/>
        <v/>
      </c>
      <c r="G172" s="22" t="str">
        <f t="shared" si="45"/>
        <v/>
      </c>
      <c r="H172" s="22" t="str">
        <f t="shared" si="46"/>
        <v/>
      </c>
      <c r="I172" s="22" t="str">
        <f t="shared" si="47"/>
        <v/>
      </c>
      <c r="J172" s="22" t="str">
        <f t="shared" si="48"/>
        <v/>
      </c>
      <c r="K172" s="22" t="str">
        <f t="shared" si="49"/>
        <v/>
      </c>
      <c r="L172" s="22" t="str">
        <f t="shared" si="50"/>
        <v/>
      </c>
      <c r="M172" s="22" t="str">
        <f t="shared" si="51"/>
        <v/>
      </c>
      <c r="N172" s="103"/>
      <c r="O172" s="102"/>
    </row>
    <row r="173" spans="2:15" hidden="1" outlineLevel="1" x14ac:dyDescent="0.2">
      <c r="B173" s="2">
        <f t="shared" si="42"/>
        <v>120</v>
      </c>
      <c r="D173" s="22">
        <f>IF(B173&lt;$D$24,(+CALCULETTE!T752/CALCULETTE!$B$612),0)</f>
        <v>0</v>
      </c>
      <c r="E173" s="22" t="str">
        <f t="shared" si="43"/>
        <v/>
      </c>
      <c r="F173" s="22" t="str">
        <f t="shared" si="44"/>
        <v/>
      </c>
      <c r="G173" s="22" t="str">
        <f t="shared" si="45"/>
        <v/>
      </c>
      <c r="H173" s="22" t="str">
        <f t="shared" si="46"/>
        <v/>
      </c>
      <c r="I173" s="22" t="str">
        <f t="shared" si="47"/>
        <v/>
      </c>
      <c r="J173" s="22" t="str">
        <f t="shared" si="48"/>
        <v/>
      </c>
      <c r="K173" s="22" t="str">
        <f t="shared" si="49"/>
        <v/>
      </c>
      <c r="L173" s="22" t="str">
        <f t="shared" si="50"/>
        <v/>
      </c>
      <c r="M173" s="22" t="str">
        <f t="shared" si="51"/>
        <v/>
      </c>
      <c r="N173" s="103"/>
      <c r="O173" s="102"/>
    </row>
    <row r="174" spans="2:15" hidden="1" outlineLevel="1" x14ac:dyDescent="0.2">
      <c r="B174" s="2">
        <f t="shared" si="42"/>
        <v>121</v>
      </c>
      <c r="D174" s="22">
        <f>IF(B174&lt;$D$24,(+CALCULETTE!T753/CALCULETTE!$B$612),0)</f>
        <v>0</v>
      </c>
      <c r="E174" s="22" t="str">
        <f t="shared" si="43"/>
        <v/>
      </c>
      <c r="F174" s="22" t="str">
        <f t="shared" si="44"/>
        <v/>
      </c>
      <c r="G174" s="22" t="str">
        <f t="shared" si="45"/>
        <v/>
      </c>
      <c r="H174" s="22" t="str">
        <f t="shared" si="46"/>
        <v/>
      </c>
      <c r="I174" s="22" t="str">
        <f t="shared" si="47"/>
        <v/>
      </c>
      <c r="J174" s="22" t="str">
        <f t="shared" si="48"/>
        <v/>
      </c>
      <c r="K174" s="22" t="str">
        <f t="shared" si="49"/>
        <v/>
      </c>
      <c r="L174" s="22" t="str">
        <f t="shared" si="50"/>
        <v/>
      </c>
      <c r="M174" s="22" t="str">
        <f t="shared" si="51"/>
        <v/>
      </c>
      <c r="N174" s="103"/>
      <c r="O174" s="102"/>
    </row>
    <row r="175" spans="2:15" hidden="1" outlineLevel="1" x14ac:dyDescent="0.2">
      <c r="B175" s="2">
        <f t="shared" si="42"/>
        <v>122</v>
      </c>
      <c r="D175" s="22">
        <f>IF(B175&lt;$D$24,(+CALCULETTE!T754/CALCULETTE!$B$612),0)</f>
        <v>0</v>
      </c>
      <c r="E175" s="22" t="str">
        <f t="shared" si="43"/>
        <v/>
      </c>
      <c r="F175" s="22" t="str">
        <f t="shared" si="44"/>
        <v/>
      </c>
      <c r="G175" s="22" t="str">
        <f t="shared" si="45"/>
        <v/>
      </c>
      <c r="H175" s="22" t="str">
        <f t="shared" si="46"/>
        <v/>
      </c>
      <c r="I175" s="22" t="str">
        <f t="shared" si="47"/>
        <v/>
      </c>
      <c r="J175" s="22" t="str">
        <f t="shared" si="48"/>
        <v/>
      </c>
      <c r="K175" s="22" t="str">
        <f t="shared" si="49"/>
        <v/>
      </c>
      <c r="L175" s="22" t="str">
        <f t="shared" si="50"/>
        <v/>
      </c>
      <c r="M175" s="22" t="str">
        <f t="shared" si="51"/>
        <v/>
      </c>
      <c r="N175" s="103"/>
      <c r="O175" s="102"/>
    </row>
    <row r="176" spans="2:15" hidden="1" outlineLevel="1" x14ac:dyDescent="0.2">
      <c r="B176" s="2">
        <f t="shared" si="42"/>
        <v>123</v>
      </c>
      <c r="D176" s="22">
        <f>IF(B176&lt;$D$24,(+CALCULETTE!T755/CALCULETTE!$B$612),0)</f>
        <v>0</v>
      </c>
      <c r="E176" s="22" t="str">
        <f t="shared" si="43"/>
        <v/>
      </c>
      <c r="F176" s="22" t="str">
        <f t="shared" si="44"/>
        <v/>
      </c>
      <c r="G176" s="22" t="str">
        <f t="shared" si="45"/>
        <v/>
      </c>
      <c r="H176" s="22" t="str">
        <f t="shared" si="46"/>
        <v/>
      </c>
      <c r="I176" s="22" t="str">
        <f t="shared" si="47"/>
        <v/>
      </c>
      <c r="J176" s="22" t="str">
        <f t="shared" si="48"/>
        <v/>
      </c>
      <c r="K176" s="22" t="str">
        <f t="shared" si="49"/>
        <v/>
      </c>
      <c r="L176" s="22" t="str">
        <f t="shared" si="50"/>
        <v/>
      </c>
      <c r="M176" s="22" t="str">
        <f t="shared" si="51"/>
        <v/>
      </c>
      <c r="N176" s="103"/>
      <c r="O176" s="102"/>
    </row>
    <row r="177" spans="2:15" hidden="1" outlineLevel="1" x14ac:dyDescent="0.2">
      <c r="B177" s="2">
        <f t="shared" si="42"/>
        <v>124</v>
      </c>
      <c r="D177" s="22">
        <f>IF(B177&lt;$D$24,(+CALCULETTE!T756/CALCULETTE!$B$612),0)</f>
        <v>0</v>
      </c>
      <c r="E177" s="22" t="str">
        <f t="shared" si="43"/>
        <v/>
      </c>
      <c r="F177" s="22" t="str">
        <f t="shared" si="44"/>
        <v/>
      </c>
      <c r="G177" s="22" t="str">
        <f t="shared" si="45"/>
        <v/>
      </c>
      <c r="H177" s="22" t="str">
        <f t="shared" si="46"/>
        <v/>
      </c>
      <c r="I177" s="22" t="str">
        <f t="shared" si="47"/>
        <v/>
      </c>
      <c r="J177" s="22" t="str">
        <f t="shared" si="48"/>
        <v/>
      </c>
      <c r="K177" s="22" t="str">
        <f t="shared" si="49"/>
        <v/>
      </c>
      <c r="L177" s="22" t="str">
        <f t="shared" si="50"/>
        <v/>
      </c>
      <c r="M177" s="22" t="str">
        <f t="shared" si="51"/>
        <v/>
      </c>
      <c r="N177" s="103"/>
      <c r="O177" s="102"/>
    </row>
    <row r="178" spans="2:15" hidden="1" outlineLevel="1" x14ac:dyDescent="0.2">
      <c r="B178" s="2">
        <f t="shared" si="42"/>
        <v>125</v>
      </c>
      <c r="D178" s="22">
        <f>IF(B178&lt;$D$24,(+CALCULETTE!T757/CALCULETTE!$B$612),0)</f>
        <v>0</v>
      </c>
      <c r="E178" s="22" t="str">
        <f t="shared" si="43"/>
        <v/>
      </c>
      <c r="F178" s="22" t="str">
        <f t="shared" si="44"/>
        <v/>
      </c>
      <c r="G178" s="22" t="str">
        <f t="shared" si="45"/>
        <v/>
      </c>
      <c r="H178" s="22" t="str">
        <f t="shared" si="46"/>
        <v/>
      </c>
      <c r="I178" s="22" t="str">
        <f t="shared" si="47"/>
        <v/>
      </c>
      <c r="J178" s="22" t="str">
        <f t="shared" si="48"/>
        <v/>
      </c>
      <c r="K178" s="22" t="str">
        <f t="shared" si="49"/>
        <v/>
      </c>
      <c r="L178" s="22" t="str">
        <f t="shared" si="50"/>
        <v/>
      </c>
      <c r="M178" s="22" t="str">
        <f t="shared" si="51"/>
        <v/>
      </c>
      <c r="N178" s="103"/>
      <c r="O178" s="102"/>
    </row>
    <row r="179" spans="2:15" hidden="1" outlineLevel="1" x14ac:dyDescent="0.2">
      <c r="B179" s="2">
        <f t="shared" si="42"/>
        <v>126</v>
      </c>
      <c r="D179" s="22">
        <f>IF(B179&lt;$D$24,(+CALCULETTE!T758/CALCULETTE!$B$612),0)</f>
        <v>0</v>
      </c>
      <c r="E179" s="22" t="str">
        <f t="shared" si="43"/>
        <v/>
      </c>
      <c r="F179" s="22" t="str">
        <f t="shared" si="44"/>
        <v/>
      </c>
      <c r="G179" s="22" t="str">
        <f t="shared" si="45"/>
        <v/>
      </c>
      <c r="H179" s="22" t="str">
        <f t="shared" si="46"/>
        <v/>
      </c>
      <c r="I179" s="22" t="str">
        <f t="shared" si="47"/>
        <v/>
      </c>
      <c r="J179" s="22" t="str">
        <f t="shared" si="48"/>
        <v/>
      </c>
      <c r="K179" s="22" t="str">
        <f t="shared" si="49"/>
        <v/>
      </c>
      <c r="L179" s="22" t="str">
        <f t="shared" si="50"/>
        <v/>
      </c>
      <c r="M179" s="22" t="str">
        <f t="shared" si="51"/>
        <v/>
      </c>
      <c r="N179" s="103"/>
      <c r="O179" s="102"/>
    </row>
    <row r="180" spans="2:15" hidden="1" outlineLevel="1" x14ac:dyDescent="0.2">
      <c r="B180" s="2">
        <f t="shared" si="42"/>
        <v>127</v>
      </c>
      <c r="D180" s="22">
        <f>IF(B180&lt;$D$24,(+CALCULETTE!T759/CALCULETTE!$B$612),0)</f>
        <v>0</v>
      </c>
      <c r="E180" s="22" t="str">
        <f t="shared" si="43"/>
        <v/>
      </c>
      <c r="F180" s="22" t="str">
        <f t="shared" si="44"/>
        <v/>
      </c>
      <c r="G180" s="22" t="str">
        <f t="shared" si="45"/>
        <v/>
      </c>
      <c r="H180" s="22" t="str">
        <f t="shared" si="46"/>
        <v/>
      </c>
      <c r="I180" s="22" t="str">
        <f t="shared" si="47"/>
        <v/>
      </c>
      <c r="J180" s="22" t="str">
        <f t="shared" si="48"/>
        <v/>
      </c>
      <c r="K180" s="22" t="str">
        <f t="shared" si="49"/>
        <v/>
      </c>
      <c r="L180" s="22" t="str">
        <f t="shared" si="50"/>
        <v/>
      </c>
      <c r="M180" s="22" t="str">
        <f t="shared" si="51"/>
        <v/>
      </c>
      <c r="N180" s="103"/>
      <c r="O180" s="102"/>
    </row>
    <row r="181" spans="2:15" hidden="1" outlineLevel="1" x14ac:dyDescent="0.2">
      <c r="B181" s="2">
        <f t="shared" si="42"/>
        <v>128</v>
      </c>
      <c r="D181" s="22">
        <f>IF(B181&lt;$D$24,(+CALCULETTE!T760/CALCULETTE!$B$612),0)</f>
        <v>0</v>
      </c>
      <c r="E181" s="22" t="str">
        <f t="shared" si="43"/>
        <v/>
      </c>
      <c r="F181" s="22" t="str">
        <f t="shared" si="44"/>
        <v/>
      </c>
      <c r="G181" s="22" t="str">
        <f t="shared" si="45"/>
        <v/>
      </c>
      <c r="H181" s="22" t="str">
        <f t="shared" si="46"/>
        <v/>
      </c>
      <c r="I181" s="22" t="str">
        <f t="shared" si="47"/>
        <v/>
      </c>
      <c r="J181" s="22" t="str">
        <f t="shared" si="48"/>
        <v/>
      </c>
      <c r="K181" s="22" t="str">
        <f t="shared" si="49"/>
        <v/>
      </c>
      <c r="L181" s="22" t="str">
        <f t="shared" si="50"/>
        <v/>
      </c>
      <c r="M181" s="22" t="str">
        <f t="shared" si="51"/>
        <v/>
      </c>
      <c r="N181" s="103"/>
      <c r="O181" s="102"/>
    </row>
    <row r="182" spans="2:15" hidden="1" outlineLevel="1" x14ac:dyDescent="0.2">
      <c r="B182" s="2">
        <f t="shared" ref="B182:B213" si="52">B181+1</f>
        <v>129</v>
      </c>
      <c r="D182" s="22">
        <f>IF(B182&lt;$D$24,(+CALCULETTE!T761/CALCULETTE!$B$612),0)</f>
        <v>0</v>
      </c>
      <c r="E182" s="22" t="str">
        <f t="shared" ref="E182:E213" si="53">IF(E$1=0,"",IF($B182&lt;E$23,E181+PPMT(E$25/12,$B182,E$23,E$53,-E$27,0),IF($B182=E$23,E181+PPMT(E$25/12,$B182,E$23,E$53,-E$27,0)-E$27,0)))</f>
        <v/>
      </c>
      <c r="F182" s="22" t="str">
        <f t="shared" ref="F182:F213" si="54">IF(F$1=0,"",IF($B182&lt;F$23,F181+PPMT(F$25/12,$B182,F$23,F$53,-F$27,0),IF($B182=F$23,F181+PPMT(F$25/12,$B182,F$23,F$53,-F$27,0)-F$27,0)))</f>
        <v/>
      </c>
      <c r="G182" s="22" t="str">
        <f t="shared" ref="G182:G213" si="55">IF(G$1=0,"",IF($B182&lt;G$23,G181+PPMT(G$25/12,$B182,G$23,G$53,-G$27,0),IF($B182=G$23,G181+PPMT(G$25/12,$B182,G$23,G$53,-G$27,0)-G$27,0)))</f>
        <v/>
      </c>
      <c r="H182" s="22" t="str">
        <f t="shared" ref="H182:H213" si="56">IF(H$1=0,"",IF($B182&lt;H$23,H181+PPMT(H$25/12,$B182,H$23,H$53,-H$27,0),IF($B182=H$23,H181+PPMT(H$25/12,$B182,H$23,H$53,-H$27,0)-H$27,0)))</f>
        <v/>
      </c>
      <c r="I182" s="22" t="str">
        <f t="shared" ref="I182:I213" si="57">IF(I$1=0,"",IF($B182&lt;I$23,I181+PPMT(I$25/12,$B182,I$23,I$53,-I$27,0),IF($B182=I$23,I181+PPMT(I$25/12,$B182,I$23,I$53,-I$27,0)-I$27,0)))</f>
        <v/>
      </c>
      <c r="J182" s="22" t="str">
        <f t="shared" ref="J182:J213" si="58">IF(J$1=0,"",IF($B182&lt;J$23,J181+PPMT(J$25/12,$B182,J$23,J$53,-J$27,0),IF($B182=J$23,J181+PPMT(J$25/12,$B182,J$23,J$53,-J$27,0)-J$27,0)))</f>
        <v/>
      </c>
      <c r="K182" s="22" t="str">
        <f t="shared" ref="K182:K213" si="59">IF(K$1=0,"",IF($B182&lt;K$23,K181+PPMT(K$25/12,$B182,K$23,K$53,-K$27,0),IF($B182=K$23,K181+PPMT(K$25/12,$B182,K$23,K$53,-K$27,0)-K$27,0)))</f>
        <v/>
      </c>
      <c r="L182" s="22" t="str">
        <f t="shared" ref="L182:L213" si="60">IF(L$1=0,"",IF($B182&lt;L$23,L181+PPMT(L$25/12,$B182,L$23,L$53,-L$27,0),IF($B182=L$23,L181+PPMT(L$25/12,$B182,L$23,L$53,-L$27,0)-L$27,0)))</f>
        <v/>
      </c>
      <c r="M182" s="22" t="str">
        <f t="shared" ref="M182:M213" si="61">IF(M$1=0,"",IF($B182&lt;M$23,M181+PPMT(M$25/12,$B182,M$23,M$53,-M$27,0),IF($B182=M$23,M181+PPMT(M$25/12,$B182,M$23,M$53,-M$27,0)-M$27,0)))</f>
        <v/>
      </c>
      <c r="N182" s="103"/>
      <c r="O182" s="102"/>
    </row>
    <row r="183" spans="2:15" hidden="1" outlineLevel="1" x14ac:dyDescent="0.2">
      <c r="B183" s="2">
        <f t="shared" si="52"/>
        <v>130</v>
      </c>
      <c r="D183" s="22">
        <f>IF(B183&lt;$D$24,(+CALCULETTE!T762/CALCULETTE!$B$612),0)</f>
        <v>0</v>
      </c>
      <c r="E183" s="22" t="str">
        <f t="shared" si="53"/>
        <v/>
      </c>
      <c r="F183" s="22" t="str">
        <f t="shared" si="54"/>
        <v/>
      </c>
      <c r="G183" s="22" t="str">
        <f t="shared" si="55"/>
        <v/>
      </c>
      <c r="H183" s="22" t="str">
        <f t="shared" si="56"/>
        <v/>
      </c>
      <c r="I183" s="22" t="str">
        <f t="shared" si="57"/>
        <v/>
      </c>
      <c r="J183" s="22" t="str">
        <f t="shared" si="58"/>
        <v/>
      </c>
      <c r="K183" s="22" t="str">
        <f t="shared" si="59"/>
        <v/>
      </c>
      <c r="L183" s="22" t="str">
        <f t="shared" si="60"/>
        <v/>
      </c>
      <c r="M183" s="22" t="str">
        <f t="shared" si="61"/>
        <v/>
      </c>
      <c r="N183" s="103"/>
      <c r="O183" s="102"/>
    </row>
    <row r="184" spans="2:15" hidden="1" outlineLevel="1" x14ac:dyDescent="0.2">
      <c r="B184" s="2">
        <f t="shared" si="52"/>
        <v>131</v>
      </c>
      <c r="D184" s="22">
        <f>IF(B184&lt;$D$24,(+CALCULETTE!T763/CALCULETTE!$B$612),0)</f>
        <v>0</v>
      </c>
      <c r="E184" s="22" t="str">
        <f t="shared" si="53"/>
        <v/>
      </c>
      <c r="F184" s="22" t="str">
        <f t="shared" si="54"/>
        <v/>
      </c>
      <c r="G184" s="22" t="str">
        <f t="shared" si="55"/>
        <v/>
      </c>
      <c r="H184" s="22" t="str">
        <f t="shared" si="56"/>
        <v/>
      </c>
      <c r="I184" s="22" t="str">
        <f t="shared" si="57"/>
        <v/>
      </c>
      <c r="J184" s="22" t="str">
        <f t="shared" si="58"/>
        <v/>
      </c>
      <c r="K184" s="22" t="str">
        <f t="shared" si="59"/>
        <v/>
      </c>
      <c r="L184" s="22" t="str">
        <f t="shared" si="60"/>
        <v/>
      </c>
      <c r="M184" s="22" t="str">
        <f t="shared" si="61"/>
        <v/>
      </c>
      <c r="N184" s="103"/>
      <c r="O184" s="102"/>
    </row>
    <row r="185" spans="2:15" hidden="1" outlineLevel="1" x14ac:dyDescent="0.2">
      <c r="B185" s="2">
        <f t="shared" si="52"/>
        <v>132</v>
      </c>
      <c r="D185" s="22">
        <f>IF(B185&lt;$D$24,(+CALCULETTE!T764/CALCULETTE!$B$612),0)</f>
        <v>0</v>
      </c>
      <c r="E185" s="22" t="str">
        <f t="shared" si="53"/>
        <v/>
      </c>
      <c r="F185" s="22" t="str">
        <f t="shared" si="54"/>
        <v/>
      </c>
      <c r="G185" s="22" t="str">
        <f t="shared" si="55"/>
        <v/>
      </c>
      <c r="H185" s="22" t="str">
        <f t="shared" si="56"/>
        <v/>
      </c>
      <c r="I185" s="22" t="str">
        <f t="shared" si="57"/>
        <v/>
      </c>
      <c r="J185" s="22" t="str">
        <f t="shared" si="58"/>
        <v/>
      </c>
      <c r="K185" s="22" t="str">
        <f t="shared" si="59"/>
        <v/>
      </c>
      <c r="L185" s="22" t="str">
        <f t="shared" si="60"/>
        <v/>
      </c>
      <c r="M185" s="22" t="str">
        <f t="shared" si="61"/>
        <v/>
      </c>
      <c r="N185" s="103"/>
      <c r="O185" s="102"/>
    </row>
    <row r="186" spans="2:15" hidden="1" outlineLevel="1" x14ac:dyDescent="0.2">
      <c r="B186" s="2">
        <f t="shared" si="52"/>
        <v>133</v>
      </c>
      <c r="D186" s="22">
        <f>IF(B186&lt;$D$24,(+CALCULETTE!T765/CALCULETTE!$B$612),0)</f>
        <v>0</v>
      </c>
      <c r="E186" s="22" t="str">
        <f t="shared" si="53"/>
        <v/>
      </c>
      <c r="F186" s="22" t="str">
        <f t="shared" si="54"/>
        <v/>
      </c>
      <c r="G186" s="22" t="str">
        <f t="shared" si="55"/>
        <v/>
      </c>
      <c r="H186" s="22" t="str">
        <f t="shared" si="56"/>
        <v/>
      </c>
      <c r="I186" s="22" t="str">
        <f t="shared" si="57"/>
        <v/>
      </c>
      <c r="J186" s="22" t="str">
        <f t="shared" si="58"/>
        <v/>
      </c>
      <c r="K186" s="22" t="str">
        <f t="shared" si="59"/>
        <v/>
      </c>
      <c r="L186" s="22" t="str">
        <f t="shared" si="60"/>
        <v/>
      </c>
      <c r="M186" s="22" t="str">
        <f t="shared" si="61"/>
        <v/>
      </c>
      <c r="N186" s="103"/>
      <c r="O186" s="102"/>
    </row>
    <row r="187" spans="2:15" hidden="1" outlineLevel="1" x14ac:dyDescent="0.2">
      <c r="B187" s="2">
        <f t="shared" si="52"/>
        <v>134</v>
      </c>
      <c r="D187" s="22">
        <f>IF(B187&lt;$D$24,(+CALCULETTE!T766/CALCULETTE!$B$612),0)</f>
        <v>0</v>
      </c>
      <c r="E187" s="22" t="str">
        <f t="shared" si="53"/>
        <v/>
      </c>
      <c r="F187" s="22" t="str">
        <f t="shared" si="54"/>
        <v/>
      </c>
      <c r="G187" s="22" t="str">
        <f t="shared" si="55"/>
        <v/>
      </c>
      <c r="H187" s="22" t="str">
        <f t="shared" si="56"/>
        <v/>
      </c>
      <c r="I187" s="22" t="str">
        <f t="shared" si="57"/>
        <v/>
      </c>
      <c r="J187" s="22" t="str">
        <f t="shared" si="58"/>
        <v/>
      </c>
      <c r="K187" s="22" t="str">
        <f t="shared" si="59"/>
        <v/>
      </c>
      <c r="L187" s="22" t="str">
        <f t="shared" si="60"/>
        <v/>
      </c>
      <c r="M187" s="22" t="str">
        <f t="shared" si="61"/>
        <v/>
      </c>
      <c r="N187" s="103"/>
      <c r="O187" s="102"/>
    </row>
    <row r="188" spans="2:15" hidden="1" outlineLevel="1" x14ac:dyDescent="0.2">
      <c r="B188" s="2">
        <f t="shared" si="52"/>
        <v>135</v>
      </c>
      <c r="D188" s="22">
        <f>IF(B188&lt;$D$24,(+#REF!/CALCULETTE!$B$612),0)</f>
        <v>0</v>
      </c>
      <c r="E188" s="22" t="str">
        <f t="shared" si="53"/>
        <v/>
      </c>
      <c r="F188" s="22" t="str">
        <f t="shared" si="54"/>
        <v/>
      </c>
      <c r="G188" s="22" t="str">
        <f t="shared" si="55"/>
        <v/>
      </c>
      <c r="H188" s="22" t="str">
        <f t="shared" si="56"/>
        <v/>
      </c>
      <c r="I188" s="22" t="str">
        <f t="shared" si="57"/>
        <v/>
      </c>
      <c r="J188" s="22" t="str">
        <f t="shared" si="58"/>
        <v/>
      </c>
      <c r="K188" s="22" t="str">
        <f t="shared" si="59"/>
        <v/>
      </c>
      <c r="L188" s="22" t="str">
        <f t="shared" si="60"/>
        <v/>
      </c>
      <c r="M188" s="22" t="str">
        <f t="shared" si="61"/>
        <v/>
      </c>
      <c r="N188" s="103"/>
      <c r="O188" s="102"/>
    </row>
    <row r="189" spans="2:15" hidden="1" outlineLevel="1" x14ac:dyDescent="0.2">
      <c r="B189" s="2">
        <f t="shared" si="52"/>
        <v>136</v>
      </c>
      <c r="D189" s="22">
        <f>IF(B189&lt;$D$24,(+#REF!/CALCULETTE!$B$612),0)</f>
        <v>0</v>
      </c>
      <c r="E189" s="22" t="str">
        <f t="shared" si="53"/>
        <v/>
      </c>
      <c r="F189" s="22" t="str">
        <f t="shared" si="54"/>
        <v/>
      </c>
      <c r="G189" s="22" t="str">
        <f t="shared" si="55"/>
        <v/>
      </c>
      <c r="H189" s="22" t="str">
        <f t="shared" si="56"/>
        <v/>
      </c>
      <c r="I189" s="22" t="str">
        <f t="shared" si="57"/>
        <v/>
      </c>
      <c r="J189" s="22" t="str">
        <f t="shared" si="58"/>
        <v/>
      </c>
      <c r="K189" s="22" t="str">
        <f t="shared" si="59"/>
        <v/>
      </c>
      <c r="L189" s="22" t="str">
        <f t="shared" si="60"/>
        <v/>
      </c>
      <c r="M189" s="22" t="str">
        <f t="shared" si="61"/>
        <v/>
      </c>
      <c r="N189" s="103"/>
      <c r="O189" s="102"/>
    </row>
    <row r="190" spans="2:15" hidden="1" outlineLevel="1" x14ac:dyDescent="0.2">
      <c r="B190" s="2">
        <f t="shared" si="52"/>
        <v>137</v>
      </c>
      <c r="D190" s="22">
        <f>IF(B190&lt;$D$24,(+#REF!/CALCULETTE!$B$612),0)</f>
        <v>0</v>
      </c>
      <c r="E190" s="22" t="str">
        <f t="shared" si="53"/>
        <v/>
      </c>
      <c r="F190" s="22" t="str">
        <f t="shared" si="54"/>
        <v/>
      </c>
      <c r="G190" s="22" t="str">
        <f t="shared" si="55"/>
        <v/>
      </c>
      <c r="H190" s="22" t="str">
        <f t="shared" si="56"/>
        <v/>
      </c>
      <c r="I190" s="22" t="str">
        <f t="shared" si="57"/>
        <v/>
      </c>
      <c r="J190" s="22" t="str">
        <f t="shared" si="58"/>
        <v/>
      </c>
      <c r="K190" s="22" t="str">
        <f t="shared" si="59"/>
        <v/>
      </c>
      <c r="L190" s="22" t="str">
        <f t="shared" si="60"/>
        <v/>
      </c>
      <c r="M190" s="22" t="str">
        <f t="shared" si="61"/>
        <v/>
      </c>
      <c r="N190" s="103"/>
      <c r="O190" s="102"/>
    </row>
    <row r="191" spans="2:15" hidden="1" outlineLevel="1" x14ac:dyDescent="0.2">
      <c r="B191" s="2">
        <f t="shared" si="52"/>
        <v>138</v>
      </c>
      <c r="D191" s="22">
        <f>IF(B191&lt;$D$24,(+#REF!/CALCULETTE!$B$612),0)</f>
        <v>0</v>
      </c>
      <c r="E191" s="22" t="str">
        <f t="shared" si="53"/>
        <v/>
      </c>
      <c r="F191" s="22" t="str">
        <f t="shared" si="54"/>
        <v/>
      </c>
      <c r="G191" s="22" t="str">
        <f t="shared" si="55"/>
        <v/>
      </c>
      <c r="H191" s="22" t="str">
        <f t="shared" si="56"/>
        <v/>
      </c>
      <c r="I191" s="22" t="str">
        <f t="shared" si="57"/>
        <v/>
      </c>
      <c r="J191" s="22" t="str">
        <f t="shared" si="58"/>
        <v/>
      </c>
      <c r="K191" s="22" t="str">
        <f t="shared" si="59"/>
        <v/>
      </c>
      <c r="L191" s="22" t="str">
        <f t="shared" si="60"/>
        <v/>
      </c>
      <c r="M191" s="22" t="str">
        <f t="shared" si="61"/>
        <v/>
      </c>
      <c r="N191" s="103"/>
      <c r="O191" s="102"/>
    </row>
    <row r="192" spans="2:15" hidden="1" outlineLevel="1" x14ac:dyDescent="0.2">
      <c r="B192" s="2">
        <f t="shared" si="52"/>
        <v>139</v>
      </c>
      <c r="D192" s="22">
        <f>IF(B192&lt;$D$24,(+#REF!/CALCULETTE!$B$612),0)</f>
        <v>0</v>
      </c>
      <c r="E192" s="22" t="str">
        <f t="shared" si="53"/>
        <v/>
      </c>
      <c r="F192" s="22" t="str">
        <f t="shared" si="54"/>
        <v/>
      </c>
      <c r="G192" s="22" t="str">
        <f t="shared" si="55"/>
        <v/>
      </c>
      <c r="H192" s="22" t="str">
        <f t="shared" si="56"/>
        <v/>
      </c>
      <c r="I192" s="22" t="str">
        <f t="shared" si="57"/>
        <v/>
      </c>
      <c r="J192" s="22" t="str">
        <f t="shared" si="58"/>
        <v/>
      </c>
      <c r="K192" s="22" t="str">
        <f t="shared" si="59"/>
        <v/>
      </c>
      <c r="L192" s="22" t="str">
        <f t="shared" si="60"/>
        <v/>
      </c>
      <c r="M192" s="22" t="str">
        <f t="shared" si="61"/>
        <v/>
      </c>
      <c r="N192" s="103"/>
      <c r="O192" s="102"/>
    </row>
    <row r="193" spans="2:15" hidden="1" outlineLevel="1" x14ac:dyDescent="0.2">
      <c r="B193" s="2">
        <f t="shared" si="52"/>
        <v>140</v>
      </c>
      <c r="D193" s="22">
        <f>IF(B193&lt;$D$24,(+#REF!/CALCULETTE!$B$612),0)</f>
        <v>0</v>
      </c>
      <c r="E193" s="22" t="str">
        <f t="shared" si="53"/>
        <v/>
      </c>
      <c r="F193" s="22" t="str">
        <f t="shared" si="54"/>
        <v/>
      </c>
      <c r="G193" s="22" t="str">
        <f t="shared" si="55"/>
        <v/>
      </c>
      <c r="H193" s="22" t="str">
        <f t="shared" si="56"/>
        <v/>
      </c>
      <c r="I193" s="22" t="str">
        <f t="shared" si="57"/>
        <v/>
      </c>
      <c r="J193" s="22" t="str">
        <f t="shared" si="58"/>
        <v/>
      </c>
      <c r="K193" s="22" t="str">
        <f t="shared" si="59"/>
        <v/>
      </c>
      <c r="L193" s="22" t="str">
        <f t="shared" si="60"/>
        <v/>
      </c>
      <c r="M193" s="22" t="str">
        <f t="shared" si="61"/>
        <v/>
      </c>
      <c r="N193" s="103"/>
      <c r="O193" s="102"/>
    </row>
    <row r="194" spans="2:15" hidden="1" outlineLevel="1" x14ac:dyDescent="0.2">
      <c r="B194" s="2">
        <f t="shared" si="52"/>
        <v>141</v>
      </c>
      <c r="D194" s="22">
        <f>IF(B194&lt;$D$24,(+#REF!/CALCULETTE!$B$612),0)</f>
        <v>0</v>
      </c>
      <c r="E194" s="22" t="str">
        <f t="shared" si="53"/>
        <v/>
      </c>
      <c r="F194" s="22" t="str">
        <f t="shared" si="54"/>
        <v/>
      </c>
      <c r="G194" s="22" t="str">
        <f t="shared" si="55"/>
        <v/>
      </c>
      <c r="H194" s="22" t="str">
        <f t="shared" si="56"/>
        <v/>
      </c>
      <c r="I194" s="22" t="str">
        <f t="shared" si="57"/>
        <v/>
      </c>
      <c r="J194" s="22" t="str">
        <f t="shared" si="58"/>
        <v/>
      </c>
      <c r="K194" s="22" t="str">
        <f t="shared" si="59"/>
        <v/>
      </c>
      <c r="L194" s="22" t="str">
        <f t="shared" si="60"/>
        <v/>
      </c>
      <c r="M194" s="22" t="str">
        <f t="shared" si="61"/>
        <v/>
      </c>
      <c r="N194" s="103"/>
      <c r="O194" s="102"/>
    </row>
    <row r="195" spans="2:15" hidden="1" outlineLevel="1" x14ac:dyDescent="0.2">
      <c r="B195" s="2">
        <f t="shared" si="52"/>
        <v>142</v>
      </c>
      <c r="D195" s="22">
        <f>IF(B195&lt;$D$24,(+#REF!/CALCULETTE!$B$612),0)</f>
        <v>0</v>
      </c>
      <c r="E195" s="22" t="str">
        <f t="shared" si="53"/>
        <v/>
      </c>
      <c r="F195" s="22" t="str">
        <f t="shared" si="54"/>
        <v/>
      </c>
      <c r="G195" s="22" t="str">
        <f t="shared" si="55"/>
        <v/>
      </c>
      <c r="H195" s="22" t="str">
        <f t="shared" si="56"/>
        <v/>
      </c>
      <c r="I195" s="22" t="str">
        <f t="shared" si="57"/>
        <v/>
      </c>
      <c r="J195" s="22" t="str">
        <f t="shared" si="58"/>
        <v/>
      </c>
      <c r="K195" s="22" t="str">
        <f t="shared" si="59"/>
        <v/>
      </c>
      <c r="L195" s="22" t="str">
        <f t="shared" si="60"/>
        <v/>
      </c>
      <c r="M195" s="22" t="str">
        <f t="shared" si="61"/>
        <v/>
      </c>
      <c r="N195" s="103"/>
      <c r="O195" s="102"/>
    </row>
    <row r="196" spans="2:15" hidden="1" outlineLevel="1" x14ac:dyDescent="0.2">
      <c r="B196" s="2">
        <f t="shared" si="52"/>
        <v>143</v>
      </c>
      <c r="D196" s="22">
        <f>IF(B196&lt;$D$24,(+#REF!/CALCULETTE!$B$612),0)</f>
        <v>0</v>
      </c>
      <c r="E196" s="22" t="str">
        <f t="shared" si="53"/>
        <v/>
      </c>
      <c r="F196" s="22" t="str">
        <f t="shared" si="54"/>
        <v/>
      </c>
      <c r="G196" s="22" t="str">
        <f t="shared" si="55"/>
        <v/>
      </c>
      <c r="H196" s="22" t="str">
        <f t="shared" si="56"/>
        <v/>
      </c>
      <c r="I196" s="22" t="str">
        <f t="shared" si="57"/>
        <v/>
      </c>
      <c r="J196" s="22" t="str">
        <f t="shared" si="58"/>
        <v/>
      </c>
      <c r="K196" s="22" t="str">
        <f t="shared" si="59"/>
        <v/>
      </c>
      <c r="L196" s="22" t="str">
        <f t="shared" si="60"/>
        <v/>
      </c>
      <c r="M196" s="22" t="str">
        <f t="shared" si="61"/>
        <v/>
      </c>
      <c r="N196" s="103"/>
      <c r="O196" s="102"/>
    </row>
    <row r="197" spans="2:15" hidden="1" outlineLevel="1" x14ac:dyDescent="0.2">
      <c r="B197" s="2">
        <f t="shared" si="52"/>
        <v>144</v>
      </c>
      <c r="D197" s="22">
        <f>IF(B197&lt;$D$24,(+#REF!/CALCULETTE!$B$612),0)</f>
        <v>0</v>
      </c>
      <c r="E197" s="22" t="str">
        <f t="shared" si="53"/>
        <v/>
      </c>
      <c r="F197" s="22" t="str">
        <f t="shared" si="54"/>
        <v/>
      </c>
      <c r="G197" s="22" t="str">
        <f t="shared" si="55"/>
        <v/>
      </c>
      <c r="H197" s="22" t="str">
        <f t="shared" si="56"/>
        <v/>
      </c>
      <c r="I197" s="22" t="str">
        <f t="shared" si="57"/>
        <v/>
      </c>
      <c r="J197" s="22" t="str">
        <f t="shared" si="58"/>
        <v/>
      </c>
      <c r="K197" s="22" t="str">
        <f t="shared" si="59"/>
        <v/>
      </c>
      <c r="L197" s="22" t="str">
        <f t="shared" si="60"/>
        <v/>
      </c>
      <c r="M197" s="22" t="str">
        <f t="shared" si="61"/>
        <v/>
      </c>
      <c r="N197" s="103"/>
      <c r="O197" s="102"/>
    </row>
    <row r="198" spans="2:15" hidden="1" outlineLevel="1" x14ac:dyDescent="0.2">
      <c r="B198" s="2">
        <f t="shared" si="52"/>
        <v>145</v>
      </c>
      <c r="D198" s="22">
        <f>IF(B198&lt;$D$24,(+#REF!/CALCULETTE!$B$612),0)</f>
        <v>0</v>
      </c>
      <c r="E198" s="22" t="str">
        <f t="shared" si="53"/>
        <v/>
      </c>
      <c r="F198" s="22" t="str">
        <f t="shared" si="54"/>
        <v/>
      </c>
      <c r="G198" s="22" t="str">
        <f t="shared" si="55"/>
        <v/>
      </c>
      <c r="H198" s="22" t="str">
        <f t="shared" si="56"/>
        <v/>
      </c>
      <c r="I198" s="22" t="str">
        <f t="shared" si="57"/>
        <v/>
      </c>
      <c r="J198" s="22" t="str">
        <f t="shared" si="58"/>
        <v/>
      </c>
      <c r="K198" s="22" t="str">
        <f t="shared" si="59"/>
        <v/>
      </c>
      <c r="L198" s="22" t="str">
        <f t="shared" si="60"/>
        <v/>
      </c>
      <c r="M198" s="22" t="str">
        <f t="shared" si="61"/>
        <v/>
      </c>
      <c r="N198" s="103"/>
      <c r="O198" s="102"/>
    </row>
    <row r="199" spans="2:15" hidden="1" outlineLevel="1" x14ac:dyDescent="0.2">
      <c r="B199" s="2">
        <f t="shared" si="52"/>
        <v>146</v>
      </c>
      <c r="D199" s="22">
        <f>IF(B199&lt;$D$24,(+#REF!/CALCULETTE!$B$612),0)</f>
        <v>0</v>
      </c>
      <c r="E199" s="22" t="str">
        <f t="shared" si="53"/>
        <v/>
      </c>
      <c r="F199" s="22" t="str">
        <f t="shared" si="54"/>
        <v/>
      </c>
      <c r="G199" s="22" t="str">
        <f t="shared" si="55"/>
        <v/>
      </c>
      <c r="H199" s="22" t="str">
        <f t="shared" si="56"/>
        <v/>
      </c>
      <c r="I199" s="22" t="str">
        <f t="shared" si="57"/>
        <v/>
      </c>
      <c r="J199" s="22" t="str">
        <f t="shared" si="58"/>
        <v/>
      </c>
      <c r="K199" s="22" t="str">
        <f t="shared" si="59"/>
        <v/>
      </c>
      <c r="L199" s="22" t="str">
        <f t="shared" si="60"/>
        <v/>
      </c>
      <c r="M199" s="22" t="str">
        <f t="shared" si="61"/>
        <v/>
      </c>
      <c r="N199" s="103"/>
      <c r="O199" s="102"/>
    </row>
    <row r="200" spans="2:15" hidden="1" outlineLevel="1" x14ac:dyDescent="0.2">
      <c r="B200" s="2">
        <f t="shared" si="52"/>
        <v>147</v>
      </c>
      <c r="D200" s="22">
        <f>IF(B200&lt;$D$24,(+#REF!/CALCULETTE!$B$612),0)</f>
        <v>0</v>
      </c>
      <c r="E200" s="22" t="str">
        <f t="shared" si="53"/>
        <v/>
      </c>
      <c r="F200" s="22" t="str">
        <f t="shared" si="54"/>
        <v/>
      </c>
      <c r="G200" s="22" t="str">
        <f t="shared" si="55"/>
        <v/>
      </c>
      <c r="H200" s="22" t="str">
        <f t="shared" si="56"/>
        <v/>
      </c>
      <c r="I200" s="22" t="str">
        <f t="shared" si="57"/>
        <v/>
      </c>
      <c r="J200" s="22" t="str">
        <f t="shared" si="58"/>
        <v/>
      </c>
      <c r="K200" s="22" t="str">
        <f t="shared" si="59"/>
        <v/>
      </c>
      <c r="L200" s="22" t="str">
        <f t="shared" si="60"/>
        <v/>
      </c>
      <c r="M200" s="22" t="str">
        <f t="shared" si="61"/>
        <v/>
      </c>
      <c r="N200" s="103"/>
      <c r="O200" s="102"/>
    </row>
    <row r="201" spans="2:15" hidden="1" outlineLevel="1" x14ac:dyDescent="0.2">
      <c r="B201" s="2">
        <f t="shared" si="52"/>
        <v>148</v>
      </c>
      <c r="D201" s="22">
        <f>IF(B201&lt;$D$24,(+#REF!/CALCULETTE!$B$612),0)</f>
        <v>0</v>
      </c>
      <c r="E201" s="22" t="str">
        <f t="shared" si="53"/>
        <v/>
      </c>
      <c r="F201" s="22" t="str">
        <f t="shared" si="54"/>
        <v/>
      </c>
      <c r="G201" s="22" t="str">
        <f t="shared" si="55"/>
        <v/>
      </c>
      <c r="H201" s="22" t="str">
        <f t="shared" si="56"/>
        <v/>
      </c>
      <c r="I201" s="22" t="str">
        <f t="shared" si="57"/>
        <v/>
      </c>
      <c r="J201" s="22" t="str">
        <f t="shared" si="58"/>
        <v/>
      </c>
      <c r="K201" s="22" t="str">
        <f t="shared" si="59"/>
        <v/>
      </c>
      <c r="L201" s="22" t="str">
        <f t="shared" si="60"/>
        <v/>
      </c>
      <c r="M201" s="22" t="str">
        <f t="shared" si="61"/>
        <v/>
      </c>
      <c r="N201" s="103"/>
      <c r="O201" s="102"/>
    </row>
    <row r="202" spans="2:15" hidden="1" outlineLevel="1" x14ac:dyDescent="0.2">
      <c r="B202" s="2">
        <f t="shared" si="52"/>
        <v>149</v>
      </c>
      <c r="D202" s="22">
        <f>IF(B202&lt;$D$24,(+#REF!/CALCULETTE!$B$612),0)</f>
        <v>0</v>
      </c>
      <c r="E202" s="22" t="str">
        <f t="shared" si="53"/>
        <v/>
      </c>
      <c r="F202" s="22" t="str">
        <f t="shared" si="54"/>
        <v/>
      </c>
      <c r="G202" s="22" t="str">
        <f t="shared" si="55"/>
        <v/>
      </c>
      <c r="H202" s="22" t="str">
        <f t="shared" si="56"/>
        <v/>
      </c>
      <c r="I202" s="22" t="str">
        <f t="shared" si="57"/>
        <v/>
      </c>
      <c r="J202" s="22" t="str">
        <f t="shared" si="58"/>
        <v/>
      </c>
      <c r="K202" s="22" t="str">
        <f t="shared" si="59"/>
        <v/>
      </c>
      <c r="L202" s="22" t="str">
        <f t="shared" si="60"/>
        <v/>
      </c>
      <c r="M202" s="22" t="str">
        <f t="shared" si="61"/>
        <v/>
      </c>
      <c r="N202" s="103"/>
      <c r="O202" s="102"/>
    </row>
    <row r="203" spans="2:15" hidden="1" outlineLevel="1" x14ac:dyDescent="0.2">
      <c r="B203" s="2">
        <f t="shared" si="52"/>
        <v>150</v>
      </c>
      <c r="D203" s="22">
        <f>IF(B203&lt;$D$24,(+#REF!/CALCULETTE!$B$612),0)</f>
        <v>0</v>
      </c>
      <c r="E203" s="22" t="str">
        <f t="shared" si="53"/>
        <v/>
      </c>
      <c r="F203" s="22" t="str">
        <f t="shared" si="54"/>
        <v/>
      </c>
      <c r="G203" s="22" t="str">
        <f t="shared" si="55"/>
        <v/>
      </c>
      <c r="H203" s="22" t="str">
        <f t="shared" si="56"/>
        <v/>
      </c>
      <c r="I203" s="22" t="str">
        <f t="shared" si="57"/>
        <v/>
      </c>
      <c r="J203" s="22" t="str">
        <f t="shared" si="58"/>
        <v/>
      </c>
      <c r="K203" s="22" t="str">
        <f t="shared" si="59"/>
        <v/>
      </c>
      <c r="L203" s="22" t="str">
        <f t="shared" si="60"/>
        <v/>
      </c>
      <c r="M203" s="22" t="str">
        <f t="shared" si="61"/>
        <v/>
      </c>
      <c r="N203" s="103"/>
      <c r="O203" s="102"/>
    </row>
    <row r="204" spans="2:15" hidden="1" outlineLevel="1" x14ac:dyDescent="0.2">
      <c r="B204" s="2">
        <f t="shared" si="52"/>
        <v>151</v>
      </c>
      <c r="D204" s="22">
        <f>IF(B204&lt;$D$24,(+#REF!/CALCULETTE!$B$612),0)</f>
        <v>0</v>
      </c>
      <c r="E204" s="22" t="str">
        <f t="shared" si="53"/>
        <v/>
      </c>
      <c r="F204" s="22" t="str">
        <f t="shared" si="54"/>
        <v/>
      </c>
      <c r="G204" s="22" t="str">
        <f t="shared" si="55"/>
        <v/>
      </c>
      <c r="H204" s="22" t="str">
        <f t="shared" si="56"/>
        <v/>
      </c>
      <c r="I204" s="22" t="str">
        <f t="shared" si="57"/>
        <v/>
      </c>
      <c r="J204" s="22" t="str">
        <f t="shared" si="58"/>
        <v/>
      </c>
      <c r="K204" s="22" t="str">
        <f t="shared" si="59"/>
        <v/>
      </c>
      <c r="L204" s="22" t="str">
        <f t="shared" si="60"/>
        <v/>
      </c>
      <c r="M204" s="22" t="str">
        <f t="shared" si="61"/>
        <v/>
      </c>
      <c r="N204" s="103"/>
      <c r="O204" s="102"/>
    </row>
    <row r="205" spans="2:15" hidden="1" outlineLevel="1" x14ac:dyDescent="0.2">
      <c r="B205" s="2">
        <f t="shared" si="52"/>
        <v>152</v>
      </c>
      <c r="D205" s="22">
        <f>IF(B205&lt;$D$24,(+#REF!/CALCULETTE!$B$612),0)</f>
        <v>0</v>
      </c>
      <c r="E205" s="22" t="str">
        <f t="shared" si="53"/>
        <v/>
      </c>
      <c r="F205" s="22" t="str">
        <f t="shared" si="54"/>
        <v/>
      </c>
      <c r="G205" s="22" t="str">
        <f t="shared" si="55"/>
        <v/>
      </c>
      <c r="H205" s="22" t="str">
        <f t="shared" si="56"/>
        <v/>
      </c>
      <c r="I205" s="22" t="str">
        <f t="shared" si="57"/>
        <v/>
      </c>
      <c r="J205" s="22" t="str">
        <f t="shared" si="58"/>
        <v/>
      </c>
      <c r="K205" s="22" t="str">
        <f t="shared" si="59"/>
        <v/>
      </c>
      <c r="L205" s="22" t="str">
        <f t="shared" si="60"/>
        <v/>
      </c>
      <c r="M205" s="22" t="str">
        <f t="shared" si="61"/>
        <v/>
      </c>
      <c r="N205" s="103"/>
      <c r="O205" s="102"/>
    </row>
    <row r="206" spans="2:15" hidden="1" outlineLevel="1" x14ac:dyDescent="0.2">
      <c r="B206" s="2">
        <f t="shared" si="52"/>
        <v>153</v>
      </c>
      <c r="D206" s="22">
        <f>IF(B206&lt;$D$24,(+#REF!/CALCULETTE!$B$612),0)</f>
        <v>0</v>
      </c>
      <c r="E206" s="22" t="str">
        <f t="shared" si="53"/>
        <v/>
      </c>
      <c r="F206" s="22" t="str">
        <f t="shared" si="54"/>
        <v/>
      </c>
      <c r="G206" s="22" t="str">
        <f t="shared" si="55"/>
        <v/>
      </c>
      <c r="H206" s="22" t="str">
        <f t="shared" si="56"/>
        <v/>
      </c>
      <c r="I206" s="22" t="str">
        <f t="shared" si="57"/>
        <v/>
      </c>
      <c r="J206" s="22" t="str">
        <f t="shared" si="58"/>
        <v/>
      </c>
      <c r="K206" s="22" t="str">
        <f t="shared" si="59"/>
        <v/>
      </c>
      <c r="L206" s="22" t="str">
        <f t="shared" si="60"/>
        <v/>
      </c>
      <c r="M206" s="22" t="str">
        <f t="shared" si="61"/>
        <v/>
      </c>
      <c r="N206" s="103"/>
      <c r="O206" s="102"/>
    </row>
    <row r="207" spans="2:15" hidden="1" outlineLevel="1" x14ac:dyDescent="0.2">
      <c r="B207" s="2">
        <f t="shared" si="52"/>
        <v>154</v>
      </c>
      <c r="D207" s="22">
        <f>IF(B207&lt;$D$24,(+#REF!/CALCULETTE!$B$612),0)</f>
        <v>0</v>
      </c>
      <c r="E207" s="22" t="str">
        <f t="shared" si="53"/>
        <v/>
      </c>
      <c r="F207" s="22" t="str">
        <f t="shared" si="54"/>
        <v/>
      </c>
      <c r="G207" s="22" t="str">
        <f t="shared" si="55"/>
        <v/>
      </c>
      <c r="H207" s="22" t="str">
        <f t="shared" si="56"/>
        <v/>
      </c>
      <c r="I207" s="22" t="str">
        <f t="shared" si="57"/>
        <v/>
      </c>
      <c r="J207" s="22" t="str">
        <f t="shared" si="58"/>
        <v/>
      </c>
      <c r="K207" s="22" t="str">
        <f t="shared" si="59"/>
        <v/>
      </c>
      <c r="L207" s="22" t="str">
        <f t="shared" si="60"/>
        <v/>
      </c>
      <c r="M207" s="22" t="str">
        <f t="shared" si="61"/>
        <v/>
      </c>
      <c r="N207" s="103"/>
      <c r="O207" s="102"/>
    </row>
    <row r="208" spans="2:15" hidden="1" outlineLevel="1" x14ac:dyDescent="0.2">
      <c r="B208" s="2">
        <f t="shared" si="52"/>
        <v>155</v>
      </c>
      <c r="D208" s="22">
        <f>IF(B208&lt;$D$24,(+#REF!/CALCULETTE!$B$612),0)</f>
        <v>0</v>
      </c>
      <c r="E208" s="22" t="str">
        <f t="shared" si="53"/>
        <v/>
      </c>
      <c r="F208" s="22" t="str">
        <f t="shared" si="54"/>
        <v/>
      </c>
      <c r="G208" s="22" t="str">
        <f t="shared" si="55"/>
        <v/>
      </c>
      <c r="H208" s="22" t="str">
        <f t="shared" si="56"/>
        <v/>
      </c>
      <c r="I208" s="22" t="str">
        <f t="shared" si="57"/>
        <v/>
      </c>
      <c r="J208" s="22" t="str">
        <f t="shared" si="58"/>
        <v/>
      </c>
      <c r="K208" s="22" t="str">
        <f t="shared" si="59"/>
        <v/>
      </c>
      <c r="L208" s="22" t="str">
        <f t="shared" si="60"/>
        <v/>
      </c>
      <c r="M208" s="22" t="str">
        <f t="shared" si="61"/>
        <v/>
      </c>
      <c r="N208" s="103"/>
      <c r="O208" s="102"/>
    </row>
    <row r="209" spans="2:15" hidden="1" outlineLevel="1" x14ac:dyDescent="0.2">
      <c r="B209" s="2">
        <f t="shared" si="52"/>
        <v>156</v>
      </c>
      <c r="D209" s="22">
        <f>IF(B209&lt;$D$24,(+#REF!/CALCULETTE!$B$612),0)</f>
        <v>0</v>
      </c>
      <c r="E209" s="22" t="str">
        <f t="shared" si="53"/>
        <v/>
      </c>
      <c r="F209" s="22" t="str">
        <f t="shared" si="54"/>
        <v/>
      </c>
      <c r="G209" s="22" t="str">
        <f t="shared" si="55"/>
        <v/>
      </c>
      <c r="H209" s="22" t="str">
        <f t="shared" si="56"/>
        <v/>
      </c>
      <c r="I209" s="22" t="str">
        <f t="shared" si="57"/>
        <v/>
      </c>
      <c r="J209" s="22" t="str">
        <f t="shared" si="58"/>
        <v/>
      </c>
      <c r="K209" s="22" t="str">
        <f t="shared" si="59"/>
        <v/>
      </c>
      <c r="L209" s="22" t="str">
        <f t="shared" si="60"/>
        <v/>
      </c>
      <c r="M209" s="22" t="str">
        <f t="shared" si="61"/>
        <v/>
      </c>
      <c r="N209" s="103"/>
      <c r="O209" s="102"/>
    </row>
    <row r="210" spans="2:15" hidden="1" outlineLevel="1" x14ac:dyDescent="0.2">
      <c r="B210" s="2">
        <f t="shared" si="52"/>
        <v>157</v>
      </c>
      <c r="D210" s="22">
        <f>IF(B210&lt;$D$24,(+#REF!/CALCULETTE!$B$612),0)</f>
        <v>0</v>
      </c>
      <c r="E210" s="22" t="str">
        <f t="shared" si="53"/>
        <v/>
      </c>
      <c r="F210" s="22" t="str">
        <f t="shared" si="54"/>
        <v/>
      </c>
      <c r="G210" s="22" t="str">
        <f t="shared" si="55"/>
        <v/>
      </c>
      <c r="H210" s="22" t="str">
        <f t="shared" si="56"/>
        <v/>
      </c>
      <c r="I210" s="22" t="str">
        <f t="shared" si="57"/>
        <v/>
      </c>
      <c r="J210" s="22" t="str">
        <f t="shared" si="58"/>
        <v/>
      </c>
      <c r="K210" s="22" t="str">
        <f t="shared" si="59"/>
        <v/>
      </c>
      <c r="L210" s="22" t="str">
        <f t="shared" si="60"/>
        <v/>
      </c>
      <c r="M210" s="22" t="str">
        <f t="shared" si="61"/>
        <v/>
      </c>
      <c r="N210" s="103"/>
      <c r="O210" s="102"/>
    </row>
    <row r="211" spans="2:15" hidden="1" outlineLevel="1" x14ac:dyDescent="0.2">
      <c r="B211" s="2">
        <f t="shared" si="52"/>
        <v>158</v>
      </c>
      <c r="D211" s="22">
        <f>IF(B211&lt;$D$24,(+#REF!/CALCULETTE!$B$612),0)</f>
        <v>0</v>
      </c>
      <c r="E211" s="22" t="str">
        <f t="shared" si="53"/>
        <v/>
      </c>
      <c r="F211" s="22" t="str">
        <f t="shared" si="54"/>
        <v/>
      </c>
      <c r="G211" s="22" t="str">
        <f t="shared" si="55"/>
        <v/>
      </c>
      <c r="H211" s="22" t="str">
        <f t="shared" si="56"/>
        <v/>
      </c>
      <c r="I211" s="22" t="str">
        <f t="shared" si="57"/>
        <v/>
      </c>
      <c r="J211" s="22" t="str">
        <f t="shared" si="58"/>
        <v/>
      </c>
      <c r="K211" s="22" t="str">
        <f t="shared" si="59"/>
        <v/>
      </c>
      <c r="L211" s="22" t="str">
        <f t="shared" si="60"/>
        <v/>
      </c>
      <c r="M211" s="22" t="str">
        <f t="shared" si="61"/>
        <v/>
      </c>
      <c r="N211" s="103"/>
      <c r="O211" s="102"/>
    </row>
    <row r="212" spans="2:15" hidden="1" outlineLevel="1" x14ac:dyDescent="0.2">
      <c r="B212" s="2">
        <f t="shared" si="52"/>
        <v>159</v>
      </c>
      <c r="D212" s="22">
        <f>IF(B212&lt;$D$24,(+#REF!/CALCULETTE!$B$612),0)</f>
        <v>0</v>
      </c>
      <c r="E212" s="22" t="str">
        <f t="shared" si="53"/>
        <v/>
      </c>
      <c r="F212" s="22" t="str">
        <f t="shared" si="54"/>
        <v/>
      </c>
      <c r="G212" s="22" t="str">
        <f t="shared" si="55"/>
        <v/>
      </c>
      <c r="H212" s="22" t="str">
        <f t="shared" si="56"/>
        <v/>
      </c>
      <c r="I212" s="22" t="str">
        <f t="shared" si="57"/>
        <v/>
      </c>
      <c r="J212" s="22" t="str">
        <f t="shared" si="58"/>
        <v/>
      </c>
      <c r="K212" s="22" t="str">
        <f t="shared" si="59"/>
        <v/>
      </c>
      <c r="L212" s="22" t="str">
        <f t="shared" si="60"/>
        <v/>
      </c>
      <c r="M212" s="22" t="str">
        <f t="shared" si="61"/>
        <v/>
      </c>
      <c r="N212" s="103"/>
      <c r="O212" s="102"/>
    </row>
    <row r="213" spans="2:15" hidden="1" outlineLevel="1" x14ac:dyDescent="0.2">
      <c r="B213" s="2">
        <f t="shared" si="52"/>
        <v>160</v>
      </c>
      <c r="D213" s="22">
        <f>IF(B213&lt;$D$24,(+#REF!/CALCULETTE!$B$612),0)</f>
        <v>0</v>
      </c>
      <c r="E213" s="22" t="str">
        <f t="shared" si="53"/>
        <v/>
      </c>
      <c r="F213" s="22" t="str">
        <f t="shared" si="54"/>
        <v/>
      </c>
      <c r="G213" s="22" t="str">
        <f t="shared" si="55"/>
        <v/>
      </c>
      <c r="H213" s="22" t="str">
        <f t="shared" si="56"/>
        <v/>
      </c>
      <c r="I213" s="22" t="str">
        <f t="shared" si="57"/>
        <v/>
      </c>
      <c r="J213" s="22" t="str">
        <f t="shared" si="58"/>
        <v/>
      </c>
      <c r="K213" s="22" t="str">
        <f t="shared" si="59"/>
        <v/>
      </c>
      <c r="L213" s="22" t="str">
        <f t="shared" si="60"/>
        <v/>
      </c>
      <c r="M213" s="22" t="str">
        <f t="shared" si="61"/>
        <v/>
      </c>
      <c r="N213" s="103"/>
      <c r="O213" s="102"/>
    </row>
    <row r="214" spans="2:15" hidden="1" outlineLevel="1" x14ac:dyDescent="0.2">
      <c r="B214" s="2">
        <f t="shared" ref="B214:B232" si="62">B213+1</f>
        <v>161</v>
      </c>
      <c r="D214" s="22">
        <f>IF(B214&lt;$D$24,(+#REF!/CALCULETTE!$B$612),0)</f>
        <v>0</v>
      </c>
      <c r="E214" s="22" t="str">
        <f t="shared" ref="E214:E232" si="63">IF(E$1=0,"",IF($B214&lt;E$23,E213+PPMT(E$25/12,$B214,E$23,E$53,-E$27,0),IF($B214=E$23,E213+PPMT(E$25/12,$B214,E$23,E$53,-E$27,0)-E$27,0)))</f>
        <v/>
      </c>
      <c r="F214" s="22" t="str">
        <f t="shared" ref="F214:F232" si="64">IF(F$1=0,"",IF($B214&lt;F$23,F213+PPMT(F$25/12,$B214,F$23,F$53,-F$27,0),IF($B214=F$23,F213+PPMT(F$25/12,$B214,F$23,F$53,-F$27,0)-F$27,0)))</f>
        <v/>
      </c>
      <c r="G214" s="22" t="str">
        <f t="shared" ref="G214:G232" si="65">IF(G$1=0,"",IF($B214&lt;G$23,G213+PPMT(G$25/12,$B214,G$23,G$53,-G$27,0),IF($B214=G$23,G213+PPMT(G$25/12,$B214,G$23,G$53,-G$27,0)-G$27,0)))</f>
        <v/>
      </c>
      <c r="H214" s="22" t="str">
        <f t="shared" ref="H214:H232" si="66">IF(H$1=0,"",IF($B214&lt;H$23,H213+PPMT(H$25/12,$B214,H$23,H$53,-H$27,0),IF($B214=H$23,H213+PPMT(H$25/12,$B214,H$23,H$53,-H$27,0)-H$27,0)))</f>
        <v/>
      </c>
      <c r="I214" s="22" t="str">
        <f t="shared" ref="I214:I232" si="67">IF(I$1=0,"",IF($B214&lt;I$23,I213+PPMT(I$25/12,$B214,I$23,I$53,-I$27,0),IF($B214=I$23,I213+PPMT(I$25/12,$B214,I$23,I$53,-I$27,0)-I$27,0)))</f>
        <v/>
      </c>
      <c r="J214" s="22" t="str">
        <f t="shared" ref="J214:J232" si="68">IF(J$1=0,"",IF($B214&lt;J$23,J213+PPMT(J$25/12,$B214,J$23,J$53,-J$27,0),IF($B214=J$23,J213+PPMT(J$25/12,$B214,J$23,J$53,-J$27,0)-J$27,0)))</f>
        <v/>
      </c>
      <c r="K214" s="22" t="str">
        <f t="shared" ref="K214:K232" si="69">IF(K$1=0,"",IF($B214&lt;K$23,K213+PPMT(K$25/12,$B214,K$23,K$53,-K$27,0),IF($B214=K$23,K213+PPMT(K$25/12,$B214,K$23,K$53,-K$27,0)-K$27,0)))</f>
        <v/>
      </c>
      <c r="L214" s="22" t="str">
        <f t="shared" ref="L214:L232" si="70">IF(L$1=0,"",IF($B214&lt;L$23,L213+PPMT(L$25/12,$B214,L$23,L$53,-L$27,0),IF($B214=L$23,L213+PPMT(L$25/12,$B214,L$23,L$53,-L$27,0)-L$27,0)))</f>
        <v/>
      </c>
      <c r="M214" s="22" t="str">
        <f t="shared" ref="M214:M232" si="71">IF(M$1=0,"",IF($B214&lt;M$23,M213+PPMT(M$25/12,$B214,M$23,M$53,-M$27,0),IF($B214=M$23,M213+PPMT(M$25/12,$B214,M$23,M$53,-M$27,0)-M$27,0)))</f>
        <v/>
      </c>
      <c r="N214" s="103"/>
      <c r="O214" s="102"/>
    </row>
    <row r="215" spans="2:15" hidden="1" outlineLevel="1" x14ac:dyDescent="0.2">
      <c r="B215" s="2">
        <f t="shared" si="62"/>
        <v>162</v>
      </c>
      <c r="D215" s="22">
        <f>IF(B215&lt;$D$24,(+#REF!/CALCULETTE!$B$612),0)</f>
        <v>0</v>
      </c>
      <c r="E215" s="22" t="str">
        <f t="shared" si="63"/>
        <v/>
      </c>
      <c r="F215" s="22" t="str">
        <f t="shared" si="64"/>
        <v/>
      </c>
      <c r="G215" s="22" t="str">
        <f t="shared" si="65"/>
        <v/>
      </c>
      <c r="H215" s="22" t="str">
        <f t="shared" si="66"/>
        <v/>
      </c>
      <c r="I215" s="22" t="str">
        <f t="shared" si="67"/>
        <v/>
      </c>
      <c r="J215" s="22" t="str">
        <f t="shared" si="68"/>
        <v/>
      </c>
      <c r="K215" s="22" t="str">
        <f t="shared" si="69"/>
        <v/>
      </c>
      <c r="L215" s="22" t="str">
        <f t="shared" si="70"/>
        <v/>
      </c>
      <c r="M215" s="22" t="str">
        <f t="shared" si="71"/>
        <v/>
      </c>
      <c r="N215" s="103"/>
      <c r="O215" s="102"/>
    </row>
    <row r="216" spans="2:15" hidden="1" outlineLevel="1" x14ac:dyDescent="0.2">
      <c r="B216" s="2">
        <f t="shared" si="62"/>
        <v>163</v>
      </c>
      <c r="D216" s="22">
        <f>IF(B216&lt;$D$24,(+#REF!/CALCULETTE!$B$612),0)</f>
        <v>0</v>
      </c>
      <c r="E216" s="22" t="str">
        <f t="shared" si="63"/>
        <v/>
      </c>
      <c r="F216" s="22" t="str">
        <f t="shared" si="64"/>
        <v/>
      </c>
      <c r="G216" s="22" t="str">
        <f t="shared" si="65"/>
        <v/>
      </c>
      <c r="H216" s="22" t="str">
        <f t="shared" si="66"/>
        <v/>
      </c>
      <c r="I216" s="22" t="str">
        <f t="shared" si="67"/>
        <v/>
      </c>
      <c r="J216" s="22" t="str">
        <f t="shared" si="68"/>
        <v/>
      </c>
      <c r="K216" s="22" t="str">
        <f t="shared" si="69"/>
        <v/>
      </c>
      <c r="L216" s="22" t="str">
        <f t="shared" si="70"/>
        <v/>
      </c>
      <c r="M216" s="22" t="str">
        <f t="shared" si="71"/>
        <v/>
      </c>
      <c r="N216" s="103"/>
      <c r="O216" s="102"/>
    </row>
    <row r="217" spans="2:15" hidden="1" outlineLevel="1" x14ac:dyDescent="0.2">
      <c r="B217" s="2">
        <f t="shared" si="62"/>
        <v>164</v>
      </c>
      <c r="D217" s="22">
        <f>IF(B217&lt;$D$24,(+#REF!/CALCULETTE!$B$612),0)</f>
        <v>0</v>
      </c>
      <c r="E217" s="22" t="str">
        <f t="shared" si="63"/>
        <v/>
      </c>
      <c r="F217" s="22" t="str">
        <f t="shared" si="64"/>
        <v/>
      </c>
      <c r="G217" s="22" t="str">
        <f t="shared" si="65"/>
        <v/>
      </c>
      <c r="H217" s="22" t="str">
        <f t="shared" si="66"/>
        <v/>
      </c>
      <c r="I217" s="22" t="str">
        <f t="shared" si="67"/>
        <v/>
      </c>
      <c r="J217" s="22" t="str">
        <f t="shared" si="68"/>
        <v/>
      </c>
      <c r="K217" s="22" t="str">
        <f t="shared" si="69"/>
        <v/>
      </c>
      <c r="L217" s="22" t="str">
        <f t="shared" si="70"/>
        <v/>
      </c>
      <c r="M217" s="22" t="str">
        <f t="shared" si="71"/>
        <v/>
      </c>
      <c r="N217" s="103"/>
      <c r="O217" s="102"/>
    </row>
    <row r="218" spans="2:15" hidden="1" outlineLevel="1" x14ac:dyDescent="0.2">
      <c r="B218" s="2">
        <f t="shared" si="62"/>
        <v>165</v>
      </c>
      <c r="D218" s="22">
        <f>IF(B218&lt;$D$24,(+#REF!/CALCULETTE!$B$612),0)</f>
        <v>0</v>
      </c>
      <c r="E218" s="22" t="str">
        <f t="shared" si="63"/>
        <v/>
      </c>
      <c r="F218" s="22" t="str">
        <f t="shared" si="64"/>
        <v/>
      </c>
      <c r="G218" s="22" t="str">
        <f t="shared" si="65"/>
        <v/>
      </c>
      <c r="H218" s="22" t="str">
        <f t="shared" si="66"/>
        <v/>
      </c>
      <c r="I218" s="22" t="str">
        <f t="shared" si="67"/>
        <v/>
      </c>
      <c r="J218" s="22" t="str">
        <f t="shared" si="68"/>
        <v/>
      </c>
      <c r="K218" s="22" t="str">
        <f t="shared" si="69"/>
        <v/>
      </c>
      <c r="L218" s="22" t="str">
        <f t="shared" si="70"/>
        <v/>
      </c>
      <c r="M218" s="22" t="str">
        <f t="shared" si="71"/>
        <v/>
      </c>
      <c r="N218" s="103"/>
      <c r="O218" s="102"/>
    </row>
    <row r="219" spans="2:15" hidden="1" outlineLevel="1" x14ac:dyDescent="0.2">
      <c r="B219" s="2">
        <f t="shared" si="62"/>
        <v>166</v>
      </c>
      <c r="D219" s="22">
        <f>IF(B219&lt;$D$24,(+#REF!/CALCULETTE!$B$612),0)</f>
        <v>0</v>
      </c>
      <c r="E219" s="22" t="str">
        <f t="shared" si="63"/>
        <v/>
      </c>
      <c r="F219" s="22" t="str">
        <f t="shared" si="64"/>
        <v/>
      </c>
      <c r="G219" s="22" t="str">
        <f t="shared" si="65"/>
        <v/>
      </c>
      <c r="H219" s="22" t="str">
        <f t="shared" si="66"/>
        <v/>
      </c>
      <c r="I219" s="22" t="str">
        <f t="shared" si="67"/>
        <v/>
      </c>
      <c r="J219" s="22" t="str">
        <f t="shared" si="68"/>
        <v/>
      </c>
      <c r="K219" s="22" t="str">
        <f t="shared" si="69"/>
        <v/>
      </c>
      <c r="L219" s="22" t="str">
        <f t="shared" si="70"/>
        <v/>
      </c>
      <c r="M219" s="22" t="str">
        <f t="shared" si="71"/>
        <v/>
      </c>
      <c r="N219" s="103"/>
      <c r="O219" s="102"/>
    </row>
    <row r="220" spans="2:15" hidden="1" outlineLevel="1" x14ac:dyDescent="0.2">
      <c r="B220" s="2">
        <f t="shared" si="62"/>
        <v>167</v>
      </c>
      <c r="D220" s="22">
        <f>IF(B220&lt;$D$24,(+#REF!/CALCULETTE!$B$612),0)</f>
        <v>0</v>
      </c>
      <c r="E220" s="22" t="str">
        <f t="shared" si="63"/>
        <v/>
      </c>
      <c r="F220" s="22" t="str">
        <f t="shared" si="64"/>
        <v/>
      </c>
      <c r="G220" s="22" t="str">
        <f t="shared" si="65"/>
        <v/>
      </c>
      <c r="H220" s="22" t="str">
        <f t="shared" si="66"/>
        <v/>
      </c>
      <c r="I220" s="22" t="str">
        <f t="shared" si="67"/>
        <v/>
      </c>
      <c r="J220" s="22" t="str">
        <f t="shared" si="68"/>
        <v/>
      </c>
      <c r="K220" s="22" t="str">
        <f t="shared" si="69"/>
        <v/>
      </c>
      <c r="L220" s="22" t="str">
        <f t="shared" si="70"/>
        <v/>
      </c>
      <c r="M220" s="22" t="str">
        <f t="shared" si="71"/>
        <v/>
      </c>
      <c r="N220" s="103"/>
      <c r="O220" s="102"/>
    </row>
    <row r="221" spans="2:15" hidden="1" outlineLevel="1" x14ac:dyDescent="0.2">
      <c r="B221" s="2">
        <f t="shared" si="62"/>
        <v>168</v>
      </c>
      <c r="D221" s="22">
        <f>IF(B221&lt;$D$24,(+#REF!/CALCULETTE!$B$612),0)</f>
        <v>0</v>
      </c>
      <c r="E221" s="22" t="str">
        <f t="shared" si="63"/>
        <v/>
      </c>
      <c r="F221" s="22" t="str">
        <f t="shared" si="64"/>
        <v/>
      </c>
      <c r="G221" s="22" t="str">
        <f t="shared" si="65"/>
        <v/>
      </c>
      <c r="H221" s="22" t="str">
        <f t="shared" si="66"/>
        <v/>
      </c>
      <c r="I221" s="22" t="str">
        <f t="shared" si="67"/>
        <v/>
      </c>
      <c r="J221" s="22" t="str">
        <f t="shared" si="68"/>
        <v/>
      </c>
      <c r="K221" s="22" t="str">
        <f t="shared" si="69"/>
        <v/>
      </c>
      <c r="L221" s="22" t="str">
        <f t="shared" si="70"/>
        <v/>
      </c>
      <c r="M221" s="22" t="str">
        <f t="shared" si="71"/>
        <v/>
      </c>
      <c r="N221" s="103"/>
      <c r="O221" s="102"/>
    </row>
    <row r="222" spans="2:15" hidden="1" outlineLevel="1" x14ac:dyDescent="0.2">
      <c r="B222" s="2">
        <f t="shared" si="62"/>
        <v>169</v>
      </c>
      <c r="D222" s="22">
        <f>IF(B222&lt;$D$24,(+#REF!/CALCULETTE!$B$612),0)</f>
        <v>0</v>
      </c>
      <c r="E222" s="22" t="str">
        <f t="shared" si="63"/>
        <v/>
      </c>
      <c r="F222" s="22" t="str">
        <f t="shared" si="64"/>
        <v/>
      </c>
      <c r="G222" s="22" t="str">
        <f t="shared" si="65"/>
        <v/>
      </c>
      <c r="H222" s="22" t="str">
        <f t="shared" si="66"/>
        <v/>
      </c>
      <c r="I222" s="22" t="str">
        <f t="shared" si="67"/>
        <v/>
      </c>
      <c r="J222" s="22" t="str">
        <f t="shared" si="68"/>
        <v/>
      </c>
      <c r="K222" s="22" t="str">
        <f t="shared" si="69"/>
        <v/>
      </c>
      <c r="L222" s="22" t="str">
        <f t="shared" si="70"/>
        <v/>
      </c>
      <c r="M222" s="22" t="str">
        <f t="shared" si="71"/>
        <v/>
      </c>
      <c r="N222" s="103"/>
      <c r="O222" s="102"/>
    </row>
    <row r="223" spans="2:15" hidden="1" outlineLevel="1" x14ac:dyDescent="0.2">
      <c r="B223" s="2">
        <f t="shared" si="62"/>
        <v>170</v>
      </c>
      <c r="D223" s="22">
        <f>IF(B223&lt;$D$24,(+#REF!/CALCULETTE!$B$612),0)</f>
        <v>0</v>
      </c>
      <c r="E223" s="22" t="str">
        <f t="shared" si="63"/>
        <v/>
      </c>
      <c r="F223" s="22" t="str">
        <f t="shared" si="64"/>
        <v/>
      </c>
      <c r="G223" s="22" t="str">
        <f t="shared" si="65"/>
        <v/>
      </c>
      <c r="H223" s="22" t="str">
        <f t="shared" si="66"/>
        <v/>
      </c>
      <c r="I223" s="22" t="str">
        <f t="shared" si="67"/>
        <v/>
      </c>
      <c r="J223" s="22" t="str">
        <f t="shared" si="68"/>
        <v/>
      </c>
      <c r="K223" s="22" t="str">
        <f t="shared" si="69"/>
        <v/>
      </c>
      <c r="L223" s="22" t="str">
        <f t="shared" si="70"/>
        <v/>
      </c>
      <c r="M223" s="22" t="str">
        <f t="shared" si="71"/>
        <v/>
      </c>
      <c r="N223" s="103"/>
      <c r="O223" s="102"/>
    </row>
    <row r="224" spans="2:15" hidden="1" outlineLevel="1" x14ac:dyDescent="0.2">
      <c r="B224" s="2">
        <f t="shared" si="62"/>
        <v>171</v>
      </c>
      <c r="D224" s="22">
        <f>IF(B224&lt;$D$24,(+#REF!/CALCULETTE!$B$612),0)</f>
        <v>0</v>
      </c>
      <c r="E224" s="22" t="str">
        <f t="shared" si="63"/>
        <v/>
      </c>
      <c r="F224" s="22" t="str">
        <f t="shared" si="64"/>
        <v/>
      </c>
      <c r="G224" s="22" t="str">
        <f t="shared" si="65"/>
        <v/>
      </c>
      <c r="H224" s="22" t="str">
        <f t="shared" si="66"/>
        <v/>
      </c>
      <c r="I224" s="22" t="str">
        <f t="shared" si="67"/>
        <v/>
      </c>
      <c r="J224" s="22" t="str">
        <f t="shared" si="68"/>
        <v/>
      </c>
      <c r="K224" s="22" t="str">
        <f t="shared" si="69"/>
        <v/>
      </c>
      <c r="L224" s="22" t="str">
        <f t="shared" si="70"/>
        <v/>
      </c>
      <c r="M224" s="22" t="str">
        <f t="shared" si="71"/>
        <v/>
      </c>
      <c r="N224" s="103"/>
      <c r="O224" s="102"/>
    </row>
    <row r="225" spans="2:15" hidden="1" outlineLevel="1" x14ac:dyDescent="0.2">
      <c r="B225" s="2">
        <f t="shared" si="62"/>
        <v>172</v>
      </c>
      <c r="D225" s="22">
        <f>IF(B225&lt;$D$24,(+#REF!/CALCULETTE!$B$612),0)</f>
        <v>0</v>
      </c>
      <c r="E225" s="22" t="str">
        <f t="shared" si="63"/>
        <v/>
      </c>
      <c r="F225" s="22" t="str">
        <f t="shared" si="64"/>
        <v/>
      </c>
      <c r="G225" s="22" t="str">
        <f t="shared" si="65"/>
        <v/>
      </c>
      <c r="H225" s="22" t="str">
        <f t="shared" si="66"/>
        <v/>
      </c>
      <c r="I225" s="22" t="str">
        <f t="shared" si="67"/>
        <v/>
      </c>
      <c r="J225" s="22" t="str">
        <f t="shared" si="68"/>
        <v/>
      </c>
      <c r="K225" s="22" t="str">
        <f t="shared" si="69"/>
        <v/>
      </c>
      <c r="L225" s="22" t="str">
        <f t="shared" si="70"/>
        <v/>
      </c>
      <c r="M225" s="22" t="str">
        <f t="shared" si="71"/>
        <v/>
      </c>
      <c r="N225" s="103"/>
      <c r="O225" s="102"/>
    </row>
    <row r="226" spans="2:15" hidden="1" outlineLevel="1" x14ac:dyDescent="0.2">
      <c r="B226" s="2">
        <f t="shared" si="62"/>
        <v>173</v>
      </c>
      <c r="D226" s="22">
        <f>IF(B226&lt;$D$24,(+#REF!/CALCULETTE!$B$612),0)</f>
        <v>0</v>
      </c>
      <c r="E226" s="22" t="str">
        <f t="shared" si="63"/>
        <v/>
      </c>
      <c r="F226" s="22" t="str">
        <f t="shared" si="64"/>
        <v/>
      </c>
      <c r="G226" s="22" t="str">
        <f t="shared" si="65"/>
        <v/>
      </c>
      <c r="H226" s="22" t="str">
        <f t="shared" si="66"/>
        <v/>
      </c>
      <c r="I226" s="22" t="str">
        <f t="shared" si="67"/>
        <v/>
      </c>
      <c r="J226" s="22" t="str">
        <f t="shared" si="68"/>
        <v/>
      </c>
      <c r="K226" s="22" t="str">
        <f t="shared" si="69"/>
        <v/>
      </c>
      <c r="L226" s="22" t="str">
        <f t="shared" si="70"/>
        <v/>
      </c>
      <c r="M226" s="22" t="str">
        <f t="shared" si="71"/>
        <v/>
      </c>
      <c r="N226" s="103"/>
      <c r="O226" s="102"/>
    </row>
    <row r="227" spans="2:15" hidden="1" outlineLevel="1" x14ac:dyDescent="0.2">
      <c r="B227" s="2">
        <f t="shared" si="62"/>
        <v>174</v>
      </c>
      <c r="D227" s="22">
        <f>IF(B227&lt;$D$24,(+#REF!/CALCULETTE!$B$612),0)</f>
        <v>0</v>
      </c>
      <c r="E227" s="22" t="str">
        <f t="shared" si="63"/>
        <v/>
      </c>
      <c r="F227" s="22" t="str">
        <f t="shared" si="64"/>
        <v/>
      </c>
      <c r="G227" s="22" t="str">
        <f t="shared" si="65"/>
        <v/>
      </c>
      <c r="H227" s="22" t="str">
        <f t="shared" si="66"/>
        <v/>
      </c>
      <c r="I227" s="22" t="str">
        <f t="shared" si="67"/>
        <v/>
      </c>
      <c r="J227" s="22" t="str">
        <f t="shared" si="68"/>
        <v/>
      </c>
      <c r="K227" s="22" t="str">
        <f t="shared" si="69"/>
        <v/>
      </c>
      <c r="L227" s="22" t="str">
        <f t="shared" si="70"/>
        <v/>
      </c>
      <c r="M227" s="22" t="str">
        <f t="shared" si="71"/>
        <v/>
      </c>
      <c r="N227" s="103"/>
      <c r="O227" s="102"/>
    </row>
    <row r="228" spans="2:15" hidden="1" outlineLevel="1" x14ac:dyDescent="0.2">
      <c r="B228" s="2">
        <f t="shared" si="62"/>
        <v>175</v>
      </c>
      <c r="D228" s="22">
        <f>IF(B228&lt;$D$24,(+#REF!/CALCULETTE!$B$612),0)</f>
        <v>0</v>
      </c>
      <c r="E228" s="22" t="str">
        <f t="shared" si="63"/>
        <v/>
      </c>
      <c r="F228" s="22" t="str">
        <f t="shared" si="64"/>
        <v/>
      </c>
      <c r="G228" s="22" t="str">
        <f t="shared" si="65"/>
        <v/>
      </c>
      <c r="H228" s="22" t="str">
        <f t="shared" si="66"/>
        <v/>
      </c>
      <c r="I228" s="22" t="str">
        <f t="shared" si="67"/>
        <v/>
      </c>
      <c r="J228" s="22" t="str">
        <f t="shared" si="68"/>
        <v/>
      </c>
      <c r="K228" s="22" t="str">
        <f t="shared" si="69"/>
        <v/>
      </c>
      <c r="L228" s="22" t="str">
        <f t="shared" si="70"/>
        <v/>
      </c>
      <c r="M228" s="22" t="str">
        <f t="shared" si="71"/>
        <v/>
      </c>
      <c r="N228" s="103"/>
      <c r="O228" s="102"/>
    </row>
    <row r="229" spans="2:15" hidden="1" outlineLevel="1" x14ac:dyDescent="0.2">
      <c r="B229" s="2">
        <f t="shared" si="62"/>
        <v>176</v>
      </c>
      <c r="D229" s="22">
        <f>IF(B229&lt;$D$24,(+#REF!/CALCULETTE!$B$612),0)</f>
        <v>0</v>
      </c>
      <c r="E229" s="22" t="str">
        <f t="shared" si="63"/>
        <v/>
      </c>
      <c r="F229" s="22" t="str">
        <f t="shared" si="64"/>
        <v/>
      </c>
      <c r="G229" s="22" t="str">
        <f t="shared" si="65"/>
        <v/>
      </c>
      <c r="H229" s="22" t="str">
        <f t="shared" si="66"/>
        <v/>
      </c>
      <c r="I229" s="22" t="str">
        <f t="shared" si="67"/>
        <v/>
      </c>
      <c r="J229" s="22" t="str">
        <f t="shared" si="68"/>
        <v/>
      </c>
      <c r="K229" s="22" t="str">
        <f t="shared" si="69"/>
        <v/>
      </c>
      <c r="L229" s="22" t="str">
        <f t="shared" si="70"/>
        <v/>
      </c>
      <c r="M229" s="22" t="str">
        <f t="shared" si="71"/>
        <v/>
      </c>
      <c r="N229" s="103"/>
      <c r="O229" s="102"/>
    </row>
    <row r="230" spans="2:15" hidden="1" outlineLevel="1" x14ac:dyDescent="0.2">
      <c r="B230" s="2">
        <f t="shared" si="62"/>
        <v>177</v>
      </c>
      <c r="D230" s="22">
        <f>IF(B230&lt;$D$24,(+#REF!/CALCULETTE!$B$612),0)</f>
        <v>0</v>
      </c>
      <c r="E230" s="22" t="str">
        <f t="shared" si="63"/>
        <v/>
      </c>
      <c r="F230" s="22" t="str">
        <f t="shared" si="64"/>
        <v/>
      </c>
      <c r="G230" s="22" t="str">
        <f t="shared" si="65"/>
        <v/>
      </c>
      <c r="H230" s="22" t="str">
        <f t="shared" si="66"/>
        <v/>
      </c>
      <c r="I230" s="22" t="str">
        <f t="shared" si="67"/>
        <v/>
      </c>
      <c r="J230" s="22" t="str">
        <f t="shared" si="68"/>
        <v/>
      </c>
      <c r="K230" s="22" t="str">
        <f t="shared" si="69"/>
        <v/>
      </c>
      <c r="L230" s="22" t="str">
        <f t="shared" si="70"/>
        <v/>
      </c>
      <c r="M230" s="22" t="str">
        <f t="shared" si="71"/>
        <v/>
      </c>
      <c r="N230" s="103"/>
      <c r="O230" s="102"/>
    </row>
    <row r="231" spans="2:15" hidden="1" outlineLevel="1" x14ac:dyDescent="0.2">
      <c r="B231" s="2">
        <f t="shared" si="62"/>
        <v>178</v>
      </c>
      <c r="D231" s="22">
        <f>IF(B231&lt;$D$24,(+#REF!/CALCULETTE!$B$612),0)</f>
        <v>0</v>
      </c>
      <c r="E231" s="22" t="str">
        <f t="shared" si="63"/>
        <v/>
      </c>
      <c r="F231" s="22" t="str">
        <f t="shared" si="64"/>
        <v/>
      </c>
      <c r="G231" s="22" t="str">
        <f t="shared" si="65"/>
        <v/>
      </c>
      <c r="H231" s="22" t="str">
        <f t="shared" si="66"/>
        <v/>
      </c>
      <c r="I231" s="22" t="str">
        <f t="shared" si="67"/>
        <v/>
      </c>
      <c r="J231" s="22" t="str">
        <f t="shared" si="68"/>
        <v/>
      </c>
      <c r="K231" s="22" t="str">
        <f t="shared" si="69"/>
        <v/>
      </c>
      <c r="L231" s="22" t="str">
        <f t="shared" si="70"/>
        <v/>
      </c>
      <c r="M231" s="22" t="str">
        <f t="shared" si="71"/>
        <v/>
      </c>
      <c r="N231" s="103"/>
      <c r="O231" s="102"/>
    </row>
    <row r="232" spans="2:15" hidden="1" outlineLevel="1" x14ac:dyDescent="0.2">
      <c r="B232" s="2">
        <f t="shared" si="62"/>
        <v>179</v>
      </c>
      <c r="D232" s="22">
        <f>IF(B232&lt;$D$24,(+#REF!/CALCULETTE!$B$612),0)</f>
        <v>0</v>
      </c>
      <c r="E232" s="22" t="str">
        <f t="shared" si="63"/>
        <v/>
      </c>
      <c r="F232" s="22" t="str">
        <f t="shared" si="64"/>
        <v/>
      </c>
      <c r="G232" s="22" t="str">
        <f t="shared" si="65"/>
        <v/>
      </c>
      <c r="H232" s="22" t="str">
        <f t="shared" si="66"/>
        <v/>
      </c>
      <c r="I232" s="22" t="str">
        <f t="shared" si="67"/>
        <v/>
      </c>
      <c r="J232" s="22" t="str">
        <f t="shared" si="68"/>
        <v/>
      </c>
      <c r="K232" s="22" t="str">
        <f t="shared" si="69"/>
        <v/>
      </c>
      <c r="L232" s="22" t="str">
        <f t="shared" si="70"/>
        <v/>
      </c>
      <c r="M232" s="22" t="str">
        <f t="shared" si="71"/>
        <v/>
      </c>
      <c r="N232" s="103"/>
      <c r="O232" s="102"/>
    </row>
    <row r="233" spans="2:15" hidden="1" outlineLevel="1" x14ac:dyDescent="0.2"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103"/>
    </row>
    <row r="234" spans="2:15" hidden="1" outlineLevel="1" x14ac:dyDescent="0.2">
      <c r="B234" s="21" t="s">
        <v>45</v>
      </c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103"/>
    </row>
    <row r="235" spans="2:15" hidden="1" outlineLevel="1" x14ac:dyDescent="0.2">
      <c r="B235" s="2">
        <v>0</v>
      </c>
      <c r="D235" s="22">
        <f>IF(B235&lt;$D$24,(+CALCULETTE!G632/CALCULETTE!$B$612),0)</f>
        <v>0.995</v>
      </c>
      <c r="E235" s="22" t="str">
        <f t="shared" ref="E235:M235" si="72">IF(E$1=0,"",1)</f>
        <v/>
      </c>
      <c r="F235" s="22" t="str">
        <f t="shared" si="72"/>
        <v/>
      </c>
      <c r="G235" s="22" t="str">
        <f t="shared" si="72"/>
        <v/>
      </c>
      <c r="H235" s="22" t="str">
        <f t="shared" si="72"/>
        <v/>
      </c>
      <c r="I235" s="22" t="str">
        <f t="shared" si="72"/>
        <v/>
      </c>
      <c r="J235" s="22" t="str">
        <f t="shared" si="72"/>
        <v/>
      </c>
      <c r="K235" s="22" t="str">
        <f t="shared" si="72"/>
        <v/>
      </c>
      <c r="L235" s="22" t="str">
        <f t="shared" si="72"/>
        <v/>
      </c>
      <c r="M235" s="22" t="str">
        <f t="shared" si="72"/>
        <v/>
      </c>
      <c r="N235" s="103"/>
      <c r="O235" s="102"/>
    </row>
    <row r="236" spans="2:15" hidden="1" outlineLevel="1" x14ac:dyDescent="0.2">
      <c r="B236" s="2">
        <f t="shared" ref="B236:B267" si="73">B235+1</f>
        <v>1</v>
      </c>
      <c r="D236" s="22">
        <f>IF(B236&lt;$D$24,(+CALCULETTE!G633/CALCULETTE!$B$612),0)</f>
        <v>0.97979706938554523</v>
      </c>
      <c r="E236" s="22" t="str">
        <f t="shared" ref="E236:E267" si="74">IF(E$1=0,"",IF($B236&lt;E$23,E235+PPMT(E$26/12,$B236,E$23,E$235,-E$27,0),IF($B236=E$23,E235+PPMT(E$26/12,$B236,E$23,E$235,-E$27,0)-E$27,0)))</f>
        <v/>
      </c>
      <c r="F236" s="22" t="str">
        <f t="shared" ref="F236:F267" si="75">IF(F$1=0,"",IF($B236&lt;F$23,F235+PPMT(F$26/12,$B236,F$23,F$235,-F$27,0),IF($B236=F$23,F235+PPMT(F$26/12,$B236,F$23,F$235,-F$27,0)-F$27,0)))</f>
        <v/>
      </c>
      <c r="G236" s="22" t="str">
        <f t="shared" ref="G236:G267" si="76">IF(G$1=0,"",IF($B236&lt;G$23,G235+PPMT(G$26/12,$B236,G$23,G$235,-G$27,0),IF($B236=G$23,G235+PPMT(G$26/12,$B236,G$23,G$235,-G$27,0)-G$27,0)))</f>
        <v/>
      </c>
      <c r="H236" s="22" t="str">
        <f t="shared" ref="H236:H267" si="77">IF(H$1=0,"",IF($B236&lt;H$23,H235+PPMT(H$26/12,$B236,H$23,H$235,-H$27,0),IF($B236=H$23,H235+PPMT(H$26/12,$B236,H$23,H$235,-H$27,0)-H$27,0)))</f>
        <v/>
      </c>
      <c r="I236" s="22" t="str">
        <f t="shared" ref="I236:I267" si="78">IF(I$1=0,"",IF($B236&lt;I$23,I235+PPMT(I$26/12,$B236,I$23,I$235,-I$27,0),IF($B236=I$23,I235+PPMT(I$26/12,$B236,I$23,I$235,-I$27,0)-I$27,0)))</f>
        <v/>
      </c>
      <c r="J236" s="22" t="str">
        <f t="shared" ref="J236:J267" si="79">IF(J$1=0,"",IF($B236&lt;J$23,J235+PPMT(J$26/12,$B236,J$23,J$235,-J$27,0),IF($B236=J$23,J235+PPMT(J$26/12,$B236,J$23,J$235,-J$27,0)-J$27,0)))</f>
        <v/>
      </c>
      <c r="K236" s="22" t="str">
        <f t="shared" ref="K236:K267" si="80">IF(K$1=0,"",IF($B236&lt;K$23,K235+PPMT(K$26/12,$B236,K$23,K$235,-K$27,0),IF($B236=K$23,K235+PPMT(K$26/12,$B236,K$23,K$235,-K$27,0)-K$27,0)))</f>
        <v/>
      </c>
      <c r="L236" s="22" t="str">
        <f t="shared" ref="L236:L267" si="81">IF(L$1=0,"",IF($B236&lt;L$23,L235+PPMT(L$26/12,$B236,L$23,L$235,-L$27,0),IF($B236=L$23,L235+PPMT(L$26/12,$B236,L$23,L$235,-L$27,0)-L$27,0)))</f>
        <v/>
      </c>
      <c r="M236" s="22" t="str">
        <f t="shared" ref="M236:M267" si="82">IF(M$1=0,"",IF($B236&lt;M$23,M235+PPMT(M$26/12,$B236,M$23,M$235,-M$27,0),IF($B236=M$23,M235+PPMT(M$26/12,$B236,M$23,M$235,-M$27,0)-M$27,0)))</f>
        <v/>
      </c>
      <c r="N236" s="103"/>
      <c r="O236" s="102"/>
    </row>
    <row r="237" spans="2:15" hidden="1" outlineLevel="1" x14ac:dyDescent="0.2">
      <c r="B237" s="2">
        <f t="shared" si="73"/>
        <v>2</v>
      </c>
      <c r="D237" s="22">
        <f>IF(B237&lt;$D$24,(+CALCULETTE!G634/CALCULETTE!$B$612),0)</f>
        <v>0.96467083315538493</v>
      </c>
      <c r="E237" s="22" t="str">
        <f t="shared" si="74"/>
        <v/>
      </c>
      <c r="F237" s="22" t="str">
        <f t="shared" si="75"/>
        <v/>
      </c>
      <c r="G237" s="22" t="str">
        <f t="shared" si="76"/>
        <v/>
      </c>
      <c r="H237" s="22" t="str">
        <f t="shared" si="77"/>
        <v/>
      </c>
      <c r="I237" s="22" t="str">
        <f t="shared" si="78"/>
        <v/>
      </c>
      <c r="J237" s="22" t="str">
        <f t="shared" si="79"/>
        <v/>
      </c>
      <c r="K237" s="22" t="str">
        <f t="shared" si="80"/>
        <v/>
      </c>
      <c r="L237" s="22" t="str">
        <f t="shared" si="81"/>
        <v/>
      </c>
      <c r="M237" s="22" t="str">
        <f t="shared" si="82"/>
        <v/>
      </c>
      <c r="N237" s="103"/>
      <c r="O237" s="102"/>
    </row>
    <row r="238" spans="2:15" hidden="1" outlineLevel="1" x14ac:dyDescent="0.2">
      <c r="B238" s="2">
        <f t="shared" si="73"/>
        <v>3</v>
      </c>
      <c r="D238" s="22">
        <f>IF(B238&lt;$D$24,(+CALCULETTE!G635/CALCULETTE!$B$612),0)</f>
        <v>0.94962090779242359</v>
      </c>
      <c r="E238" s="22" t="str">
        <f t="shared" si="74"/>
        <v/>
      </c>
      <c r="F238" s="22" t="str">
        <f t="shared" si="75"/>
        <v/>
      </c>
      <c r="G238" s="22" t="str">
        <f t="shared" si="76"/>
        <v/>
      </c>
      <c r="H238" s="22" t="str">
        <f t="shared" si="77"/>
        <v/>
      </c>
      <c r="I238" s="22" t="str">
        <f t="shared" si="78"/>
        <v/>
      </c>
      <c r="J238" s="22" t="str">
        <f t="shared" si="79"/>
        <v/>
      </c>
      <c r="K238" s="22" t="str">
        <f t="shared" si="80"/>
        <v/>
      </c>
      <c r="L238" s="22" t="str">
        <f t="shared" si="81"/>
        <v/>
      </c>
      <c r="M238" s="22" t="str">
        <f t="shared" si="82"/>
        <v/>
      </c>
      <c r="N238" s="103"/>
      <c r="O238" s="102"/>
    </row>
    <row r="239" spans="2:15" hidden="1" outlineLevel="1" x14ac:dyDescent="0.2">
      <c r="B239" s="2">
        <f t="shared" si="73"/>
        <v>4</v>
      </c>
      <c r="D239" s="22">
        <f>IF(B239&lt;$D$24,(+CALCULETTE!G636/CALCULETTE!$B$612),0)</f>
        <v>0.93464691169715464</v>
      </c>
      <c r="E239" s="22" t="str">
        <f t="shared" si="74"/>
        <v/>
      </c>
      <c r="F239" s="22" t="str">
        <f t="shared" si="75"/>
        <v/>
      </c>
      <c r="G239" s="22" t="str">
        <f t="shared" si="76"/>
        <v/>
      </c>
      <c r="H239" s="22" t="str">
        <f t="shared" si="77"/>
        <v/>
      </c>
      <c r="I239" s="22" t="str">
        <f t="shared" si="78"/>
        <v/>
      </c>
      <c r="J239" s="22" t="str">
        <f t="shared" si="79"/>
        <v/>
      </c>
      <c r="K239" s="22" t="str">
        <f t="shared" si="80"/>
        <v/>
      </c>
      <c r="L239" s="22" t="str">
        <f t="shared" si="81"/>
        <v/>
      </c>
      <c r="M239" s="22" t="str">
        <f t="shared" si="82"/>
        <v/>
      </c>
      <c r="N239" s="103"/>
      <c r="O239" s="102"/>
    </row>
    <row r="240" spans="2:15" hidden="1" outlineLevel="1" x14ac:dyDescent="0.2">
      <c r="B240" s="2">
        <f t="shared" si="73"/>
        <v>5</v>
      </c>
      <c r="D240" s="22">
        <f>IF(B240&lt;$D$24,(+CALCULETTE!G637/CALCULETTE!$B$612),0)</f>
        <v>0.91974846517807163</v>
      </c>
      <c r="E240" s="22" t="str">
        <f t="shared" si="74"/>
        <v/>
      </c>
      <c r="F240" s="22" t="str">
        <f t="shared" si="75"/>
        <v/>
      </c>
      <c r="G240" s="22" t="str">
        <f t="shared" si="76"/>
        <v/>
      </c>
      <c r="H240" s="22" t="str">
        <f t="shared" si="77"/>
        <v/>
      </c>
      <c r="I240" s="22" t="str">
        <f t="shared" si="78"/>
        <v/>
      </c>
      <c r="J240" s="22" t="str">
        <f t="shared" si="79"/>
        <v/>
      </c>
      <c r="K240" s="22" t="str">
        <f t="shared" si="80"/>
        <v/>
      </c>
      <c r="L240" s="22" t="str">
        <f t="shared" si="81"/>
        <v/>
      </c>
      <c r="M240" s="22" t="str">
        <f t="shared" si="82"/>
        <v/>
      </c>
      <c r="N240" s="103"/>
      <c r="O240" s="102"/>
    </row>
    <row r="241" spans="2:15" hidden="1" outlineLevel="1" x14ac:dyDescent="0.2">
      <c r="B241" s="2">
        <f t="shared" si="73"/>
        <v>6</v>
      </c>
      <c r="D241" s="22">
        <f>IF(B241&lt;$D$24,(+CALCULETTE!G638/CALCULETTE!$B$612),0)</f>
        <v>0.90492519044212905</v>
      </c>
      <c r="E241" s="22" t="str">
        <f t="shared" si="74"/>
        <v/>
      </c>
      <c r="F241" s="22" t="str">
        <f t="shared" si="75"/>
        <v/>
      </c>
      <c r="G241" s="22" t="str">
        <f t="shared" si="76"/>
        <v/>
      </c>
      <c r="H241" s="22" t="str">
        <f t="shared" si="77"/>
        <v/>
      </c>
      <c r="I241" s="22" t="str">
        <f t="shared" si="78"/>
        <v/>
      </c>
      <c r="J241" s="22" t="str">
        <f t="shared" si="79"/>
        <v/>
      </c>
      <c r="K241" s="22" t="str">
        <f t="shared" si="80"/>
        <v/>
      </c>
      <c r="L241" s="22" t="str">
        <f t="shared" si="81"/>
        <v/>
      </c>
      <c r="M241" s="22" t="str">
        <f t="shared" si="82"/>
        <v/>
      </c>
      <c r="N241" s="103"/>
      <c r="O241" s="102"/>
    </row>
    <row r="242" spans="2:15" hidden="1" outlineLevel="1" x14ac:dyDescent="0.2">
      <c r="B242" s="2">
        <f t="shared" si="73"/>
        <v>7</v>
      </c>
      <c r="D242" s="22">
        <f>IF(B242&lt;$D$24,(+CALCULETTE!G639/CALCULETTE!$B$612),0)</f>
        <v>0.89017671158524903</v>
      </c>
      <c r="E242" s="22" t="str">
        <f t="shared" si="74"/>
        <v/>
      </c>
      <c r="F242" s="22" t="str">
        <f t="shared" si="75"/>
        <v/>
      </c>
      <c r="G242" s="22" t="str">
        <f t="shared" si="76"/>
        <v/>
      </c>
      <c r="H242" s="22" t="str">
        <f t="shared" si="77"/>
        <v/>
      </c>
      <c r="I242" s="22" t="str">
        <f t="shared" si="78"/>
        <v/>
      </c>
      <c r="J242" s="22" t="str">
        <f t="shared" si="79"/>
        <v/>
      </c>
      <c r="K242" s="22" t="str">
        <f t="shared" si="80"/>
        <v/>
      </c>
      <c r="L242" s="22" t="str">
        <f t="shared" si="81"/>
        <v/>
      </c>
      <c r="M242" s="22" t="str">
        <f t="shared" si="82"/>
        <v/>
      </c>
      <c r="N242" s="103"/>
      <c r="O242" s="102"/>
    </row>
    <row r="243" spans="2:15" hidden="1" outlineLevel="1" x14ac:dyDescent="0.2">
      <c r="B243" s="2">
        <f t="shared" si="73"/>
        <v>8</v>
      </c>
      <c r="D243" s="22">
        <f>IF(B243&lt;$D$24,(+CALCULETTE!G640/CALCULETTE!$B$612),0)</f>
        <v>0.87550265458287779</v>
      </c>
      <c r="E243" s="22" t="str">
        <f t="shared" si="74"/>
        <v/>
      </c>
      <c r="F243" s="22" t="str">
        <f t="shared" si="75"/>
        <v/>
      </c>
      <c r="G243" s="22" t="str">
        <f t="shared" si="76"/>
        <v/>
      </c>
      <c r="H243" s="22" t="str">
        <f t="shared" si="77"/>
        <v/>
      </c>
      <c r="I243" s="22" t="str">
        <f t="shared" si="78"/>
        <v/>
      </c>
      <c r="J243" s="22" t="str">
        <f t="shared" si="79"/>
        <v/>
      </c>
      <c r="K243" s="22" t="str">
        <f t="shared" si="80"/>
        <v/>
      </c>
      <c r="L243" s="22" t="str">
        <f t="shared" si="81"/>
        <v/>
      </c>
      <c r="M243" s="22" t="str">
        <f t="shared" si="82"/>
        <v/>
      </c>
      <c r="N243" s="103"/>
      <c r="O243" s="102"/>
    </row>
    <row r="244" spans="2:15" hidden="1" outlineLevel="1" x14ac:dyDescent="0.2">
      <c r="B244" s="2">
        <f t="shared" si="73"/>
        <v>9</v>
      </c>
      <c r="D244" s="22">
        <f>IF(B244&lt;$D$24,(+CALCULETTE!G641/CALCULETTE!$B$612),0)</f>
        <v>0.86090264728058696</v>
      </c>
      <c r="E244" s="22" t="str">
        <f t="shared" si="74"/>
        <v/>
      </c>
      <c r="F244" s="22" t="str">
        <f t="shared" si="75"/>
        <v/>
      </c>
      <c r="G244" s="22" t="str">
        <f t="shared" si="76"/>
        <v/>
      </c>
      <c r="H244" s="22" t="str">
        <f t="shared" si="77"/>
        <v/>
      </c>
      <c r="I244" s="22" t="str">
        <f t="shared" si="78"/>
        <v/>
      </c>
      <c r="J244" s="22" t="str">
        <f t="shared" si="79"/>
        <v/>
      </c>
      <c r="K244" s="22" t="str">
        <f t="shared" si="80"/>
        <v/>
      </c>
      <c r="L244" s="22" t="str">
        <f t="shared" si="81"/>
        <v/>
      </c>
      <c r="M244" s="22" t="str">
        <f t="shared" si="82"/>
        <v/>
      </c>
      <c r="N244" s="103"/>
      <c r="O244" s="102"/>
    </row>
    <row r="245" spans="2:15" hidden="1" outlineLevel="1" x14ac:dyDescent="0.2">
      <c r="B245" s="2">
        <f t="shared" si="73"/>
        <v>10</v>
      </c>
      <c r="D245" s="22">
        <f>IF(B245&lt;$D$24,(+CALCULETTE!G642/CALCULETTE!$B$612),0)</f>
        <v>0.84637631938472324</v>
      </c>
      <c r="E245" s="22" t="str">
        <f t="shared" si="74"/>
        <v/>
      </c>
      <c r="F245" s="22" t="str">
        <f t="shared" si="75"/>
        <v/>
      </c>
      <c r="G245" s="22" t="str">
        <f t="shared" si="76"/>
        <v/>
      </c>
      <c r="H245" s="22" t="str">
        <f t="shared" si="77"/>
        <v/>
      </c>
      <c r="I245" s="22" t="str">
        <f t="shared" si="78"/>
        <v/>
      </c>
      <c r="J245" s="22" t="str">
        <f t="shared" si="79"/>
        <v/>
      </c>
      <c r="K245" s="22" t="str">
        <f t="shared" si="80"/>
        <v/>
      </c>
      <c r="L245" s="22" t="str">
        <f t="shared" si="81"/>
        <v/>
      </c>
      <c r="M245" s="22" t="str">
        <f t="shared" si="82"/>
        <v/>
      </c>
      <c r="N245" s="103"/>
      <c r="O245" s="102"/>
    </row>
    <row r="246" spans="2:15" hidden="1" outlineLevel="1" x14ac:dyDescent="0.2">
      <c r="B246" s="2">
        <f t="shared" si="73"/>
        <v>11</v>
      </c>
      <c r="D246" s="22">
        <f>IF(B246&lt;$D$24,(+CALCULETTE!G643/CALCULETTE!$B$612),0)</f>
        <v>0.83192330245310475</v>
      </c>
      <c r="E246" s="22" t="str">
        <f t="shared" si="74"/>
        <v/>
      </c>
      <c r="F246" s="22" t="str">
        <f t="shared" si="75"/>
        <v/>
      </c>
      <c r="G246" s="22" t="str">
        <f t="shared" si="76"/>
        <v/>
      </c>
      <c r="H246" s="22" t="str">
        <f t="shared" si="77"/>
        <v/>
      </c>
      <c r="I246" s="22" t="str">
        <f t="shared" si="78"/>
        <v/>
      </c>
      <c r="J246" s="22" t="str">
        <f t="shared" si="79"/>
        <v/>
      </c>
      <c r="K246" s="22" t="str">
        <f t="shared" si="80"/>
        <v/>
      </c>
      <c r="L246" s="22" t="str">
        <f t="shared" si="81"/>
        <v/>
      </c>
      <c r="M246" s="22" t="str">
        <f t="shared" si="82"/>
        <v/>
      </c>
      <c r="N246" s="103"/>
      <c r="O246" s="102"/>
    </row>
    <row r="247" spans="2:15" hidden="1" outlineLevel="1" x14ac:dyDescent="0.2">
      <c r="B247" s="2">
        <f t="shared" si="73"/>
        <v>12</v>
      </c>
      <c r="D247" s="22">
        <f>IF(B247&lt;$D$24,(+CALCULETTE!G644/CALCULETTE!$B$612),0)</f>
        <v>0.81754322988576356</v>
      </c>
      <c r="E247" s="22" t="str">
        <f t="shared" si="74"/>
        <v/>
      </c>
      <c r="F247" s="22" t="str">
        <f t="shared" si="75"/>
        <v/>
      </c>
      <c r="G247" s="22" t="str">
        <f t="shared" si="76"/>
        <v/>
      </c>
      <c r="H247" s="22" t="str">
        <f t="shared" si="77"/>
        <v/>
      </c>
      <c r="I247" s="22" t="str">
        <f t="shared" si="78"/>
        <v/>
      </c>
      <c r="J247" s="22" t="str">
        <f t="shared" si="79"/>
        <v/>
      </c>
      <c r="K247" s="22" t="str">
        <f t="shared" si="80"/>
        <v/>
      </c>
      <c r="L247" s="22" t="str">
        <f t="shared" si="81"/>
        <v/>
      </c>
      <c r="M247" s="22" t="str">
        <f t="shared" si="82"/>
        <v/>
      </c>
      <c r="N247" s="103"/>
      <c r="O247" s="102"/>
    </row>
    <row r="248" spans="2:15" hidden="1" outlineLevel="1" x14ac:dyDescent="0.2">
      <c r="B248" s="2">
        <f t="shared" si="73"/>
        <v>13</v>
      </c>
      <c r="D248" s="22">
        <f>IF(B248&lt;$D$24,(+CALCULETTE!G645/CALCULETTE!$B$612),0)</f>
        <v>0.80323573691573436</v>
      </c>
      <c r="E248" s="22" t="str">
        <f t="shared" si="74"/>
        <v/>
      </c>
      <c r="F248" s="22" t="str">
        <f t="shared" si="75"/>
        <v/>
      </c>
      <c r="G248" s="22" t="str">
        <f t="shared" si="76"/>
        <v/>
      </c>
      <c r="H248" s="22" t="str">
        <f t="shared" si="77"/>
        <v/>
      </c>
      <c r="I248" s="22" t="str">
        <f t="shared" si="78"/>
        <v/>
      </c>
      <c r="J248" s="22" t="str">
        <f t="shared" si="79"/>
        <v/>
      </c>
      <c r="K248" s="22" t="str">
        <f t="shared" si="80"/>
        <v/>
      </c>
      <c r="L248" s="22" t="str">
        <f t="shared" si="81"/>
        <v/>
      </c>
      <c r="M248" s="22" t="str">
        <f t="shared" si="82"/>
        <v/>
      </c>
      <c r="N248" s="103"/>
      <c r="O248" s="102"/>
    </row>
    <row r="249" spans="2:15" hidden="1" outlineLevel="1" x14ac:dyDescent="0.2">
      <c r="B249" s="2">
        <f t="shared" si="73"/>
        <v>14</v>
      </c>
      <c r="D249" s="22">
        <f>IF(B249&lt;$D$24,(+CALCULETTE!G646/CALCULETTE!$B$612),0)</f>
        <v>0.78900046059988971</v>
      </c>
      <c r="E249" s="22" t="str">
        <f t="shared" si="74"/>
        <v/>
      </c>
      <c r="F249" s="22" t="str">
        <f t="shared" si="75"/>
        <v/>
      </c>
      <c r="G249" s="22" t="str">
        <f t="shared" si="76"/>
        <v/>
      </c>
      <c r="H249" s="22" t="str">
        <f t="shared" si="77"/>
        <v/>
      </c>
      <c r="I249" s="22" t="str">
        <f t="shared" si="78"/>
        <v/>
      </c>
      <c r="J249" s="22" t="str">
        <f t="shared" si="79"/>
        <v/>
      </c>
      <c r="K249" s="22" t="str">
        <f t="shared" si="80"/>
        <v/>
      </c>
      <c r="L249" s="22" t="str">
        <f t="shared" si="81"/>
        <v/>
      </c>
      <c r="M249" s="22" t="str">
        <f t="shared" si="82"/>
        <v/>
      </c>
      <c r="N249" s="103"/>
      <c r="O249" s="102"/>
    </row>
    <row r="250" spans="2:15" hidden="1" outlineLevel="1" x14ac:dyDescent="0.2">
      <c r="B250" s="2">
        <f t="shared" si="73"/>
        <v>15</v>
      </c>
      <c r="D250" s="22">
        <f>IF(B250&lt;$D$24,(+CALCULETTE!G647/CALCULETTE!$B$612),0)</f>
        <v>0.77483703980982122</v>
      </c>
      <c r="E250" s="22" t="str">
        <f t="shared" si="74"/>
        <v/>
      </c>
      <c r="F250" s="22" t="str">
        <f t="shared" si="75"/>
        <v/>
      </c>
      <c r="G250" s="22" t="str">
        <f t="shared" si="76"/>
        <v/>
      </c>
      <c r="H250" s="22" t="str">
        <f t="shared" si="77"/>
        <v/>
      </c>
      <c r="I250" s="22" t="str">
        <f t="shared" si="78"/>
        <v/>
      </c>
      <c r="J250" s="22" t="str">
        <f t="shared" si="79"/>
        <v/>
      </c>
      <c r="K250" s="22" t="str">
        <f t="shared" si="80"/>
        <v/>
      </c>
      <c r="L250" s="22" t="str">
        <f t="shared" si="81"/>
        <v/>
      </c>
      <c r="M250" s="22" t="str">
        <f t="shared" si="82"/>
        <v/>
      </c>
      <c r="N250" s="103"/>
      <c r="O250" s="102"/>
    </row>
    <row r="251" spans="2:15" hidden="1" outlineLevel="1" x14ac:dyDescent="0.2">
      <c r="B251" s="2">
        <f t="shared" si="73"/>
        <v>16</v>
      </c>
      <c r="D251" s="22">
        <f>IF(B251&lt;$D$24,(+CALCULETTE!G648/CALCULETTE!$B$612),0)</f>
        <v>0.76074511522276478</v>
      </c>
      <c r="E251" s="22" t="str">
        <f t="shared" si="74"/>
        <v/>
      </c>
      <c r="F251" s="22" t="str">
        <f t="shared" si="75"/>
        <v/>
      </c>
      <c r="G251" s="22" t="str">
        <f t="shared" si="76"/>
        <v/>
      </c>
      <c r="H251" s="22" t="str">
        <f t="shared" si="77"/>
        <v/>
      </c>
      <c r="I251" s="22" t="str">
        <f t="shared" si="78"/>
        <v/>
      </c>
      <c r="J251" s="22" t="str">
        <f t="shared" si="79"/>
        <v/>
      </c>
      <c r="K251" s="22" t="str">
        <f t="shared" si="80"/>
        <v/>
      </c>
      <c r="L251" s="22" t="str">
        <f t="shared" si="81"/>
        <v/>
      </c>
      <c r="M251" s="22" t="str">
        <f t="shared" si="82"/>
        <v/>
      </c>
      <c r="N251" s="103"/>
      <c r="O251" s="102"/>
    </row>
    <row r="252" spans="2:15" hidden="1" outlineLevel="1" x14ac:dyDescent="0.2">
      <c r="B252" s="2">
        <f t="shared" si="73"/>
        <v>17</v>
      </c>
      <c r="D252" s="22">
        <f>IF(B252&lt;$D$24,(+CALCULETTE!G649/CALCULETTE!$B$612),0)</f>
        <v>0.74672432931257393</v>
      </c>
      <c r="E252" s="22" t="str">
        <f t="shared" si="74"/>
        <v/>
      </c>
      <c r="F252" s="22" t="str">
        <f t="shared" si="75"/>
        <v/>
      </c>
      <c r="G252" s="22" t="str">
        <f t="shared" si="76"/>
        <v/>
      </c>
      <c r="H252" s="22" t="str">
        <f t="shared" si="77"/>
        <v/>
      </c>
      <c r="I252" s="22" t="str">
        <f t="shared" si="78"/>
        <v/>
      </c>
      <c r="J252" s="22" t="str">
        <f t="shared" si="79"/>
        <v/>
      </c>
      <c r="K252" s="22" t="str">
        <f t="shared" si="80"/>
        <v/>
      </c>
      <c r="L252" s="22" t="str">
        <f t="shared" si="81"/>
        <v/>
      </c>
      <c r="M252" s="22" t="str">
        <f t="shared" si="82"/>
        <v/>
      </c>
      <c r="N252" s="103"/>
      <c r="O252" s="102"/>
    </row>
    <row r="253" spans="2:15" hidden="1" outlineLevel="1" x14ac:dyDescent="0.2">
      <c r="B253" s="2">
        <f t="shared" si="73"/>
        <v>18</v>
      </c>
      <c r="D253" s="22">
        <f>IF(B253&lt;$D$24,(+CALCULETTE!G650/CALCULETTE!$B$612),0)</f>
        <v>0.73277432634073547</v>
      </c>
      <c r="E253" s="22" t="str">
        <f t="shared" si="74"/>
        <v/>
      </c>
      <c r="F253" s="22" t="str">
        <f t="shared" si="75"/>
        <v/>
      </c>
      <c r="G253" s="22" t="str">
        <f t="shared" si="76"/>
        <v/>
      </c>
      <c r="H253" s="22" t="str">
        <f t="shared" si="77"/>
        <v/>
      </c>
      <c r="I253" s="22" t="str">
        <f t="shared" si="78"/>
        <v/>
      </c>
      <c r="J253" s="22" t="str">
        <f t="shared" si="79"/>
        <v/>
      </c>
      <c r="K253" s="22" t="str">
        <f t="shared" si="80"/>
        <v/>
      </c>
      <c r="L253" s="22" t="str">
        <f t="shared" si="81"/>
        <v/>
      </c>
      <c r="M253" s="22" t="str">
        <f t="shared" si="82"/>
        <v/>
      </c>
      <c r="N253" s="103"/>
      <c r="O253" s="102"/>
    </row>
    <row r="254" spans="2:15" hidden="1" outlineLevel="1" x14ac:dyDescent="0.2">
      <c r="B254" s="2">
        <f t="shared" si="73"/>
        <v>19</v>
      </c>
      <c r="D254" s="22">
        <f>IF(B254&lt;$D$24,(+CALCULETTE!G651/CALCULETTE!$B$612),0)</f>
        <v>0.71889475234743172</v>
      </c>
      <c r="E254" s="22" t="str">
        <f t="shared" si="74"/>
        <v/>
      </c>
      <c r="F254" s="22" t="str">
        <f t="shared" si="75"/>
        <v/>
      </c>
      <c r="G254" s="22" t="str">
        <f t="shared" si="76"/>
        <v/>
      </c>
      <c r="H254" s="22" t="str">
        <f t="shared" si="77"/>
        <v/>
      </c>
      <c r="I254" s="22" t="str">
        <f t="shared" si="78"/>
        <v/>
      </c>
      <c r="J254" s="22" t="str">
        <f t="shared" si="79"/>
        <v/>
      </c>
      <c r="K254" s="22" t="str">
        <f t="shared" si="80"/>
        <v/>
      </c>
      <c r="L254" s="22" t="str">
        <f t="shared" si="81"/>
        <v/>
      </c>
      <c r="M254" s="22" t="str">
        <f t="shared" si="82"/>
        <v/>
      </c>
      <c r="N254" s="103"/>
      <c r="O254" s="102"/>
    </row>
    <row r="255" spans="2:15" hidden="1" outlineLevel="1" x14ac:dyDescent="0.2">
      <c r="B255" s="2">
        <f t="shared" si="73"/>
        <v>20</v>
      </c>
      <c r="D255" s="22">
        <f>IF(B255&lt;$D$24,(+CALCULETTE!G652/CALCULETTE!$B$612),0)</f>
        <v>0.70508525514264719</v>
      </c>
      <c r="E255" s="22" t="str">
        <f t="shared" si="74"/>
        <v/>
      </c>
      <c r="F255" s="22" t="str">
        <f t="shared" si="75"/>
        <v/>
      </c>
      <c r="G255" s="22" t="str">
        <f t="shared" si="76"/>
        <v/>
      </c>
      <c r="H255" s="22" t="str">
        <f t="shared" si="77"/>
        <v/>
      </c>
      <c r="I255" s="22" t="str">
        <f t="shared" si="78"/>
        <v/>
      </c>
      <c r="J255" s="22" t="str">
        <f t="shared" si="79"/>
        <v/>
      </c>
      <c r="K255" s="22" t="str">
        <f t="shared" si="80"/>
        <v/>
      </c>
      <c r="L255" s="22" t="str">
        <f t="shared" si="81"/>
        <v/>
      </c>
      <c r="M255" s="22" t="str">
        <f t="shared" si="82"/>
        <v/>
      </c>
      <c r="N255" s="103"/>
      <c r="O255" s="102"/>
    </row>
    <row r="256" spans="2:15" hidden="1" outlineLevel="1" x14ac:dyDescent="0.2">
      <c r="B256" s="2">
        <f t="shared" si="73"/>
        <v>21</v>
      </c>
      <c r="D256" s="22">
        <f>IF(B256&lt;$D$24,(+CALCULETTE!G653/CALCULETTE!$B$612),0)</f>
        <v>0.69134548429731968</v>
      </c>
      <c r="E256" s="22" t="str">
        <f t="shared" si="74"/>
        <v/>
      </c>
      <c r="F256" s="22" t="str">
        <f t="shared" si="75"/>
        <v/>
      </c>
      <c r="G256" s="22" t="str">
        <f t="shared" si="76"/>
        <v/>
      </c>
      <c r="H256" s="22" t="str">
        <f t="shared" si="77"/>
        <v/>
      </c>
      <c r="I256" s="22" t="str">
        <f t="shared" si="78"/>
        <v/>
      </c>
      <c r="J256" s="22" t="str">
        <f t="shared" si="79"/>
        <v/>
      </c>
      <c r="K256" s="22" t="str">
        <f t="shared" si="80"/>
        <v/>
      </c>
      <c r="L256" s="22" t="str">
        <f t="shared" si="81"/>
        <v/>
      </c>
      <c r="M256" s="22" t="str">
        <f t="shared" si="82"/>
        <v/>
      </c>
      <c r="N256" s="103"/>
      <c r="O256" s="102"/>
    </row>
    <row r="257" spans="2:15" hidden="1" outlineLevel="1" x14ac:dyDescent="0.2">
      <c r="B257" s="2">
        <f t="shared" si="73"/>
        <v>22</v>
      </c>
      <c r="D257" s="22">
        <f>IF(B257&lt;$D$24,(+CALCULETTE!G654/CALCULETTE!$B$612),0)</f>
        <v>0.67767509113453495</v>
      </c>
      <c r="E257" s="22" t="str">
        <f t="shared" si="74"/>
        <v/>
      </c>
      <c r="F257" s="22" t="str">
        <f t="shared" si="75"/>
        <v/>
      </c>
      <c r="G257" s="22" t="str">
        <f t="shared" si="76"/>
        <v/>
      </c>
      <c r="H257" s="22" t="str">
        <f t="shared" si="77"/>
        <v/>
      </c>
      <c r="I257" s="22" t="str">
        <f t="shared" si="78"/>
        <v/>
      </c>
      <c r="J257" s="22" t="str">
        <f t="shared" si="79"/>
        <v/>
      </c>
      <c r="K257" s="22" t="str">
        <f t="shared" si="80"/>
        <v/>
      </c>
      <c r="L257" s="22" t="str">
        <f t="shared" si="81"/>
        <v/>
      </c>
      <c r="M257" s="22" t="str">
        <f t="shared" si="82"/>
        <v/>
      </c>
      <c r="N257" s="103"/>
      <c r="O257" s="102"/>
    </row>
    <row r="258" spans="2:15" hidden="1" outlineLevel="1" x14ac:dyDescent="0.2">
      <c r="B258" s="2">
        <f t="shared" si="73"/>
        <v>23</v>
      </c>
      <c r="D258" s="22">
        <f>IF(B258&lt;$D$24,(+CALCULETTE!G655/CALCULETTE!$B$612),0)</f>
        <v>0.66407372872076664</v>
      </c>
      <c r="E258" s="22" t="str">
        <f t="shared" si="74"/>
        <v/>
      </c>
      <c r="F258" s="22" t="str">
        <f t="shared" si="75"/>
        <v/>
      </c>
      <c r="G258" s="22" t="str">
        <f t="shared" si="76"/>
        <v/>
      </c>
      <c r="H258" s="22" t="str">
        <f t="shared" si="77"/>
        <v/>
      </c>
      <c r="I258" s="22" t="str">
        <f t="shared" si="78"/>
        <v/>
      </c>
      <c r="J258" s="22" t="str">
        <f t="shared" si="79"/>
        <v/>
      </c>
      <c r="K258" s="22" t="str">
        <f t="shared" si="80"/>
        <v/>
      </c>
      <c r="L258" s="22" t="str">
        <f t="shared" si="81"/>
        <v/>
      </c>
      <c r="M258" s="22" t="str">
        <f t="shared" si="82"/>
        <v/>
      </c>
      <c r="N258" s="103"/>
      <c r="O258" s="102"/>
    </row>
    <row r="259" spans="2:15" hidden="1" outlineLevel="1" x14ac:dyDescent="0.2">
      <c r="B259" s="2">
        <f t="shared" si="73"/>
        <v>24</v>
      </c>
      <c r="D259" s="22">
        <f>IF(B259&lt;$D$24,(+CALCULETTE!G656/CALCULETTE!$B$612),0)</f>
        <v>0.65054105185715871</v>
      </c>
      <c r="E259" s="22" t="str">
        <f t="shared" si="74"/>
        <v/>
      </c>
      <c r="F259" s="22" t="str">
        <f t="shared" si="75"/>
        <v/>
      </c>
      <c r="G259" s="22" t="str">
        <f t="shared" si="76"/>
        <v/>
      </c>
      <c r="H259" s="22" t="str">
        <f t="shared" si="77"/>
        <v/>
      </c>
      <c r="I259" s="22" t="str">
        <f t="shared" si="78"/>
        <v/>
      </c>
      <c r="J259" s="22" t="str">
        <f t="shared" si="79"/>
        <v/>
      </c>
      <c r="K259" s="22" t="str">
        <f t="shared" si="80"/>
        <v/>
      </c>
      <c r="L259" s="22" t="str">
        <f t="shared" si="81"/>
        <v/>
      </c>
      <c r="M259" s="22" t="str">
        <f t="shared" si="82"/>
        <v/>
      </c>
      <c r="N259" s="103"/>
      <c r="O259" s="102"/>
    </row>
    <row r="260" spans="2:15" hidden="1" outlineLevel="1" x14ac:dyDescent="0.2">
      <c r="B260" s="2">
        <f t="shared" si="73"/>
        <v>25</v>
      </c>
      <c r="D260" s="22">
        <f>IF(B260&lt;$D$24,(+CALCULETTE!G657/CALCULETTE!$B$612),0)</f>
        <v>0.63707671707085256</v>
      </c>
      <c r="E260" s="22" t="str">
        <f t="shared" si="74"/>
        <v/>
      </c>
      <c r="F260" s="22" t="str">
        <f t="shared" si="75"/>
        <v/>
      </c>
      <c r="G260" s="22" t="str">
        <f t="shared" si="76"/>
        <v/>
      </c>
      <c r="H260" s="22" t="str">
        <f t="shared" si="77"/>
        <v/>
      </c>
      <c r="I260" s="22" t="str">
        <f t="shared" si="78"/>
        <v/>
      </c>
      <c r="J260" s="22" t="str">
        <f t="shared" si="79"/>
        <v/>
      </c>
      <c r="K260" s="22" t="str">
        <f t="shared" si="80"/>
        <v/>
      </c>
      <c r="L260" s="22" t="str">
        <f t="shared" si="81"/>
        <v/>
      </c>
      <c r="M260" s="22" t="str">
        <f t="shared" si="82"/>
        <v/>
      </c>
      <c r="N260" s="103"/>
      <c r="O260" s="102"/>
    </row>
    <row r="261" spans="2:15" hidden="1" outlineLevel="1" x14ac:dyDescent="0.2">
      <c r="B261" s="2">
        <f t="shared" si="73"/>
        <v>26</v>
      </c>
      <c r="D261" s="22">
        <f>IF(B261&lt;$D$24,(+CALCULETTE!G658/CALCULETTE!$B$612),0)</f>
        <v>0.62368038260635694</v>
      </c>
      <c r="E261" s="22" t="str">
        <f t="shared" si="74"/>
        <v/>
      </c>
      <c r="F261" s="22" t="str">
        <f t="shared" si="75"/>
        <v/>
      </c>
      <c r="G261" s="22" t="str">
        <f t="shared" si="76"/>
        <v/>
      </c>
      <c r="H261" s="22" t="str">
        <f t="shared" si="77"/>
        <v/>
      </c>
      <c r="I261" s="22" t="str">
        <f t="shared" si="78"/>
        <v/>
      </c>
      <c r="J261" s="22" t="str">
        <f t="shared" si="79"/>
        <v/>
      </c>
      <c r="K261" s="22" t="str">
        <f t="shared" si="80"/>
        <v/>
      </c>
      <c r="L261" s="22" t="str">
        <f t="shared" si="81"/>
        <v/>
      </c>
      <c r="M261" s="22" t="str">
        <f t="shared" si="82"/>
        <v/>
      </c>
      <c r="N261" s="103"/>
      <c r="O261" s="102"/>
    </row>
    <row r="262" spans="2:15" hidden="1" outlineLevel="1" x14ac:dyDescent="0.2">
      <c r="B262" s="2">
        <f t="shared" si="73"/>
        <v>27</v>
      </c>
      <c r="D262" s="22">
        <f>IF(B262&lt;$D$24,(+CALCULETTE!G659/CALCULETTE!$B$612),0)</f>
        <v>0.61035170841696096</v>
      </c>
      <c r="E262" s="22" t="str">
        <f t="shared" si="74"/>
        <v/>
      </c>
      <c r="F262" s="22" t="str">
        <f t="shared" si="75"/>
        <v/>
      </c>
      <c r="G262" s="22" t="str">
        <f t="shared" si="76"/>
        <v/>
      </c>
      <c r="H262" s="22" t="str">
        <f t="shared" si="77"/>
        <v/>
      </c>
      <c r="I262" s="22" t="str">
        <f t="shared" si="78"/>
        <v/>
      </c>
      <c r="J262" s="22" t="str">
        <f t="shared" si="79"/>
        <v/>
      </c>
      <c r="K262" s="22" t="str">
        <f t="shared" si="80"/>
        <v/>
      </c>
      <c r="L262" s="22" t="str">
        <f t="shared" si="81"/>
        <v/>
      </c>
      <c r="M262" s="22" t="str">
        <f t="shared" si="82"/>
        <v/>
      </c>
      <c r="N262" s="103"/>
      <c r="O262" s="102"/>
    </row>
    <row r="263" spans="2:15" hidden="1" outlineLevel="1" x14ac:dyDescent="0.2">
      <c r="B263" s="2">
        <f t="shared" si="73"/>
        <v>28</v>
      </c>
      <c r="D263" s="22">
        <f>IF(B263&lt;$D$24,(+CALCULETTE!G660/CALCULETTE!$B$612),0)</f>
        <v>0.59709035615619033</v>
      </c>
      <c r="E263" s="22" t="str">
        <f t="shared" si="74"/>
        <v/>
      </c>
      <c r="F263" s="22" t="str">
        <f t="shared" si="75"/>
        <v/>
      </c>
      <c r="G263" s="22" t="str">
        <f t="shared" si="76"/>
        <v/>
      </c>
      <c r="H263" s="22" t="str">
        <f t="shared" si="77"/>
        <v/>
      </c>
      <c r="I263" s="22" t="str">
        <f t="shared" si="78"/>
        <v/>
      </c>
      <c r="J263" s="22" t="str">
        <f t="shared" si="79"/>
        <v/>
      </c>
      <c r="K263" s="22" t="str">
        <f t="shared" si="80"/>
        <v/>
      </c>
      <c r="L263" s="22" t="str">
        <f t="shared" si="81"/>
        <v/>
      </c>
      <c r="M263" s="22" t="str">
        <f t="shared" si="82"/>
        <v/>
      </c>
      <c r="N263" s="103"/>
      <c r="O263" s="102"/>
    </row>
    <row r="264" spans="2:15" hidden="1" outlineLevel="1" x14ac:dyDescent="0.2">
      <c r="B264" s="2">
        <f t="shared" si="73"/>
        <v>29</v>
      </c>
      <c r="D264" s="22">
        <f>IF(B264&lt;$D$24,(+CALCULETTE!G661/CALCULETTE!$B$612),0)</f>
        <v>0.58389598916930607</v>
      </c>
      <c r="E264" s="22" t="str">
        <f t="shared" si="74"/>
        <v/>
      </c>
      <c r="F264" s="22" t="str">
        <f t="shared" si="75"/>
        <v/>
      </c>
      <c r="G264" s="22" t="str">
        <f t="shared" si="76"/>
        <v/>
      </c>
      <c r="H264" s="22" t="str">
        <f t="shared" si="77"/>
        <v/>
      </c>
      <c r="I264" s="22" t="str">
        <f t="shared" si="78"/>
        <v/>
      </c>
      <c r="J264" s="22" t="str">
        <f t="shared" si="79"/>
        <v/>
      </c>
      <c r="K264" s="22" t="str">
        <f t="shared" si="80"/>
        <v/>
      </c>
      <c r="L264" s="22" t="str">
        <f t="shared" si="81"/>
        <v/>
      </c>
      <c r="M264" s="22" t="str">
        <f t="shared" si="82"/>
        <v/>
      </c>
      <c r="N264" s="103"/>
      <c r="O264" s="102"/>
    </row>
    <row r="265" spans="2:15" hidden="1" outlineLevel="1" x14ac:dyDescent="0.2">
      <c r="B265" s="2">
        <f t="shared" si="73"/>
        <v>30</v>
      </c>
      <c r="D265" s="22">
        <f>IF(B265&lt;$D$24,(+CALCULETTE!G662/CALCULETTE!$B$612),0)</f>
        <v>0.57076827248484607</v>
      </c>
      <c r="E265" s="22" t="str">
        <f t="shared" si="74"/>
        <v/>
      </c>
      <c r="F265" s="22" t="str">
        <f t="shared" si="75"/>
        <v/>
      </c>
      <c r="G265" s="22" t="str">
        <f t="shared" si="76"/>
        <v/>
      </c>
      <c r="H265" s="22" t="str">
        <f t="shared" si="77"/>
        <v/>
      </c>
      <c r="I265" s="22" t="str">
        <f t="shared" si="78"/>
        <v/>
      </c>
      <c r="J265" s="22" t="str">
        <f t="shared" si="79"/>
        <v/>
      </c>
      <c r="K265" s="22" t="str">
        <f t="shared" si="80"/>
        <v/>
      </c>
      <c r="L265" s="22" t="str">
        <f t="shared" si="81"/>
        <v/>
      </c>
      <c r="M265" s="22" t="str">
        <f t="shared" si="82"/>
        <v/>
      </c>
      <c r="N265" s="103"/>
      <c r="O265" s="102"/>
    </row>
    <row r="266" spans="2:15" hidden="1" outlineLevel="1" x14ac:dyDescent="0.2">
      <c r="B266" s="2">
        <f t="shared" si="73"/>
        <v>31</v>
      </c>
      <c r="D266" s="22">
        <f>IF(B266&lt;$D$24,(+CALCULETTE!G663/CALCULETTE!$B$612),0)</f>
        <v>0.55770687280620812</v>
      </c>
      <c r="E266" s="22" t="str">
        <f t="shared" si="74"/>
        <v/>
      </c>
      <c r="F266" s="22" t="str">
        <f t="shared" si="75"/>
        <v/>
      </c>
      <c r="G266" s="22" t="str">
        <f t="shared" si="76"/>
        <v/>
      </c>
      <c r="H266" s="22" t="str">
        <f t="shared" si="77"/>
        <v/>
      </c>
      <c r="I266" s="22" t="str">
        <f t="shared" si="78"/>
        <v/>
      </c>
      <c r="J266" s="22" t="str">
        <f t="shared" si="79"/>
        <v/>
      </c>
      <c r="K266" s="22" t="str">
        <f t="shared" si="80"/>
        <v/>
      </c>
      <c r="L266" s="22" t="str">
        <f t="shared" si="81"/>
        <v/>
      </c>
      <c r="M266" s="22" t="str">
        <f t="shared" si="82"/>
        <v/>
      </c>
      <c r="N266" s="103"/>
      <c r="O266" s="102"/>
    </row>
    <row r="267" spans="2:15" hidden="1" outlineLevel="1" x14ac:dyDescent="0.2">
      <c r="B267" s="2">
        <f t="shared" si="73"/>
        <v>32</v>
      </c>
      <c r="D267" s="22">
        <f>IF(B267&lt;$D$24,(+CALCULETTE!G664/CALCULETTE!$B$612),0)</f>
        <v>0.54471145850327662</v>
      </c>
      <c r="E267" s="22" t="str">
        <f t="shared" si="74"/>
        <v/>
      </c>
      <c r="F267" s="22" t="str">
        <f t="shared" si="75"/>
        <v/>
      </c>
      <c r="G267" s="22" t="str">
        <f t="shared" si="76"/>
        <v/>
      </c>
      <c r="H267" s="22" t="str">
        <f t="shared" si="77"/>
        <v/>
      </c>
      <c r="I267" s="22" t="str">
        <f t="shared" si="78"/>
        <v/>
      </c>
      <c r="J267" s="22" t="str">
        <f t="shared" si="79"/>
        <v/>
      </c>
      <c r="K267" s="22" t="str">
        <f t="shared" si="80"/>
        <v/>
      </c>
      <c r="L267" s="22" t="str">
        <f t="shared" si="81"/>
        <v/>
      </c>
      <c r="M267" s="22" t="str">
        <f t="shared" si="82"/>
        <v/>
      </c>
      <c r="N267" s="103"/>
      <c r="O267" s="102"/>
    </row>
    <row r="268" spans="2:15" hidden="1" outlineLevel="1" x14ac:dyDescent="0.2">
      <c r="B268" s="2">
        <f t="shared" ref="B268:B299" si="83">B267+1</f>
        <v>33</v>
      </c>
      <c r="D268" s="22">
        <f>IF(B268&lt;$D$24,(+CALCULETTE!G665/CALCULETTE!$B$612),0)</f>
        <v>0.53178169960408905</v>
      </c>
      <c r="E268" s="22" t="str">
        <f t="shared" ref="E268:E299" si="84">IF(E$1=0,"",IF($B268&lt;E$23,E267+PPMT(E$26/12,$B268,E$23,E$235,-E$27,0),IF($B268=E$23,E267+PPMT(E$26/12,$B268,E$23,E$235,-E$27,0)-E$27,0)))</f>
        <v/>
      </c>
      <c r="F268" s="22" t="str">
        <f t="shared" ref="F268:F299" si="85">IF(F$1=0,"",IF($B268&lt;F$23,F267+PPMT(F$26/12,$B268,F$23,F$235,-F$27,0),IF($B268=F$23,F267+PPMT(F$26/12,$B268,F$23,F$235,-F$27,0)-F$27,0)))</f>
        <v/>
      </c>
      <c r="G268" s="22" t="str">
        <f t="shared" ref="G268:G299" si="86">IF(G$1=0,"",IF($B268&lt;G$23,G267+PPMT(G$26/12,$B268,G$23,G$235,-G$27,0),IF($B268=G$23,G267+PPMT(G$26/12,$B268,G$23,G$235,-G$27,0)-G$27,0)))</f>
        <v/>
      </c>
      <c r="H268" s="22" t="str">
        <f t="shared" ref="H268:H299" si="87">IF(H$1=0,"",IF($B268&lt;H$23,H267+PPMT(H$26/12,$B268,H$23,H$235,-H$27,0),IF($B268=H$23,H267+PPMT(H$26/12,$B268,H$23,H$235,-H$27,0)-H$27,0)))</f>
        <v/>
      </c>
      <c r="I268" s="22" t="str">
        <f t="shared" ref="I268:I299" si="88">IF(I$1=0,"",IF($B268&lt;I$23,I267+PPMT(I$26/12,$B268,I$23,I$235,-I$27,0),IF($B268=I$23,I267+PPMT(I$26/12,$B268,I$23,I$235,-I$27,0)-I$27,0)))</f>
        <v/>
      </c>
      <c r="J268" s="22" t="str">
        <f t="shared" ref="J268:J299" si="89">IF(J$1=0,"",IF($B268&lt;J$23,J267+PPMT(J$26/12,$B268,J$23,J$235,-J$27,0),IF($B268=J$23,J267+PPMT(J$26/12,$B268,J$23,J$235,-J$27,0)-J$27,0)))</f>
        <v/>
      </c>
      <c r="K268" s="22" t="str">
        <f t="shared" ref="K268:K299" si="90">IF(K$1=0,"",IF($B268&lt;K$23,K267+PPMT(K$26/12,$B268,K$23,K$235,-K$27,0),IF($B268=K$23,K267+PPMT(K$26/12,$B268,K$23,K$235,-K$27,0)-K$27,0)))</f>
        <v/>
      </c>
      <c r="L268" s="22" t="str">
        <f t="shared" ref="L268:L299" si="91">IF(L$1=0,"",IF($B268&lt;L$23,L267+PPMT(L$26/12,$B268,L$23,L$235,-L$27,0),IF($B268=L$23,L267+PPMT(L$26/12,$B268,L$23,L$235,-L$27,0)-L$27,0)))</f>
        <v/>
      </c>
      <c r="M268" s="22" t="str">
        <f t="shared" ref="M268:M299" si="92">IF(M$1=0,"",IF($B268&lt;M$23,M267+PPMT(M$26/12,$B268,M$23,M$235,-M$27,0),IF($B268=M$23,M267+PPMT(M$26/12,$B268,M$23,M$235,-M$27,0)-M$27,0)))</f>
        <v/>
      </c>
      <c r="N268" s="103"/>
      <c r="O268" s="102"/>
    </row>
    <row r="269" spans="2:15" hidden="1" outlineLevel="1" x14ac:dyDescent="0.2">
      <c r="B269" s="2">
        <f t="shared" si="83"/>
        <v>34</v>
      </c>
      <c r="D269" s="22">
        <f>IF(B269&lt;$D$24,(+CALCULETTE!G666/CALCULETTE!$B$612),0)</f>
        <v>0.51891726778654579</v>
      </c>
      <c r="E269" s="22" t="str">
        <f t="shared" si="84"/>
        <v/>
      </c>
      <c r="F269" s="22" t="str">
        <f t="shared" si="85"/>
        <v/>
      </c>
      <c r="G269" s="22" t="str">
        <f t="shared" si="86"/>
        <v/>
      </c>
      <c r="H269" s="22" t="str">
        <f t="shared" si="87"/>
        <v/>
      </c>
      <c r="I269" s="22" t="str">
        <f t="shared" si="88"/>
        <v/>
      </c>
      <c r="J269" s="22" t="str">
        <f t="shared" si="89"/>
        <v/>
      </c>
      <c r="K269" s="22" t="str">
        <f t="shared" si="90"/>
        <v/>
      </c>
      <c r="L269" s="22" t="str">
        <f t="shared" si="91"/>
        <v/>
      </c>
      <c r="M269" s="22" t="str">
        <f t="shared" si="92"/>
        <v/>
      </c>
      <c r="N269" s="103"/>
      <c r="O269" s="102"/>
    </row>
    <row r="270" spans="2:15" hidden="1" outlineLevel="1" x14ac:dyDescent="0.2">
      <c r="B270" s="2">
        <f t="shared" si="83"/>
        <v>35</v>
      </c>
      <c r="D270" s="22">
        <f>IF(B270&lt;$D$24,(+CALCULETTE!G667/CALCULETTE!$B$612),0)</f>
        <v>0</v>
      </c>
      <c r="E270" s="22" t="str">
        <f t="shared" si="84"/>
        <v/>
      </c>
      <c r="F270" s="22" t="str">
        <f t="shared" si="85"/>
        <v/>
      </c>
      <c r="G270" s="22" t="str">
        <f t="shared" si="86"/>
        <v/>
      </c>
      <c r="H270" s="22" t="str">
        <f t="shared" si="87"/>
        <v/>
      </c>
      <c r="I270" s="22" t="str">
        <f t="shared" si="88"/>
        <v/>
      </c>
      <c r="J270" s="22" t="str">
        <f t="shared" si="89"/>
        <v/>
      </c>
      <c r="K270" s="22" t="str">
        <f t="shared" si="90"/>
        <v/>
      </c>
      <c r="L270" s="22" t="str">
        <f t="shared" si="91"/>
        <v/>
      </c>
      <c r="M270" s="22" t="str">
        <f t="shared" si="92"/>
        <v/>
      </c>
      <c r="N270" s="103"/>
      <c r="O270" s="102"/>
    </row>
    <row r="271" spans="2:15" hidden="1" outlineLevel="1" x14ac:dyDescent="0.2">
      <c r="B271" s="2">
        <f t="shared" si="83"/>
        <v>36</v>
      </c>
      <c r="D271" s="22">
        <f>IF(B271&lt;$D$24,(+CALCULETTE!G668/CALCULETTE!$B$612),0)</f>
        <v>0</v>
      </c>
      <c r="E271" s="22" t="str">
        <f t="shared" si="84"/>
        <v/>
      </c>
      <c r="F271" s="22" t="str">
        <f t="shared" si="85"/>
        <v/>
      </c>
      <c r="G271" s="22" t="str">
        <f t="shared" si="86"/>
        <v/>
      </c>
      <c r="H271" s="22" t="str">
        <f t="shared" si="87"/>
        <v/>
      </c>
      <c r="I271" s="22" t="str">
        <f t="shared" si="88"/>
        <v/>
      </c>
      <c r="J271" s="22" t="str">
        <f t="shared" si="89"/>
        <v/>
      </c>
      <c r="K271" s="22" t="str">
        <f t="shared" si="90"/>
        <v/>
      </c>
      <c r="L271" s="22" t="str">
        <f t="shared" si="91"/>
        <v/>
      </c>
      <c r="M271" s="22" t="str">
        <f t="shared" si="92"/>
        <v/>
      </c>
      <c r="N271" s="103"/>
      <c r="O271" s="102"/>
    </row>
    <row r="272" spans="2:15" hidden="1" outlineLevel="1" x14ac:dyDescent="0.2">
      <c r="B272" s="2">
        <f t="shared" si="83"/>
        <v>37</v>
      </c>
      <c r="D272" s="22">
        <f>IF(B272&lt;$D$24,(+CALCULETTE!G669/CALCULETTE!$B$612),0)</f>
        <v>0</v>
      </c>
      <c r="E272" s="22" t="str">
        <f t="shared" si="84"/>
        <v/>
      </c>
      <c r="F272" s="22" t="str">
        <f t="shared" si="85"/>
        <v/>
      </c>
      <c r="G272" s="22" t="str">
        <f t="shared" si="86"/>
        <v/>
      </c>
      <c r="H272" s="22" t="str">
        <f t="shared" si="87"/>
        <v/>
      </c>
      <c r="I272" s="22" t="str">
        <f t="shared" si="88"/>
        <v/>
      </c>
      <c r="J272" s="22" t="str">
        <f t="shared" si="89"/>
        <v/>
      </c>
      <c r="K272" s="22" t="str">
        <f t="shared" si="90"/>
        <v/>
      </c>
      <c r="L272" s="22" t="str">
        <f t="shared" si="91"/>
        <v/>
      </c>
      <c r="M272" s="22" t="str">
        <f t="shared" si="92"/>
        <v/>
      </c>
      <c r="N272" s="103"/>
      <c r="O272" s="102"/>
    </row>
    <row r="273" spans="2:15" hidden="1" outlineLevel="1" x14ac:dyDescent="0.2">
      <c r="B273" s="2">
        <f t="shared" si="83"/>
        <v>38</v>
      </c>
      <c r="D273" s="22">
        <f>IF(B273&lt;$D$24,(+CALCULETTE!G670/CALCULETTE!$B$612),0)</f>
        <v>0</v>
      </c>
      <c r="E273" s="22" t="str">
        <f t="shared" si="84"/>
        <v/>
      </c>
      <c r="F273" s="22" t="str">
        <f t="shared" si="85"/>
        <v/>
      </c>
      <c r="G273" s="22" t="str">
        <f t="shared" si="86"/>
        <v/>
      </c>
      <c r="H273" s="22" t="str">
        <f t="shared" si="87"/>
        <v/>
      </c>
      <c r="I273" s="22" t="str">
        <f t="shared" si="88"/>
        <v/>
      </c>
      <c r="J273" s="22" t="str">
        <f t="shared" si="89"/>
        <v/>
      </c>
      <c r="K273" s="22" t="str">
        <f t="shared" si="90"/>
        <v/>
      </c>
      <c r="L273" s="22" t="str">
        <f t="shared" si="91"/>
        <v/>
      </c>
      <c r="M273" s="22" t="str">
        <f t="shared" si="92"/>
        <v/>
      </c>
      <c r="N273" s="103"/>
      <c r="O273" s="102"/>
    </row>
    <row r="274" spans="2:15" hidden="1" outlineLevel="1" x14ac:dyDescent="0.2">
      <c r="B274" s="2">
        <f t="shared" si="83"/>
        <v>39</v>
      </c>
      <c r="D274" s="22">
        <f>IF(B274&lt;$D$24,(+CALCULETTE!G671/CALCULETTE!$B$612),0)</f>
        <v>0</v>
      </c>
      <c r="E274" s="22" t="str">
        <f t="shared" si="84"/>
        <v/>
      </c>
      <c r="F274" s="22" t="str">
        <f t="shared" si="85"/>
        <v/>
      </c>
      <c r="G274" s="22" t="str">
        <f t="shared" si="86"/>
        <v/>
      </c>
      <c r="H274" s="22" t="str">
        <f t="shared" si="87"/>
        <v/>
      </c>
      <c r="I274" s="22" t="str">
        <f t="shared" si="88"/>
        <v/>
      </c>
      <c r="J274" s="22" t="str">
        <f t="shared" si="89"/>
        <v/>
      </c>
      <c r="K274" s="22" t="str">
        <f t="shared" si="90"/>
        <v/>
      </c>
      <c r="L274" s="22" t="str">
        <f t="shared" si="91"/>
        <v/>
      </c>
      <c r="M274" s="22" t="str">
        <f t="shared" si="92"/>
        <v/>
      </c>
      <c r="N274" s="103"/>
      <c r="O274" s="102"/>
    </row>
    <row r="275" spans="2:15" hidden="1" outlineLevel="1" x14ac:dyDescent="0.2">
      <c r="B275" s="2">
        <f t="shared" si="83"/>
        <v>40</v>
      </c>
      <c r="D275" s="22">
        <f>IF(B275&lt;$D$24,(+CALCULETTE!G672/CALCULETTE!$B$612),0)</f>
        <v>0</v>
      </c>
      <c r="E275" s="22" t="str">
        <f t="shared" si="84"/>
        <v/>
      </c>
      <c r="F275" s="22" t="str">
        <f t="shared" si="85"/>
        <v/>
      </c>
      <c r="G275" s="22" t="str">
        <f t="shared" si="86"/>
        <v/>
      </c>
      <c r="H275" s="22" t="str">
        <f t="shared" si="87"/>
        <v/>
      </c>
      <c r="I275" s="22" t="str">
        <f t="shared" si="88"/>
        <v/>
      </c>
      <c r="J275" s="22" t="str">
        <f t="shared" si="89"/>
        <v/>
      </c>
      <c r="K275" s="22" t="str">
        <f t="shared" si="90"/>
        <v/>
      </c>
      <c r="L275" s="22" t="str">
        <f t="shared" si="91"/>
        <v/>
      </c>
      <c r="M275" s="22" t="str">
        <f t="shared" si="92"/>
        <v/>
      </c>
      <c r="N275" s="103"/>
      <c r="O275" s="102"/>
    </row>
    <row r="276" spans="2:15" hidden="1" outlineLevel="1" x14ac:dyDescent="0.2">
      <c r="B276" s="2">
        <f t="shared" si="83"/>
        <v>41</v>
      </c>
      <c r="D276" s="22">
        <f>IF(B276&lt;$D$24,(+CALCULETTE!G673/CALCULETTE!$B$612),0)</f>
        <v>0</v>
      </c>
      <c r="E276" s="22" t="str">
        <f t="shared" si="84"/>
        <v/>
      </c>
      <c r="F276" s="22" t="str">
        <f t="shared" si="85"/>
        <v/>
      </c>
      <c r="G276" s="22" t="str">
        <f t="shared" si="86"/>
        <v/>
      </c>
      <c r="H276" s="22" t="str">
        <f t="shared" si="87"/>
        <v/>
      </c>
      <c r="I276" s="22" t="str">
        <f t="shared" si="88"/>
        <v/>
      </c>
      <c r="J276" s="22" t="str">
        <f t="shared" si="89"/>
        <v/>
      </c>
      <c r="K276" s="22" t="str">
        <f t="shared" si="90"/>
        <v/>
      </c>
      <c r="L276" s="22" t="str">
        <f t="shared" si="91"/>
        <v/>
      </c>
      <c r="M276" s="22" t="str">
        <f t="shared" si="92"/>
        <v/>
      </c>
      <c r="N276" s="103"/>
      <c r="O276" s="102"/>
    </row>
    <row r="277" spans="2:15" hidden="1" outlineLevel="1" x14ac:dyDescent="0.2">
      <c r="B277" s="2">
        <f t="shared" si="83"/>
        <v>42</v>
      </c>
      <c r="D277" s="22">
        <f>IF(B277&lt;$D$24,(+CALCULETTE!G674/CALCULETTE!$B$612),0)</f>
        <v>0</v>
      </c>
      <c r="E277" s="22" t="str">
        <f t="shared" si="84"/>
        <v/>
      </c>
      <c r="F277" s="22" t="str">
        <f t="shared" si="85"/>
        <v/>
      </c>
      <c r="G277" s="22" t="str">
        <f t="shared" si="86"/>
        <v/>
      </c>
      <c r="H277" s="22" t="str">
        <f t="shared" si="87"/>
        <v/>
      </c>
      <c r="I277" s="22" t="str">
        <f t="shared" si="88"/>
        <v/>
      </c>
      <c r="J277" s="22" t="str">
        <f t="shared" si="89"/>
        <v/>
      </c>
      <c r="K277" s="22" t="str">
        <f t="shared" si="90"/>
        <v/>
      </c>
      <c r="L277" s="22" t="str">
        <f t="shared" si="91"/>
        <v/>
      </c>
      <c r="M277" s="22" t="str">
        <f t="shared" si="92"/>
        <v/>
      </c>
      <c r="N277" s="103"/>
      <c r="O277" s="102"/>
    </row>
    <row r="278" spans="2:15" hidden="1" outlineLevel="1" x14ac:dyDescent="0.2">
      <c r="B278" s="2">
        <f t="shared" si="83"/>
        <v>43</v>
      </c>
      <c r="D278" s="22">
        <f>IF(B278&lt;$D$24,(+CALCULETTE!G675/CALCULETTE!$B$612),0)</f>
        <v>0</v>
      </c>
      <c r="E278" s="22" t="str">
        <f t="shared" si="84"/>
        <v/>
      </c>
      <c r="F278" s="22" t="str">
        <f t="shared" si="85"/>
        <v/>
      </c>
      <c r="G278" s="22" t="str">
        <f t="shared" si="86"/>
        <v/>
      </c>
      <c r="H278" s="22" t="str">
        <f t="shared" si="87"/>
        <v/>
      </c>
      <c r="I278" s="22" t="str">
        <f t="shared" si="88"/>
        <v/>
      </c>
      <c r="J278" s="22" t="str">
        <f t="shared" si="89"/>
        <v/>
      </c>
      <c r="K278" s="22" t="str">
        <f t="shared" si="90"/>
        <v/>
      </c>
      <c r="L278" s="22" t="str">
        <f t="shared" si="91"/>
        <v/>
      </c>
      <c r="M278" s="22" t="str">
        <f t="shared" si="92"/>
        <v/>
      </c>
      <c r="N278" s="103"/>
      <c r="O278" s="102"/>
    </row>
    <row r="279" spans="2:15" hidden="1" outlineLevel="1" x14ac:dyDescent="0.2">
      <c r="B279" s="2">
        <f t="shared" si="83"/>
        <v>44</v>
      </c>
      <c r="D279" s="22">
        <f>IF(B279&lt;$D$24,(+CALCULETTE!G676/CALCULETTE!$B$612),0)</f>
        <v>0</v>
      </c>
      <c r="E279" s="22" t="str">
        <f t="shared" si="84"/>
        <v/>
      </c>
      <c r="F279" s="22" t="str">
        <f t="shared" si="85"/>
        <v/>
      </c>
      <c r="G279" s="22" t="str">
        <f t="shared" si="86"/>
        <v/>
      </c>
      <c r="H279" s="22" t="str">
        <f t="shared" si="87"/>
        <v/>
      </c>
      <c r="I279" s="22" t="str">
        <f t="shared" si="88"/>
        <v/>
      </c>
      <c r="J279" s="22" t="str">
        <f t="shared" si="89"/>
        <v/>
      </c>
      <c r="K279" s="22" t="str">
        <f t="shared" si="90"/>
        <v/>
      </c>
      <c r="L279" s="22" t="str">
        <f t="shared" si="91"/>
        <v/>
      </c>
      <c r="M279" s="22" t="str">
        <f t="shared" si="92"/>
        <v/>
      </c>
      <c r="N279" s="103"/>
      <c r="O279" s="102"/>
    </row>
    <row r="280" spans="2:15" hidden="1" outlineLevel="1" x14ac:dyDescent="0.2">
      <c r="B280" s="2">
        <f t="shared" si="83"/>
        <v>45</v>
      </c>
      <c r="D280" s="22">
        <f>IF(B280&lt;$D$24,(+CALCULETTE!G677/CALCULETTE!$B$612),0)</f>
        <v>0</v>
      </c>
      <c r="E280" s="22" t="str">
        <f t="shared" si="84"/>
        <v/>
      </c>
      <c r="F280" s="22" t="str">
        <f t="shared" si="85"/>
        <v/>
      </c>
      <c r="G280" s="22" t="str">
        <f t="shared" si="86"/>
        <v/>
      </c>
      <c r="H280" s="22" t="str">
        <f t="shared" si="87"/>
        <v/>
      </c>
      <c r="I280" s="22" t="str">
        <f t="shared" si="88"/>
        <v/>
      </c>
      <c r="J280" s="22" t="str">
        <f t="shared" si="89"/>
        <v/>
      </c>
      <c r="K280" s="22" t="str">
        <f t="shared" si="90"/>
        <v/>
      </c>
      <c r="L280" s="22" t="str">
        <f t="shared" si="91"/>
        <v/>
      </c>
      <c r="M280" s="22" t="str">
        <f t="shared" si="92"/>
        <v/>
      </c>
      <c r="N280" s="103"/>
      <c r="O280" s="102"/>
    </row>
    <row r="281" spans="2:15" hidden="1" outlineLevel="1" x14ac:dyDescent="0.2">
      <c r="B281" s="2">
        <f t="shared" si="83"/>
        <v>46</v>
      </c>
      <c r="D281" s="22">
        <f>IF(B281&lt;$D$24,(+CALCULETTE!G678/CALCULETTE!$B$612),0)</f>
        <v>0</v>
      </c>
      <c r="E281" s="22" t="str">
        <f t="shared" si="84"/>
        <v/>
      </c>
      <c r="F281" s="22" t="str">
        <f t="shared" si="85"/>
        <v/>
      </c>
      <c r="G281" s="22" t="str">
        <f t="shared" si="86"/>
        <v/>
      </c>
      <c r="H281" s="22" t="str">
        <f t="shared" si="87"/>
        <v/>
      </c>
      <c r="I281" s="22" t="str">
        <f t="shared" si="88"/>
        <v/>
      </c>
      <c r="J281" s="22" t="str">
        <f t="shared" si="89"/>
        <v/>
      </c>
      <c r="K281" s="22" t="str">
        <f t="shared" si="90"/>
        <v/>
      </c>
      <c r="L281" s="22" t="str">
        <f t="shared" si="91"/>
        <v/>
      </c>
      <c r="M281" s="22" t="str">
        <f t="shared" si="92"/>
        <v/>
      </c>
      <c r="N281" s="103"/>
      <c r="O281" s="102"/>
    </row>
    <row r="282" spans="2:15" hidden="1" outlineLevel="1" x14ac:dyDescent="0.2">
      <c r="B282" s="2">
        <f t="shared" si="83"/>
        <v>47</v>
      </c>
      <c r="D282" s="22">
        <f>IF(B282&lt;$D$24,(+CALCULETTE!G679/CALCULETTE!$B$612),0)</f>
        <v>0</v>
      </c>
      <c r="E282" s="22" t="str">
        <f t="shared" si="84"/>
        <v/>
      </c>
      <c r="F282" s="22" t="str">
        <f t="shared" si="85"/>
        <v/>
      </c>
      <c r="G282" s="22" t="str">
        <f t="shared" si="86"/>
        <v/>
      </c>
      <c r="H282" s="22" t="str">
        <f t="shared" si="87"/>
        <v/>
      </c>
      <c r="I282" s="22" t="str">
        <f t="shared" si="88"/>
        <v/>
      </c>
      <c r="J282" s="22" t="str">
        <f t="shared" si="89"/>
        <v/>
      </c>
      <c r="K282" s="22" t="str">
        <f t="shared" si="90"/>
        <v/>
      </c>
      <c r="L282" s="22" t="str">
        <f t="shared" si="91"/>
        <v/>
      </c>
      <c r="M282" s="22" t="str">
        <f t="shared" si="92"/>
        <v/>
      </c>
      <c r="N282" s="103"/>
      <c r="O282" s="102"/>
    </row>
    <row r="283" spans="2:15" hidden="1" outlineLevel="1" x14ac:dyDescent="0.2">
      <c r="B283" s="2">
        <f t="shared" si="83"/>
        <v>48</v>
      </c>
      <c r="D283" s="22">
        <f>IF(B283&lt;$D$24,(+CALCULETTE!G680/CALCULETTE!$B$612),0)</f>
        <v>0</v>
      </c>
      <c r="E283" s="22" t="str">
        <f t="shared" si="84"/>
        <v/>
      </c>
      <c r="F283" s="22" t="str">
        <f t="shared" si="85"/>
        <v/>
      </c>
      <c r="G283" s="22" t="str">
        <f t="shared" si="86"/>
        <v/>
      </c>
      <c r="H283" s="22" t="str">
        <f t="shared" si="87"/>
        <v/>
      </c>
      <c r="I283" s="22" t="str">
        <f t="shared" si="88"/>
        <v/>
      </c>
      <c r="J283" s="22" t="str">
        <f t="shared" si="89"/>
        <v/>
      </c>
      <c r="K283" s="22" t="str">
        <f t="shared" si="90"/>
        <v/>
      </c>
      <c r="L283" s="22" t="str">
        <f t="shared" si="91"/>
        <v/>
      </c>
      <c r="M283" s="22" t="str">
        <f t="shared" si="92"/>
        <v/>
      </c>
      <c r="N283" s="103"/>
      <c r="O283" s="102"/>
    </row>
    <row r="284" spans="2:15" hidden="1" outlineLevel="1" x14ac:dyDescent="0.2">
      <c r="B284" s="2">
        <f t="shared" si="83"/>
        <v>49</v>
      </c>
      <c r="D284" s="22">
        <f>IF(B284&lt;$D$24,(+CALCULETTE!G681/CALCULETTE!$B$612),0)</f>
        <v>0</v>
      </c>
      <c r="E284" s="22" t="str">
        <f t="shared" si="84"/>
        <v/>
      </c>
      <c r="F284" s="22" t="str">
        <f t="shared" si="85"/>
        <v/>
      </c>
      <c r="G284" s="22" t="str">
        <f t="shared" si="86"/>
        <v/>
      </c>
      <c r="H284" s="22" t="str">
        <f t="shared" si="87"/>
        <v/>
      </c>
      <c r="I284" s="22" t="str">
        <f t="shared" si="88"/>
        <v/>
      </c>
      <c r="J284" s="22" t="str">
        <f t="shared" si="89"/>
        <v/>
      </c>
      <c r="K284" s="22" t="str">
        <f t="shared" si="90"/>
        <v/>
      </c>
      <c r="L284" s="22" t="str">
        <f t="shared" si="91"/>
        <v/>
      </c>
      <c r="M284" s="22" t="str">
        <f t="shared" si="92"/>
        <v/>
      </c>
      <c r="N284" s="103"/>
      <c r="O284" s="102"/>
    </row>
    <row r="285" spans="2:15" hidden="1" outlineLevel="1" x14ac:dyDescent="0.2">
      <c r="B285" s="2">
        <f t="shared" si="83"/>
        <v>50</v>
      </c>
      <c r="D285" s="22">
        <f>IF(B285&lt;$D$24,(+CALCULETTE!G682/CALCULETTE!$B$612),0)</f>
        <v>0</v>
      </c>
      <c r="E285" s="22" t="str">
        <f t="shared" si="84"/>
        <v/>
      </c>
      <c r="F285" s="22" t="str">
        <f t="shared" si="85"/>
        <v/>
      </c>
      <c r="G285" s="22" t="str">
        <f t="shared" si="86"/>
        <v/>
      </c>
      <c r="H285" s="22" t="str">
        <f t="shared" si="87"/>
        <v/>
      </c>
      <c r="I285" s="22" t="str">
        <f t="shared" si="88"/>
        <v/>
      </c>
      <c r="J285" s="22" t="str">
        <f t="shared" si="89"/>
        <v/>
      </c>
      <c r="K285" s="22" t="str">
        <f t="shared" si="90"/>
        <v/>
      </c>
      <c r="L285" s="22" t="str">
        <f t="shared" si="91"/>
        <v/>
      </c>
      <c r="M285" s="22" t="str">
        <f t="shared" si="92"/>
        <v/>
      </c>
      <c r="N285" s="103"/>
      <c r="O285" s="102"/>
    </row>
    <row r="286" spans="2:15" hidden="1" outlineLevel="1" x14ac:dyDescent="0.2">
      <c r="B286" s="2">
        <f t="shared" si="83"/>
        <v>51</v>
      </c>
      <c r="D286" s="22">
        <f>IF(B286&lt;$D$24,(+CALCULETTE!G683/CALCULETTE!$B$612),0)</f>
        <v>0</v>
      </c>
      <c r="E286" s="22" t="str">
        <f t="shared" si="84"/>
        <v/>
      </c>
      <c r="F286" s="22" t="str">
        <f t="shared" si="85"/>
        <v/>
      </c>
      <c r="G286" s="22" t="str">
        <f t="shared" si="86"/>
        <v/>
      </c>
      <c r="H286" s="22" t="str">
        <f t="shared" si="87"/>
        <v/>
      </c>
      <c r="I286" s="22" t="str">
        <f t="shared" si="88"/>
        <v/>
      </c>
      <c r="J286" s="22" t="str">
        <f t="shared" si="89"/>
        <v/>
      </c>
      <c r="K286" s="22" t="str">
        <f t="shared" si="90"/>
        <v/>
      </c>
      <c r="L286" s="22" t="str">
        <f t="shared" si="91"/>
        <v/>
      </c>
      <c r="M286" s="22" t="str">
        <f t="shared" si="92"/>
        <v/>
      </c>
      <c r="N286" s="103"/>
      <c r="O286" s="102"/>
    </row>
    <row r="287" spans="2:15" hidden="1" outlineLevel="1" x14ac:dyDescent="0.2">
      <c r="B287" s="2">
        <f t="shared" si="83"/>
        <v>52</v>
      </c>
      <c r="D287" s="22">
        <f>IF(B287&lt;$D$24,(+CALCULETTE!G684/CALCULETTE!$B$612),0)</f>
        <v>0</v>
      </c>
      <c r="E287" s="22" t="str">
        <f t="shared" si="84"/>
        <v/>
      </c>
      <c r="F287" s="22" t="str">
        <f t="shared" si="85"/>
        <v/>
      </c>
      <c r="G287" s="22" t="str">
        <f t="shared" si="86"/>
        <v/>
      </c>
      <c r="H287" s="22" t="str">
        <f t="shared" si="87"/>
        <v/>
      </c>
      <c r="I287" s="22" t="str">
        <f t="shared" si="88"/>
        <v/>
      </c>
      <c r="J287" s="22" t="str">
        <f t="shared" si="89"/>
        <v/>
      </c>
      <c r="K287" s="22" t="str">
        <f t="shared" si="90"/>
        <v/>
      </c>
      <c r="L287" s="22" t="str">
        <f t="shared" si="91"/>
        <v/>
      </c>
      <c r="M287" s="22" t="str">
        <f t="shared" si="92"/>
        <v/>
      </c>
      <c r="N287" s="103"/>
      <c r="O287" s="102"/>
    </row>
    <row r="288" spans="2:15" hidden="1" outlineLevel="1" x14ac:dyDescent="0.2">
      <c r="B288" s="2">
        <f t="shared" si="83"/>
        <v>53</v>
      </c>
      <c r="D288" s="22">
        <f>IF(B288&lt;$D$24,(+CALCULETTE!G685/CALCULETTE!$B$612),0)</f>
        <v>0</v>
      </c>
      <c r="E288" s="22" t="str">
        <f t="shared" si="84"/>
        <v/>
      </c>
      <c r="F288" s="22" t="str">
        <f t="shared" si="85"/>
        <v/>
      </c>
      <c r="G288" s="22" t="str">
        <f t="shared" si="86"/>
        <v/>
      </c>
      <c r="H288" s="22" t="str">
        <f t="shared" si="87"/>
        <v/>
      </c>
      <c r="I288" s="22" t="str">
        <f t="shared" si="88"/>
        <v/>
      </c>
      <c r="J288" s="22" t="str">
        <f t="shared" si="89"/>
        <v/>
      </c>
      <c r="K288" s="22" t="str">
        <f t="shared" si="90"/>
        <v/>
      </c>
      <c r="L288" s="22" t="str">
        <f t="shared" si="91"/>
        <v/>
      </c>
      <c r="M288" s="22" t="str">
        <f t="shared" si="92"/>
        <v/>
      </c>
      <c r="N288" s="103"/>
      <c r="O288" s="102"/>
    </row>
    <row r="289" spans="2:15" hidden="1" outlineLevel="1" x14ac:dyDescent="0.2">
      <c r="B289" s="2">
        <f t="shared" si="83"/>
        <v>54</v>
      </c>
      <c r="D289" s="22">
        <f>IF(B289&lt;$D$24,(+CALCULETTE!G686/CALCULETTE!$B$612),0)</f>
        <v>0</v>
      </c>
      <c r="E289" s="22" t="str">
        <f t="shared" si="84"/>
        <v/>
      </c>
      <c r="F289" s="22" t="str">
        <f t="shared" si="85"/>
        <v/>
      </c>
      <c r="G289" s="22" t="str">
        <f t="shared" si="86"/>
        <v/>
      </c>
      <c r="H289" s="22" t="str">
        <f t="shared" si="87"/>
        <v/>
      </c>
      <c r="I289" s="22" t="str">
        <f t="shared" si="88"/>
        <v/>
      </c>
      <c r="J289" s="22" t="str">
        <f t="shared" si="89"/>
        <v/>
      </c>
      <c r="K289" s="22" t="str">
        <f t="shared" si="90"/>
        <v/>
      </c>
      <c r="L289" s="22" t="str">
        <f t="shared" si="91"/>
        <v/>
      </c>
      <c r="M289" s="22" t="str">
        <f t="shared" si="92"/>
        <v/>
      </c>
      <c r="N289" s="103"/>
      <c r="O289" s="102"/>
    </row>
    <row r="290" spans="2:15" hidden="1" outlineLevel="1" x14ac:dyDescent="0.2">
      <c r="B290" s="2">
        <f t="shared" si="83"/>
        <v>55</v>
      </c>
      <c r="D290" s="22">
        <f>IF(B290&lt;$D$24,(+CALCULETTE!G687/CALCULETTE!$B$612),0)</f>
        <v>0</v>
      </c>
      <c r="E290" s="22" t="str">
        <f t="shared" si="84"/>
        <v/>
      </c>
      <c r="F290" s="22" t="str">
        <f t="shared" si="85"/>
        <v/>
      </c>
      <c r="G290" s="22" t="str">
        <f t="shared" si="86"/>
        <v/>
      </c>
      <c r="H290" s="22" t="str">
        <f t="shared" si="87"/>
        <v/>
      </c>
      <c r="I290" s="22" t="str">
        <f t="shared" si="88"/>
        <v/>
      </c>
      <c r="J290" s="22" t="str">
        <f t="shared" si="89"/>
        <v/>
      </c>
      <c r="K290" s="22" t="str">
        <f t="shared" si="90"/>
        <v/>
      </c>
      <c r="L290" s="22" t="str">
        <f t="shared" si="91"/>
        <v/>
      </c>
      <c r="M290" s="22" t="str">
        <f t="shared" si="92"/>
        <v/>
      </c>
      <c r="N290" s="103"/>
      <c r="O290" s="102"/>
    </row>
    <row r="291" spans="2:15" hidden="1" outlineLevel="1" x14ac:dyDescent="0.2">
      <c r="B291" s="2">
        <f t="shared" si="83"/>
        <v>56</v>
      </c>
      <c r="D291" s="22">
        <f>IF(B291&lt;$D$24,(+CALCULETTE!G688/CALCULETTE!$B$612),0)</f>
        <v>0</v>
      </c>
      <c r="E291" s="22" t="str">
        <f t="shared" si="84"/>
        <v/>
      </c>
      <c r="F291" s="22" t="str">
        <f t="shared" si="85"/>
        <v/>
      </c>
      <c r="G291" s="22" t="str">
        <f t="shared" si="86"/>
        <v/>
      </c>
      <c r="H291" s="22" t="str">
        <f t="shared" si="87"/>
        <v/>
      </c>
      <c r="I291" s="22" t="str">
        <f t="shared" si="88"/>
        <v/>
      </c>
      <c r="J291" s="22" t="str">
        <f t="shared" si="89"/>
        <v/>
      </c>
      <c r="K291" s="22" t="str">
        <f t="shared" si="90"/>
        <v/>
      </c>
      <c r="L291" s="22" t="str">
        <f t="shared" si="91"/>
        <v/>
      </c>
      <c r="M291" s="22" t="str">
        <f t="shared" si="92"/>
        <v/>
      </c>
      <c r="N291" s="103"/>
      <c r="O291" s="102"/>
    </row>
    <row r="292" spans="2:15" hidden="1" outlineLevel="1" x14ac:dyDescent="0.2">
      <c r="B292" s="2">
        <f t="shared" si="83"/>
        <v>57</v>
      </c>
      <c r="D292" s="22">
        <f>IF(B292&lt;$D$24,(+CALCULETTE!G689/CALCULETTE!$B$612),0)</f>
        <v>0</v>
      </c>
      <c r="E292" s="22" t="str">
        <f t="shared" si="84"/>
        <v/>
      </c>
      <c r="F292" s="22" t="str">
        <f t="shared" si="85"/>
        <v/>
      </c>
      <c r="G292" s="22" t="str">
        <f t="shared" si="86"/>
        <v/>
      </c>
      <c r="H292" s="22" t="str">
        <f t="shared" si="87"/>
        <v/>
      </c>
      <c r="I292" s="22" t="str">
        <f t="shared" si="88"/>
        <v/>
      </c>
      <c r="J292" s="22" t="str">
        <f t="shared" si="89"/>
        <v/>
      </c>
      <c r="K292" s="22" t="str">
        <f t="shared" si="90"/>
        <v/>
      </c>
      <c r="L292" s="22" t="str">
        <f t="shared" si="91"/>
        <v/>
      </c>
      <c r="M292" s="22" t="str">
        <f t="shared" si="92"/>
        <v/>
      </c>
      <c r="N292" s="103"/>
      <c r="O292" s="102"/>
    </row>
    <row r="293" spans="2:15" hidden="1" outlineLevel="1" x14ac:dyDescent="0.2">
      <c r="B293" s="2">
        <f t="shared" si="83"/>
        <v>58</v>
      </c>
      <c r="D293" s="22">
        <f>IF(B293&lt;$D$24,(+CALCULETTE!G690/CALCULETTE!$B$612),0)</f>
        <v>0</v>
      </c>
      <c r="E293" s="22" t="str">
        <f t="shared" si="84"/>
        <v/>
      </c>
      <c r="F293" s="22" t="str">
        <f t="shared" si="85"/>
        <v/>
      </c>
      <c r="G293" s="22" t="str">
        <f t="shared" si="86"/>
        <v/>
      </c>
      <c r="H293" s="22" t="str">
        <f t="shared" si="87"/>
        <v/>
      </c>
      <c r="I293" s="22" t="str">
        <f t="shared" si="88"/>
        <v/>
      </c>
      <c r="J293" s="22" t="str">
        <f t="shared" si="89"/>
        <v/>
      </c>
      <c r="K293" s="22" t="str">
        <f t="shared" si="90"/>
        <v/>
      </c>
      <c r="L293" s="22" t="str">
        <f t="shared" si="91"/>
        <v/>
      </c>
      <c r="M293" s="22" t="str">
        <f t="shared" si="92"/>
        <v/>
      </c>
      <c r="N293" s="103"/>
      <c r="O293" s="102"/>
    </row>
    <row r="294" spans="2:15" hidden="1" outlineLevel="1" x14ac:dyDescent="0.2">
      <c r="B294" s="2">
        <f t="shared" si="83"/>
        <v>59</v>
      </c>
      <c r="D294" s="22">
        <f>IF(B294&lt;$D$24,(+CALCULETTE!G691/CALCULETTE!$B$612),0)</f>
        <v>0</v>
      </c>
      <c r="E294" s="22" t="str">
        <f t="shared" si="84"/>
        <v/>
      </c>
      <c r="F294" s="22" t="str">
        <f t="shared" si="85"/>
        <v/>
      </c>
      <c r="G294" s="22" t="str">
        <f t="shared" si="86"/>
        <v/>
      </c>
      <c r="H294" s="22" t="str">
        <f t="shared" si="87"/>
        <v/>
      </c>
      <c r="I294" s="22" t="str">
        <f t="shared" si="88"/>
        <v/>
      </c>
      <c r="J294" s="22" t="str">
        <f t="shared" si="89"/>
        <v/>
      </c>
      <c r="K294" s="22" t="str">
        <f t="shared" si="90"/>
        <v/>
      </c>
      <c r="L294" s="22" t="str">
        <f t="shared" si="91"/>
        <v/>
      </c>
      <c r="M294" s="22" t="str">
        <f t="shared" si="92"/>
        <v/>
      </c>
      <c r="N294" s="103"/>
      <c r="O294" s="102"/>
    </row>
    <row r="295" spans="2:15" hidden="1" outlineLevel="1" x14ac:dyDescent="0.2">
      <c r="B295" s="2">
        <f t="shared" si="83"/>
        <v>60</v>
      </c>
      <c r="D295" s="22">
        <f>IF(B295&lt;$D$24,(+CALCULETTE!G692/CALCULETTE!$B$612),0)</f>
        <v>0</v>
      </c>
      <c r="E295" s="22" t="str">
        <f t="shared" si="84"/>
        <v/>
      </c>
      <c r="F295" s="22" t="str">
        <f t="shared" si="85"/>
        <v/>
      </c>
      <c r="G295" s="22" t="str">
        <f t="shared" si="86"/>
        <v/>
      </c>
      <c r="H295" s="22" t="str">
        <f t="shared" si="87"/>
        <v/>
      </c>
      <c r="I295" s="22" t="str">
        <f t="shared" si="88"/>
        <v/>
      </c>
      <c r="J295" s="22" t="str">
        <f t="shared" si="89"/>
        <v/>
      </c>
      <c r="K295" s="22" t="str">
        <f t="shared" si="90"/>
        <v/>
      </c>
      <c r="L295" s="22" t="str">
        <f t="shared" si="91"/>
        <v/>
      </c>
      <c r="M295" s="22" t="str">
        <f t="shared" si="92"/>
        <v/>
      </c>
      <c r="N295" s="103"/>
      <c r="O295" s="102"/>
    </row>
    <row r="296" spans="2:15" hidden="1" outlineLevel="1" x14ac:dyDescent="0.2">
      <c r="B296" s="2">
        <f t="shared" si="83"/>
        <v>61</v>
      </c>
      <c r="D296" s="22">
        <f>IF(B296&lt;$D$24,(+CALCULETTE!G693/CALCULETTE!$B$612),0)</f>
        <v>0</v>
      </c>
      <c r="E296" s="22" t="str">
        <f t="shared" si="84"/>
        <v/>
      </c>
      <c r="F296" s="22" t="str">
        <f t="shared" si="85"/>
        <v/>
      </c>
      <c r="G296" s="22" t="str">
        <f t="shared" si="86"/>
        <v/>
      </c>
      <c r="H296" s="22" t="str">
        <f t="shared" si="87"/>
        <v/>
      </c>
      <c r="I296" s="22" t="str">
        <f t="shared" si="88"/>
        <v/>
      </c>
      <c r="J296" s="22" t="str">
        <f t="shared" si="89"/>
        <v/>
      </c>
      <c r="K296" s="22" t="str">
        <f t="shared" si="90"/>
        <v/>
      </c>
      <c r="L296" s="22" t="str">
        <f t="shared" si="91"/>
        <v/>
      </c>
      <c r="M296" s="22" t="str">
        <f t="shared" si="92"/>
        <v/>
      </c>
      <c r="N296" s="103"/>
      <c r="O296" s="102"/>
    </row>
    <row r="297" spans="2:15" hidden="1" outlineLevel="1" x14ac:dyDescent="0.2">
      <c r="B297" s="2">
        <f t="shared" si="83"/>
        <v>62</v>
      </c>
      <c r="D297" s="22">
        <f>IF(B297&lt;$D$24,(+CALCULETTE!G694/CALCULETTE!$B$612),0)</f>
        <v>0</v>
      </c>
      <c r="E297" s="22" t="str">
        <f t="shared" si="84"/>
        <v/>
      </c>
      <c r="F297" s="22" t="str">
        <f t="shared" si="85"/>
        <v/>
      </c>
      <c r="G297" s="22" t="str">
        <f t="shared" si="86"/>
        <v/>
      </c>
      <c r="H297" s="22" t="str">
        <f t="shared" si="87"/>
        <v/>
      </c>
      <c r="I297" s="22" t="str">
        <f t="shared" si="88"/>
        <v/>
      </c>
      <c r="J297" s="22" t="str">
        <f t="shared" si="89"/>
        <v/>
      </c>
      <c r="K297" s="22" t="str">
        <f t="shared" si="90"/>
        <v/>
      </c>
      <c r="L297" s="22" t="str">
        <f t="shared" si="91"/>
        <v/>
      </c>
      <c r="M297" s="22" t="str">
        <f t="shared" si="92"/>
        <v/>
      </c>
      <c r="N297" s="103"/>
      <c r="O297" s="102"/>
    </row>
    <row r="298" spans="2:15" hidden="1" outlineLevel="1" x14ac:dyDescent="0.2">
      <c r="B298" s="2">
        <f t="shared" si="83"/>
        <v>63</v>
      </c>
      <c r="D298" s="22">
        <f>IF(B298&lt;$D$24,(+CALCULETTE!G695/CALCULETTE!$B$612),0)</f>
        <v>0</v>
      </c>
      <c r="E298" s="22" t="str">
        <f t="shared" si="84"/>
        <v/>
      </c>
      <c r="F298" s="22" t="str">
        <f t="shared" si="85"/>
        <v/>
      </c>
      <c r="G298" s="22" t="str">
        <f t="shared" si="86"/>
        <v/>
      </c>
      <c r="H298" s="22" t="str">
        <f t="shared" si="87"/>
        <v/>
      </c>
      <c r="I298" s="22" t="str">
        <f t="shared" si="88"/>
        <v/>
      </c>
      <c r="J298" s="22" t="str">
        <f t="shared" si="89"/>
        <v/>
      </c>
      <c r="K298" s="22" t="str">
        <f t="shared" si="90"/>
        <v/>
      </c>
      <c r="L298" s="22" t="str">
        <f t="shared" si="91"/>
        <v/>
      </c>
      <c r="M298" s="22" t="str">
        <f t="shared" si="92"/>
        <v/>
      </c>
      <c r="N298" s="103"/>
      <c r="O298" s="102"/>
    </row>
    <row r="299" spans="2:15" hidden="1" outlineLevel="1" x14ac:dyDescent="0.2">
      <c r="B299" s="2">
        <f t="shared" si="83"/>
        <v>64</v>
      </c>
      <c r="D299" s="22">
        <f>IF(B299&lt;$D$24,(+CALCULETTE!G696/CALCULETTE!$B$612),0)</f>
        <v>0</v>
      </c>
      <c r="E299" s="22" t="str">
        <f t="shared" si="84"/>
        <v/>
      </c>
      <c r="F299" s="22" t="str">
        <f t="shared" si="85"/>
        <v/>
      </c>
      <c r="G299" s="22" t="str">
        <f t="shared" si="86"/>
        <v/>
      </c>
      <c r="H299" s="22" t="str">
        <f t="shared" si="87"/>
        <v/>
      </c>
      <c r="I299" s="22" t="str">
        <f t="shared" si="88"/>
        <v/>
      </c>
      <c r="J299" s="22" t="str">
        <f t="shared" si="89"/>
        <v/>
      </c>
      <c r="K299" s="22" t="str">
        <f t="shared" si="90"/>
        <v/>
      </c>
      <c r="L299" s="22" t="str">
        <f t="shared" si="91"/>
        <v/>
      </c>
      <c r="M299" s="22" t="str">
        <f t="shared" si="92"/>
        <v/>
      </c>
      <c r="N299" s="103"/>
      <c r="O299" s="102"/>
    </row>
    <row r="300" spans="2:15" hidden="1" outlineLevel="1" x14ac:dyDescent="0.2">
      <c r="B300" s="2">
        <f t="shared" ref="B300:B331" si="93">B299+1</f>
        <v>65</v>
      </c>
      <c r="D300" s="22">
        <f>IF(B300&lt;$D$24,(+CALCULETTE!G697/CALCULETTE!$B$612),0)</f>
        <v>0</v>
      </c>
      <c r="E300" s="22" t="str">
        <f t="shared" ref="E300:E331" si="94">IF(E$1=0,"",IF($B300&lt;E$23,E299+PPMT(E$26/12,$B300,E$23,E$235,-E$27,0),IF($B300=E$23,E299+PPMT(E$26/12,$B300,E$23,E$235,-E$27,0)-E$27,0)))</f>
        <v/>
      </c>
      <c r="F300" s="22" t="str">
        <f t="shared" ref="F300:F331" si="95">IF(F$1=0,"",IF($B300&lt;F$23,F299+PPMT(F$26/12,$B300,F$23,F$235,-F$27,0),IF($B300=F$23,F299+PPMT(F$26/12,$B300,F$23,F$235,-F$27,0)-F$27,0)))</f>
        <v/>
      </c>
      <c r="G300" s="22" t="str">
        <f t="shared" ref="G300:G331" si="96">IF(G$1=0,"",IF($B300&lt;G$23,G299+PPMT(G$26/12,$B300,G$23,G$235,-G$27,0),IF($B300=G$23,G299+PPMT(G$26/12,$B300,G$23,G$235,-G$27,0)-G$27,0)))</f>
        <v/>
      </c>
      <c r="H300" s="22" t="str">
        <f t="shared" ref="H300:H331" si="97">IF(H$1=0,"",IF($B300&lt;H$23,H299+PPMT(H$26/12,$B300,H$23,H$235,-H$27,0),IF($B300=H$23,H299+PPMT(H$26/12,$B300,H$23,H$235,-H$27,0)-H$27,0)))</f>
        <v/>
      </c>
      <c r="I300" s="22" t="str">
        <f t="shared" ref="I300:I331" si="98">IF(I$1=0,"",IF($B300&lt;I$23,I299+PPMT(I$26/12,$B300,I$23,I$235,-I$27,0),IF($B300=I$23,I299+PPMT(I$26/12,$B300,I$23,I$235,-I$27,0)-I$27,0)))</f>
        <v/>
      </c>
      <c r="J300" s="22" t="str">
        <f t="shared" ref="J300:J331" si="99">IF(J$1=0,"",IF($B300&lt;J$23,J299+PPMT(J$26/12,$B300,J$23,J$235,-J$27,0),IF($B300=J$23,J299+PPMT(J$26/12,$B300,J$23,J$235,-J$27,0)-J$27,0)))</f>
        <v/>
      </c>
      <c r="K300" s="22" t="str">
        <f t="shared" ref="K300:K331" si="100">IF(K$1=0,"",IF($B300&lt;K$23,K299+PPMT(K$26/12,$B300,K$23,K$235,-K$27,0),IF($B300=K$23,K299+PPMT(K$26/12,$B300,K$23,K$235,-K$27,0)-K$27,0)))</f>
        <v/>
      </c>
      <c r="L300" s="22" t="str">
        <f t="shared" ref="L300:L331" si="101">IF(L$1=0,"",IF($B300&lt;L$23,L299+PPMT(L$26/12,$B300,L$23,L$235,-L$27,0),IF($B300=L$23,L299+PPMT(L$26/12,$B300,L$23,L$235,-L$27,0)-L$27,0)))</f>
        <v/>
      </c>
      <c r="M300" s="22" t="str">
        <f t="shared" ref="M300:M331" si="102">IF(M$1=0,"",IF($B300&lt;M$23,M299+PPMT(M$26/12,$B300,M$23,M$235,-M$27,0),IF($B300=M$23,M299+PPMT(M$26/12,$B300,M$23,M$235,-M$27,0)-M$27,0)))</f>
        <v/>
      </c>
      <c r="N300" s="103"/>
      <c r="O300" s="102"/>
    </row>
    <row r="301" spans="2:15" hidden="1" outlineLevel="1" x14ac:dyDescent="0.2">
      <c r="B301" s="2">
        <f t="shared" si="93"/>
        <v>66</v>
      </c>
      <c r="D301" s="22">
        <f>IF(B301&lt;$D$24,(+CALCULETTE!G698/CALCULETTE!$B$612),0)</f>
        <v>0</v>
      </c>
      <c r="E301" s="22" t="str">
        <f t="shared" si="94"/>
        <v/>
      </c>
      <c r="F301" s="22" t="str">
        <f t="shared" si="95"/>
        <v/>
      </c>
      <c r="G301" s="22" t="str">
        <f t="shared" si="96"/>
        <v/>
      </c>
      <c r="H301" s="22" t="str">
        <f t="shared" si="97"/>
        <v/>
      </c>
      <c r="I301" s="22" t="str">
        <f t="shared" si="98"/>
        <v/>
      </c>
      <c r="J301" s="22" t="str">
        <f t="shared" si="99"/>
        <v/>
      </c>
      <c r="K301" s="22" t="str">
        <f t="shared" si="100"/>
        <v/>
      </c>
      <c r="L301" s="22" t="str">
        <f t="shared" si="101"/>
        <v/>
      </c>
      <c r="M301" s="22" t="str">
        <f t="shared" si="102"/>
        <v/>
      </c>
      <c r="N301" s="103"/>
      <c r="O301" s="102"/>
    </row>
    <row r="302" spans="2:15" hidden="1" outlineLevel="1" x14ac:dyDescent="0.2">
      <c r="B302" s="2">
        <f t="shared" si="93"/>
        <v>67</v>
      </c>
      <c r="D302" s="22">
        <f>IF(B302&lt;$D$24,(+CALCULETTE!G699/CALCULETTE!$B$612),0)</f>
        <v>0</v>
      </c>
      <c r="E302" s="22" t="str">
        <f t="shared" si="94"/>
        <v/>
      </c>
      <c r="F302" s="22" t="str">
        <f t="shared" si="95"/>
        <v/>
      </c>
      <c r="G302" s="22" t="str">
        <f t="shared" si="96"/>
        <v/>
      </c>
      <c r="H302" s="22" t="str">
        <f t="shared" si="97"/>
        <v/>
      </c>
      <c r="I302" s="22" t="str">
        <f t="shared" si="98"/>
        <v/>
      </c>
      <c r="J302" s="22" t="str">
        <f t="shared" si="99"/>
        <v/>
      </c>
      <c r="K302" s="22" t="str">
        <f t="shared" si="100"/>
        <v/>
      </c>
      <c r="L302" s="22" t="str">
        <f t="shared" si="101"/>
        <v/>
      </c>
      <c r="M302" s="22" t="str">
        <f t="shared" si="102"/>
        <v/>
      </c>
      <c r="N302" s="103"/>
      <c r="O302" s="102"/>
    </row>
    <row r="303" spans="2:15" hidden="1" outlineLevel="1" x14ac:dyDescent="0.2">
      <c r="B303" s="2">
        <f t="shared" si="93"/>
        <v>68</v>
      </c>
      <c r="D303" s="22">
        <f>IF(B303&lt;$D$24,(+CALCULETTE!G700/CALCULETTE!$B$612),0)</f>
        <v>0</v>
      </c>
      <c r="E303" s="22" t="str">
        <f t="shared" si="94"/>
        <v/>
      </c>
      <c r="F303" s="22" t="str">
        <f t="shared" si="95"/>
        <v/>
      </c>
      <c r="G303" s="22" t="str">
        <f t="shared" si="96"/>
        <v/>
      </c>
      <c r="H303" s="22" t="str">
        <f t="shared" si="97"/>
        <v/>
      </c>
      <c r="I303" s="22" t="str">
        <f t="shared" si="98"/>
        <v/>
      </c>
      <c r="J303" s="22" t="str">
        <f t="shared" si="99"/>
        <v/>
      </c>
      <c r="K303" s="22" t="str">
        <f t="shared" si="100"/>
        <v/>
      </c>
      <c r="L303" s="22" t="str">
        <f t="shared" si="101"/>
        <v/>
      </c>
      <c r="M303" s="22" t="str">
        <f t="shared" si="102"/>
        <v/>
      </c>
      <c r="N303" s="103"/>
      <c r="O303" s="102"/>
    </row>
    <row r="304" spans="2:15" hidden="1" outlineLevel="1" x14ac:dyDescent="0.2">
      <c r="B304" s="2">
        <f t="shared" si="93"/>
        <v>69</v>
      </c>
      <c r="D304" s="22">
        <f>IF(B304&lt;$D$24,(+CALCULETTE!G701/CALCULETTE!$B$612),0)</f>
        <v>0</v>
      </c>
      <c r="E304" s="22" t="str">
        <f t="shared" si="94"/>
        <v/>
      </c>
      <c r="F304" s="22" t="str">
        <f t="shared" si="95"/>
        <v/>
      </c>
      <c r="G304" s="22" t="str">
        <f t="shared" si="96"/>
        <v/>
      </c>
      <c r="H304" s="22" t="str">
        <f t="shared" si="97"/>
        <v/>
      </c>
      <c r="I304" s="22" t="str">
        <f t="shared" si="98"/>
        <v/>
      </c>
      <c r="J304" s="22" t="str">
        <f t="shared" si="99"/>
        <v/>
      </c>
      <c r="K304" s="22" t="str">
        <f t="shared" si="100"/>
        <v/>
      </c>
      <c r="L304" s="22" t="str">
        <f t="shared" si="101"/>
        <v/>
      </c>
      <c r="M304" s="22" t="str">
        <f t="shared" si="102"/>
        <v/>
      </c>
      <c r="N304" s="103"/>
      <c r="O304" s="102"/>
    </row>
    <row r="305" spans="2:15" hidden="1" outlineLevel="1" x14ac:dyDescent="0.2">
      <c r="B305" s="2">
        <f t="shared" si="93"/>
        <v>70</v>
      </c>
      <c r="D305" s="22">
        <f>IF(B305&lt;$D$24,(+CALCULETTE!G702/CALCULETTE!$B$612),0)</f>
        <v>0</v>
      </c>
      <c r="E305" s="22" t="str">
        <f t="shared" si="94"/>
        <v/>
      </c>
      <c r="F305" s="22" t="str">
        <f t="shared" si="95"/>
        <v/>
      </c>
      <c r="G305" s="22" t="str">
        <f t="shared" si="96"/>
        <v/>
      </c>
      <c r="H305" s="22" t="str">
        <f t="shared" si="97"/>
        <v/>
      </c>
      <c r="I305" s="22" t="str">
        <f t="shared" si="98"/>
        <v/>
      </c>
      <c r="J305" s="22" t="str">
        <f t="shared" si="99"/>
        <v/>
      </c>
      <c r="K305" s="22" t="str">
        <f t="shared" si="100"/>
        <v/>
      </c>
      <c r="L305" s="22" t="str">
        <f t="shared" si="101"/>
        <v/>
      </c>
      <c r="M305" s="22" t="str">
        <f t="shared" si="102"/>
        <v/>
      </c>
      <c r="N305" s="103"/>
      <c r="O305" s="102"/>
    </row>
    <row r="306" spans="2:15" hidden="1" outlineLevel="1" x14ac:dyDescent="0.2">
      <c r="B306" s="2">
        <f t="shared" si="93"/>
        <v>71</v>
      </c>
      <c r="D306" s="22">
        <f>IF(B306&lt;$D$24,(+CALCULETTE!G703/CALCULETTE!$B$612),0)</f>
        <v>0</v>
      </c>
      <c r="E306" s="22" t="str">
        <f t="shared" si="94"/>
        <v/>
      </c>
      <c r="F306" s="22" t="str">
        <f t="shared" si="95"/>
        <v/>
      </c>
      <c r="G306" s="22" t="str">
        <f t="shared" si="96"/>
        <v/>
      </c>
      <c r="H306" s="22" t="str">
        <f t="shared" si="97"/>
        <v/>
      </c>
      <c r="I306" s="22" t="str">
        <f t="shared" si="98"/>
        <v/>
      </c>
      <c r="J306" s="22" t="str">
        <f t="shared" si="99"/>
        <v/>
      </c>
      <c r="K306" s="22" t="str">
        <f t="shared" si="100"/>
        <v/>
      </c>
      <c r="L306" s="22" t="str">
        <f t="shared" si="101"/>
        <v/>
      </c>
      <c r="M306" s="22" t="str">
        <f t="shared" si="102"/>
        <v/>
      </c>
      <c r="N306" s="103"/>
      <c r="O306" s="102"/>
    </row>
    <row r="307" spans="2:15" hidden="1" outlineLevel="1" x14ac:dyDescent="0.2">
      <c r="B307" s="2">
        <f t="shared" si="93"/>
        <v>72</v>
      </c>
      <c r="D307" s="22">
        <f>IF(B307&lt;$D$24,(+CALCULETTE!G704/CALCULETTE!$B$612),0)</f>
        <v>0</v>
      </c>
      <c r="E307" s="22" t="str">
        <f t="shared" si="94"/>
        <v/>
      </c>
      <c r="F307" s="22" t="str">
        <f t="shared" si="95"/>
        <v/>
      </c>
      <c r="G307" s="22" t="str">
        <f t="shared" si="96"/>
        <v/>
      </c>
      <c r="H307" s="22" t="str">
        <f t="shared" si="97"/>
        <v/>
      </c>
      <c r="I307" s="22" t="str">
        <f t="shared" si="98"/>
        <v/>
      </c>
      <c r="J307" s="22" t="str">
        <f t="shared" si="99"/>
        <v/>
      </c>
      <c r="K307" s="22" t="str">
        <f t="shared" si="100"/>
        <v/>
      </c>
      <c r="L307" s="22" t="str">
        <f t="shared" si="101"/>
        <v/>
      </c>
      <c r="M307" s="22" t="str">
        <f t="shared" si="102"/>
        <v/>
      </c>
      <c r="N307" s="103"/>
      <c r="O307" s="102"/>
    </row>
    <row r="308" spans="2:15" hidden="1" outlineLevel="1" x14ac:dyDescent="0.2">
      <c r="B308" s="2">
        <f t="shared" si="93"/>
        <v>73</v>
      </c>
      <c r="D308" s="22">
        <f>IF(B308&lt;$D$24,(+CALCULETTE!G705/CALCULETTE!$B$612),0)</f>
        <v>0</v>
      </c>
      <c r="E308" s="22" t="str">
        <f t="shared" si="94"/>
        <v/>
      </c>
      <c r="F308" s="22" t="str">
        <f t="shared" si="95"/>
        <v/>
      </c>
      <c r="G308" s="22" t="str">
        <f t="shared" si="96"/>
        <v/>
      </c>
      <c r="H308" s="22" t="str">
        <f t="shared" si="97"/>
        <v/>
      </c>
      <c r="I308" s="22" t="str">
        <f t="shared" si="98"/>
        <v/>
      </c>
      <c r="J308" s="22" t="str">
        <f t="shared" si="99"/>
        <v/>
      </c>
      <c r="K308" s="22" t="str">
        <f t="shared" si="100"/>
        <v/>
      </c>
      <c r="L308" s="22" t="str">
        <f t="shared" si="101"/>
        <v/>
      </c>
      <c r="M308" s="22" t="str">
        <f t="shared" si="102"/>
        <v/>
      </c>
      <c r="N308" s="103"/>
      <c r="O308" s="102"/>
    </row>
    <row r="309" spans="2:15" hidden="1" outlineLevel="1" x14ac:dyDescent="0.2">
      <c r="B309" s="2">
        <f t="shared" si="93"/>
        <v>74</v>
      </c>
      <c r="D309" s="22">
        <f>IF(B309&lt;$D$24,(+CALCULETTE!G706/CALCULETTE!$B$612),0)</f>
        <v>0</v>
      </c>
      <c r="E309" s="22" t="str">
        <f t="shared" si="94"/>
        <v/>
      </c>
      <c r="F309" s="22" t="str">
        <f t="shared" si="95"/>
        <v/>
      </c>
      <c r="G309" s="22" t="str">
        <f t="shared" si="96"/>
        <v/>
      </c>
      <c r="H309" s="22" t="str">
        <f t="shared" si="97"/>
        <v/>
      </c>
      <c r="I309" s="22" t="str">
        <f t="shared" si="98"/>
        <v/>
      </c>
      <c r="J309" s="22" t="str">
        <f t="shared" si="99"/>
        <v/>
      </c>
      <c r="K309" s="22" t="str">
        <f t="shared" si="100"/>
        <v/>
      </c>
      <c r="L309" s="22" t="str">
        <f t="shared" si="101"/>
        <v/>
      </c>
      <c r="M309" s="22" t="str">
        <f t="shared" si="102"/>
        <v/>
      </c>
      <c r="N309" s="103"/>
      <c r="O309" s="102"/>
    </row>
    <row r="310" spans="2:15" hidden="1" outlineLevel="1" x14ac:dyDescent="0.2">
      <c r="B310" s="2">
        <f t="shared" si="93"/>
        <v>75</v>
      </c>
      <c r="D310" s="22">
        <f>IF(B310&lt;$D$24,(+CALCULETTE!G707/CALCULETTE!$B$612),0)</f>
        <v>0</v>
      </c>
      <c r="E310" s="22" t="str">
        <f t="shared" si="94"/>
        <v/>
      </c>
      <c r="F310" s="22" t="str">
        <f t="shared" si="95"/>
        <v/>
      </c>
      <c r="G310" s="22" t="str">
        <f t="shared" si="96"/>
        <v/>
      </c>
      <c r="H310" s="22" t="str">
        <f t="shared" si="97"/>
        <v/>
      </c>
      <c r="I310" s="22" t="str">
        <f t="shared" si="98"/>
        <v/>
      </c>
      <c r="J310" s="22" t="str">
        <f t="shared" si="99"/>
        <v/>
      </c>
      <c r="K310" s="22" t="str">
        <f t="shared" si="100"/>
        <v/>
      </c>
      <c r="L310" s="22" t="str">
        <f t="shared" si="101"/>
        <v/>
      </c>
      <c r="M310" s="22" t="str">
        <f t="shared" si="102"/>
        <v/>
      </c>
      <c r="N310" s="103"/>
      <c r="O310" s="102"/>
    </row>
    <row r="311" spans="2:15" hidden="1" outlineLevel="1" x14ac:dyDescent="0.2">
      <c r="B311" s="2">
        <f t="shared" si="93"/>
        <v>76</v>
      </c>
      <c r="D311" s="22">
        <f>IF(B311&lt;$D$24,(+CALCULETTE!G708/CALCULETTE!$B$612),0)</f>
        <v>0</v>
      </c>
      <c r="E311" s="22" t="str">
        <f t="shared" si="94"/>
        <v/>
      </c>
      <c r="F311" s="22" t="str">
        <f t="shared" si="95"/>
        <v/>
      </c>
      <c r="G311" s="22" t="str">
        <f t="shared" si="96"/>
        <v/>
      </c>
      <c r="H311" s="22" t="str">
        <f t="shared" si="97"/>
        <v/>
      </c>
      <c r="I311" s="22" t="str">
        <f t="shared" si="98"/>
        <v/>
      </c>
      <c r="J311" s="22" t="str">
        <f t="shared" si="99"/>
        <v/>
      </c>
      <c r="K311" s="22" t="str">
        <f t="shared" si="100"/>
        <v/>
      </c>
      <c r="L311" s="22" t="str">
        <f t="shared" si="101"/>
        <v/>
      </c>
      <c r="M311" s="22" t="str">
        <f t="shared" si="102"/>
        <v/>
      </c>
      <c r="N311" s="103"/>
      <c r="O311" s="102"/>
    </row>
    <row r="312" spans="2:15" hidden="1" outlineLevel="1" x14ac:dyDescent="0.2">
      <c r="B312" s="2">
        <f t="shared" si="93"/>
        <v>77</v>
      </c>
      <c r="D312" s="22">
        <f>IF(B312&lt;$D$24,(+CALCULETTE!G709/CALCULETTE!$B$612),0)</f>
        <v>0</v>
      </c>
      <c r="E312" s="22" t="str">
        <f t="shared" si="94"/>
        <v/>
      </c>
      <c r="F312" s="22" t="str">
        <f t="shared" si="95"/>
        <v/>
      </c>
      <c r="G312" s="22" t="str">
        <f t="shared" si="96"/>
        <v/>
      </c>
      <c r="H312" s="22" t="str">
        <f t="shared" si="97"/>
        <v/>
      </c>
      <c r="I312" s="22" t="str">
        <f t="shared" si="98"/>
        <v/>
      </c>
      <c r="J312" s="22" t="str">
        <f t="shared" si="99"/>
        <v/>
      </c>
      <c r="K312" s="22" t="str">
        <f t="shared" si="100"/>
        <v/>
      </c>
      <c r="L312" s="22" t="str">
        <f t="shared" si="101"/>
        <v/>
      </c>
      <c r="M312" s="22" t="str">
        <f t="shared" si="102"/>
        <v/>
      </c>
      <c r="N312" s="103"/>
      <c r="O312" s="102"/>
    </row>
    <row r="313" spans="2:15" hidden="1" outlineLevel="1" x14ac:dyDescent="0.2">
      <c r="B313" s="2">
        <f t="shared" si="93"/>
        <v>78</v>
      </c>
      <c r="D313" s="22">
        <f>IF(B313&lt;$D$24,(+CALCULETTE!G710/CALCULETTE!$B$612),0)</f>
        <v>0</v>
      </c>
      <c r="E313" s="22" t="str">
        <f t="shared" si="94"/>
        <v/>
      </c>
      <c r="F313" s="22" t="str">
        <f t="shared" si="95"/>
        <v/>
      </c>
      <c r="G313" s="22" t="str">
        <f t="shared" si="96"/>
        <v/>
      </c>
      <c r="H313" s="22" t="str">
        <f t="shared" si="97"/>
        <v/>
      </c>
      <c r="I313" s="22" t="str">
        <f t="shared" si="98"/>
        <v/>
      </c>
      <c r="J313" s="22" t="str">
        <f t="shared" si="99"/>
        <v/>
      </c>
      <c r="K313" s="22" t="str">
        <f t="shared" si="100"/>
        <v/>
      </c>
      <c r="L313" s="22" t="str">
        <f t="shared" si="101"/>
        <v/>
      </c>
      <c r="M313" s="22" t="str">
        <f t="shared" si="102"/>
        <v/>
      </c>
      <c r="N313" s="103"/>
      <c r="O313" s="102"/>
    </row>
    <row r="314" spans="2:15" hidden="1" outlineLevel="1" x14ac:dyDescent="0.2">
      <c r="B314" s="2">
        <f t="shared" si="93"/>
        <v>79</v>
      </c>
      <c r="D314" s="22">
        <f>IF(B314&lt;$D$24,(+CALCULETTE!G711/CALCULETTE!$B$612),0)</f>
        <v>0</v>
      </c>
      <c r="E314" s="22" t="str">
        <f t="shared" si="94"/>
        <v/>
      </c>
      <c r="F314" s="22" t="str">
        <f t="shared" si="95"/>
        <v/>
      </c>
      <c r="G314" s="22" t="str">
        <f t="shared" si="96"/>
        <v/>
      </c>
      <c r="H314" s="22" t="str">
        <f t="shared" si="97"/>
        <v/>
      </c>
      <c r="I314" s="22" t="str">
        <f t="shared" si="98"/>
        <v/>
      </c>
      <c r="J314" s="22" t="str">
        <f t="shared" si="99"/>
        <v/>
      </c>
      <c r="K314" s="22" t="str">
        <f t="shared" si="100"/>
        <v/>
      </c>
      <c r="L314" s="22" t="str">
        <f t="shared" si="101"/>
        <v/>
      </c>
      <c r="M314" s="22" t="str">
        <f t="shared" si="102"/>
        <v/>
      </c>
      <c r="N314" s="103"/>
      <c r="O314" s="102"/>
    </row>
    <row r="315" spans="2:15" hidden="1" outlineLevel="1" x14ac:dyDescent="0.2">
      <c r="B315" s="2">
        <f t="shared" si="93"/>
        <v>80</v>
      </c>
      <c r="D315" s="22">
        <f>IF(B315&lt;$D$24,(+CALCULETTE!G712/CALCULETTE!$B$612),0)</f>
        <v>0</v>
      </c>
      <c r="E315" s="22" t="str">
        <f t="shared" si="94"/>
        <v/>
      </c>
      <c r="F315" s="22" t="str">
        <f t="shared" si="95"/>
        <v/>
      </c>
      <c r="G315" s="22" t="str">
        <f t="shared" si="96"/>
        <v/>
      </c>
      <c r="H315" s="22" t="str">
        <f t="shared" si="97"/>
        <v/>
      </c>
      <c r="I315" s="22" t="str">
        <f t="shared" si="98"/>
        <v/>
      </c>
      <c r="J315" s="22" t="str">
        <f t="shared" si="99"/>
        <v/>
      </c>
      <c r="K315" s="22" t="str">
        <f t="shared" si="100"/>
        <v/>
      </c>
      <c r="L315" s="22" t="str">
        <f t="shared" si="101"/>
        <v/>
      </c>
      <c r="M315" s="22" t="str">
        <f t="shared" si="102"/>
        <v/>
      </c>
      <c r="N315" s="103"/>
      <c r="O315" s="102"/>
    </row>
    <row r="316" spans="2:15" hidden="1" outlineLevel="1" x14ac:dyDescent="0.2">
      <c r="B316" s="2">
        <f t="shared" si="93"/>
        <v>81</v>
      </c>
      <c r="D316" s="22">
        <f>IF(B316&lt;$D$24,(+CALCULETTE!G713/CALCULETTE!$B$612),0)</f>
        <v>0</v>
      </c>
      <c r="E316" s="22" t="str">
        <f t="shared" si="94"/>
        <v/>
      </c>
      <c r="F316" s="22" t="str">
        <f t="shared" si="95"/>
        <v/>
      </c>
      <c r="G316" s="22" t="str">
        <f t="shared" si="96"/>
        <v/>
      </c>
      <c r="H316" s="22" t="str">
        <f t="shared" si="97"/>
        <v/>
      </c>
      <c r="I316" s="22" t="str">
        <f t="shared" si="98"/>
        <v/>
      </c>
      <c r="J316" s="22" t="str">
        <f t="shared" si="99"/>
        <v/>
      </c>
      <c r="K316" s="22" t="str">
        <f t="shared" si="100"/>
        <v/>
      </c>
      <c r="L316" s="22" t="str">
        <f t="shared" si="101"/>
        <v/>
      </c>
      <c r="M316" s="22" t="str">
        <f t="shared" si="102"/>
        <v/>
      </c>
      <c r="N316" s="103"/>
      <c r="O316" s="102"/>
    </row>
    <row r="317" spans="2:15" hidden="1" outlineLevel="1" x14ac:dyDescent="0.2">
      <c r="B317" s="2">
        <f t="shared" si="93"/>
        <v>82</v>
      </c>
      <c r="D317" s="22">
        <f>IF(B317&lt;$D$24,(+CALCULETTE!G714/CALCULETTE!$B$612),0)</f>
        <v>0</v>
      </c>
      <c r="E317" s="22" t="str">
        <f t="shared" si="94"/>
        <v/>
      </c>
      <c r="F317" s="22" t="str">
        <f t="shared" si="95"/>
        <v/>
      </c>
      <c r="G317" s="22" t="str">
        <f t="shared" si="96"/>
        <v/>
      </c>
      <c r="H317" s="22" t="str">
        <f t="shared" si="97"/>
        <v/>
      </c>
      <c r="I317" s="22" t="str">
        <f t="shared" si="98"/>
        <v/>
      </c>
      <c r="J317" s="22" t="str">
        <f t="shared" si="99"/>
        <v/>
      </c>
      <c r="K317" s="22" t="str">
        <f t="shared" si="100"/>
        <v/>
      </c>
      <c r="L317" s="22" t="str">
        <f t="shared" si="101"/>
        <v/>
      </c>
      <c r="M317" s="22" t="str">
        <f t="shared" si="102"/>
        <v/>
      </c>
      <c r="N317" s="103"/>
      <c r="O317" s="102"/>
    </row>
    <row r="318" spans="2:15" hidden="1" outlineLevel="1" x14ac:dyDescent="0.2">
      <c r="B318" s="2">
        <f t="shared" si="93"/>
        <v>83</v>
      </c>
      <c r="D318" s="22">
        <f>IF(B318&lt;$D$24,(+CALCULETTE!G715/CALCULETTE!$B$612),0)</f>
        <v>0</v>
      </c>
      <c r="E318" s="22" t="str">
        <f t="shared" si="94"/>
        <v/>
      </c>
      <c r="F318" s="22" t="str">
        <f t="shared" si="95"/>
        <v/>
      </c>
      <c r="G318" s="22" t="str">
        <f t="shared" si="96"/>
        <v/>
      </c>
      <c r="H318" s="22" t="str">
        <f t="shared" si="97"/>
        <v/>
      </c>
      <c r="I318" s="22" t="str">
        <f t="shared" si="98"/>
        <v/>
      </c>
      <c r="J318" s="22" t="str">
        <f t="shared" si="99"/>
        <v/>
      </c>
      <c r="K318" s="22" t="str">
        <f t="shared" si="100"/>
        <v/>
      </c>
      <c r="L318" s="22" t="str">
        <f t="shared" si="101"/>
        <v/>
      </c>
      <c r="M318" s="22" t="str">
        <f t="shared" si="102"/>
        <v/>
      </c>
      <c r="N318" s="103"/>
      <c r="O318" s="102"/>
    </row>
    <row r="319" spans="2:15" hidden="1" outlineLevel="1" x14ac:dyDescent="0.2">
      <c r="B319" s="2">
        <f t="shared" si="93"/>
        <v>84</v>
      </c>
      <c r="D319" s="22">
        <f>IF(B319&lt;$D$24,(+CALCULETTE!G716/CALCULETTE!$B$612),0)</f>
        <v>0</v>
      </c>
      <c r="E319" s="22" t="str">
        <f t="shared" si="94"/>
        <v/>
      </c>
      <c r="F319" s="22" t="str">
        <f t="shared" si="95"/>
        <v/>
      </c>
      <c r="G319" s="22" t="str">
        <f t="shared" si="96"/>
        <v/>
      </c>
      <c r="H319" s="22" t="str">
        <f t="shared" si="97"/>
        <v/>
      </c>
      <c r="I319" s="22" t="str">
        <f t="shared" si="98"/>
        <v/>
      </c>
      <c r="J319" s="22" t="str">
        <f t="shared" si="99"/>
        <v/>
      </c>
      <c r="K319" s="22" t="str">
        <f t="shared" si="100"/>
        <v/>
      </c>
      <c r="L319" s="22" t="str">
        <f t="shared" si="101"/>
        <v/>
      </c>
      <c r="M319" s="22" t="str">
        <f t="shared" si="102"/>
        <v/>
      </c>
      <c r="N319" s="103"/>
      <c r="O319" s="102"/>
    </row>
    <row r="320" spans="2:15" hidden="1" outlineLevel="1" x14ac:dyDescent="0.2">
      <c r="B320" s="2">
        <f t="shared" si="93"/>
        <v>85</v>
      </c>
      <c r="D320" s="22">
        <f>IF(B320&lt;$D$24,(+CALCULETTE!G717/CALCULETTE!$B$612),0)</f>
        <v>0</v>
      </c>
      <c r="E320" s="22" t="str">
        <f t="shared" si="94"/>
        <v/>
      </c>
      <c r="F320" s="22" t="str">
        <f t="shared" si="95"/>
        <v/>
      </c>
      <c r="G320" s="22" t="str">
        <f t="shared" si="96"/>
        <v/>
      </c>
      <c r="H320" s="22" t="str">
        <f t="shared" si="97"/>
        <v/>
      </c>
      <c r="I320" s="22" t="str">
        <f t="shared" si="98"/>
        <v/>
      </c>
      <c r="J320" s="22" t="str">
        <f t="shared" si="99"/>
        <v/>
      </c>
      <c r="K320" s="22" t="str">
        <f t="shared" si="100"/>
        <v/>
      </c>
      <c r="L320" s="22" t="str">
        <f t="shared" si="101"/>
        <v/>
      </c>
      <c r="M320" s="22" t="str">
        <f t="shared" si="102"/>
        <v/>
      </c>
      <c r="N320" s="103"/>
      <c r="O320" s="102"/>
    </row>
    <row r="321" spans="2:15" hidden="1" outlineLevel="1" x14ac:dyDescent="0.2">
      <c r="B321" s="2">
        <f t="shared" si="93"/>
        <v>86</v>
      </c>
      <c r="D321" s="22">
        <f>IF(B321&lt;$D$24,(+CALCULETTE!G718/CALCULETTE!$B$612),0)</f>
        <v>0</v>
      </c>
      <c r="E321" s="22" t="str">
        <f t="shared" si="94"/>
        <v/>
      </c>
      <c r="F321" s="22" t="str">
        <f t="shared" si="95"/>
        <v/>
      </c>
      <c r="G321" s="22" t="str">
        <f t="shared" si="96"/>
        <v/>
      </c>
      <c r="H321" s="22" t="str">
        <f t="shared" si="97"/>
        <v/>
      </c>
      <c r="I321" s="22" t="str">
        <f t="shared" si="98"/>
        <v/>
      </c>
      <c r="J321" s="22" t="str">
        <f t="shared" si="99"/>
        <v/>
      </c>
      <c r="K321" s="22" t="str">
        <f t="shared" si="100"/>
        <v/>
      </c>
      <c r="L321" s="22" t="str">
        <f t="shared" si="101"/>
        <v/>
      </c>
      <c r="M321" s="22" t="str">
        <f t="shared" si="102"/>
        <v/>
      </c>
      <c r="N321" s="103"/>
      <c r="O321" s="102"/>
    </row>
    <row r="322" spans="2:15" hidden="1" outlineLevel="1" x14ac:dyDescent="0.2">
      <c r="B322" s="2">
        <f t="shared" si="93"/>
        <v>87</v>
      </c>
      <c r="D322" s="22">
        <f>IF(B322&lt;$D$24,(+CALCULETTE!G719/CALCULETTE!$B$612),0)</f>
        <v>0</v>
      </c>
      <c r="E322" s="22" t="str">
        <f t="shared" si="94"/>
        <v/>
      </c>
      <c r="F322" s="22" t="str">
        <f t="shared" si="95"/>
        <v/>
      </c>
      <c r="G322" s="22" t="str">
        <f t="shared" si="96"/>
        <v/>
      </c>
      <c r="H322" s="22" t="str">
        <f t="shared" si="97"/>
        <v/>
      </c>
      <c r="I322" s="22" t="str">
        <f t="shared" si="98"/>
        <v/>
      </c>
      <c r="J322" s="22" t="str">
        <f t="shared" si="99"/>
        <v/>
      </c>
      <c r="K322" s="22" t="str">
        <f t="shared" si="100"/>
        <v/>
      </c>
      <c r="L322" s="22" t="str">
        <f t="shared" si="101"/>
        <v/>
      </c>
      <c r="M322" s="22" t="str">
        <f t="shared" si="102"/>
        <v/>
      </c>
      <c r="N322" s="103"/>
      <c r="O322" s="102"/>
    </row>
    <row r="323" spans="2:15" hidden="1" outlineLevel="1" x14ac:dyDescent="0.2">
      <c r="B323" s="2">
        <f t="shared" si="93"/>
        <v>88</v>
      </c>
      <c r="D323" s="22">
        <f>IF(B323&lt;$D$24,(+CALCULETTE!G720/CALCULETTE!$B$612),0)</f>
        <v>0</v>
      </c>
      <c r="E323" s="22" t="str">
        <f t="shared" si="94"/>
        <v/>
      </c>
      <c r="F323" s="22" t="str">
        <f t="shared" si="95"/>
        <v/>
      </c>
      <c r="G323" s="22" t="str">
        <f t="shared" si="96"/>
        <v/>
      </c>
      <c r="H323" s="22" t="str">
        <f t="shared" si="97"/>
        <v/>
      </c>
      <c r="I323" s="22" t="str">
        <f t="shared" si="98"/>
        <v/>
      </c>
      <c r="J323" s="22" t="str">
        <f t="shared" si="99"/>
        <v/>
      </c>
      <c r="K323" s="22" t="str">
        <f t="shared" si="100"/>
        <v/>
      </c>
      <c r="L323" s="22" t="str">
        <f t="shared" si="101"/>
        <v/>
      </c>
      <c r="M323" s="22" t="str">
        <f t="shared" si="102"/>
        <v/>
      </c>
      <c r="N323" s="103"/>
      <c r="O323" s="102"/>
    </row>
    <row r="324" spans="2:15" hidden="1" outlineLevel="1" x14ac:dyDescent="0.2">
      <c r="B324" s="2">
        <f t="shared" si="93"/>
        <v>89</v>
      </c>
      <c r="D324" s="22">
        <f>IF(B324&lt;$D$24,(+CALCULETTE!G721/CALCULETTE!$B$612),0)</f>
        <v>0</v>
      </c>
      <c r="E324" s="22" t="str">
        <f t="shared" si="94"/>
        <v/>
      </c>
      <c r="F324" s="22" t="str">
        <f t="shared" si="95"/>
        <v/>
      </c>
      <c r="G324" s="22" t="str">
        <f t="shared" si="96"/>
        <v/>
      </c>
      <c r="H324" s="22" t="str">
        <f t="shared" si="97"/>
        <v/>
      </c>
      <c r="I324" s="22" t="str">
        <f t="shared" si="98"/>
        <v/>
      </c>
      <c r="J324" s="22" t="str">
        <f t="shared" si="99"/>
        <v/>
      </c>
      <c r="K324" s="22" t="str">
        <f t="shared" si="100"/>
        <v/>
      </c>
      <c r="L324" s="22" t="str">
        <f t="shared" si="101"/>
        <v/>
      </c>
      <c r="M324" s="22" t="str">
        <f t="shared" si="102"/>
        <v/>
      </c>
      <c r="N324" s="103"/>
      <c r="O324" s="102"/>
    </row>
    <row r="325" spans="2:15" hidden="1" outlineLevel="1" x14ac:dyDescent="0.2">
      <c r="B325" s="2">
        <f t="shared" si="93"/>
        <v>90</v>
      </c>
      <c r="D325" s="22">
        <f>IF(B325&lt;$D$24,(+CALCULETTE!G722/CALCULETTE!$B$612),0)</f>
        <v>0</v>
      </c>
      <c r="E325" s="22" t="str">
        <f t="shared" si="94"/>
        <v/>
      </c>
      <c r="F325" s="22" t="str">
        <f t="shared" si="95"/>
        <v/>
      </c>
      <c r="G325" s="22" t="str">
        <f t="shared" si="96"/>
        <v/>
      </c>
      <c r="H325" s="22" t="str">
        <f t="shared" si="97"/>
        <v/>
      </c>
      <c r="I325" s="22" t="str">
        <f t="shared" si="98"/>
        <v/>
      </c>
      <c r="J325" s="22" t="str">
        <f t="shared" si="99"/>
        <v/>
      </c>
      <c r="K325" s="22" t="str">
        <f t="shared" si="100"/>
        <v/>
      </c>
      <c r="L325" s="22" t="str">
        <f t="shared" si="101"/>
        <v/>
      </c>
      <c r="M325" s="22" t="str">
        <f t="shared" si="102"/>
        <v/>
      </c>
      <c r="N325" s="103"/>
      <c r="O325" s="102"/>
    </row>
    <row r="326" spans="2:15" hidden="1" outlineLevel="1" x14ac:dyDescent="0.2">
      <c r="B326" s="2">
        <f t="shared" si="93"/>
        <v>91</v>
      </c>
      <c r="D326" s="22">
        <f>IF(B326&lt;$D$24,(+CALCULETTE!G723/CALCULETTE!$B$612),0)</f>
        <v>0</v>
      </c>
      <c r="E326" s="22" t="str">
        <f t="shared" si="94"/>
        <v/>
      </c>
      <c r="F326" s="22" t="str">
        <f t="shared" si="95"/>
        <v/>
      </c>
      <c r="G326" s="22" t="str">
        <f t="shared" si="96"/>
        <v/>
      </c>
      <c r="H326" s="22" t="str">
        <f t="shared" si="97"/>
        <v/>
      </c>
      <c r="I326" s="22" t="str">
        <f t="shared" si="98"/>
        <v/>
      </c>
      <c r="J326" s="22" t="str">
        <f t="shared" si="99"/>
        <v/>
      </c>
      <c r="K326" s="22" t="str">
        <f t="shared" si="100"/>
        <v/>
      </c>
      <c r="L326" s="22" t="str">
        <f t="shared" si="101"/>
        <v/>
      </c>
      <c r="M326" s="22" t="str">
        <f t="shared" si="102"/>
        <v/>
      </c>
      <c r="N326" s="103"/>
      <c r="O326" s="102"/>
    </row>
    <row r="327" spans="2:15" hidden="1" outlineLevel="1" x14ac:dyDescent="0.2">
      <c r="B327" s="2">
        <f t="shared" si="93"/>
        <v>92</v>
      </c>
      <c r="D327" s="22">
        <f>IF(B327&lt;$D$24,(+CALCULETTE!G724/CALCULETTE!$B$612),0)</f>
        <v>0</v>
      </c>
      <c r="E327" s="22" t="str">
        <f t="shared" si="94"/>
        <v/>
      </c>
      <c r="F327" s="22" t="str">
        <f t="shared" si="95"/>
        <v/>
      </c>
      <c r="G327" s="22" t="str">
        <f t="shared" si="96"/>
        <v/>
      </c>
      <c r="H327" s="22" t="str">
        <f t="shared" si="97"/>
        <v/>
      </c>
      <c r="I327" s="22" t="str">
        <f t="shared" si="98"/>
        <v/>
      </c>
      <c r="J327" s="22" t="str">
        <f t="shared" si="99"/>
        <v/>
      </c>
      <c r="K327" s="22" t="str">
        <f t="shared" si="100"/>
        <v/>
      </c>
      <c r="L327" s="22" t="str">
        <f t="shared" si="101"/>
        <v/>
      </c>
      <c r="M327" s="22" t="str">
        <f t="shared" si="102"/>
        <v/>
      </c>
      <c r="N327" s="103"/>
      <c r="O327" s="102"/>
    </row>
    <row r="328" spans="2:15" hidden="1" outlineLevel="1" x14ac:dyDescent="0.2">
      <c r="B328" s="2">
        <f t="shared" si="93"/>
        <v>93</v>
      </c>
      <c r="D328" s="22">
        <f>IF(B328&lt;$D$24,(+CALCULETTE!G725/CALCULETTE!$B$612),0)</f>
        <v>0</v>
      </c>
      <c r="E328" s="22" t="str">
        <f t="shared" si="94"/>
        <v/>
      </c>
      <c r="F328" s="22" t="str">
        <f t="shared" si="95"/>
        <v/>
      </c>
      <c r="G328" s="22" t="str">
        <f t="shared" si="96"/>
        <v/>
      </c>
      <c r="H328" s="22" t="str">
        <f t="shared" si="97"/>
        <v/>
      </c>
      <c r="I328" s="22" t="str">
        <f t="shared" si="98"/>
        <v/>
      </c>
      <c r="J328" s="22" t="str">
        <f t="shared" si="99"/>
        <v/>
      </c>
      <c r="K328" s="22" t="str">
        <f t="shared" si="100"/>
        <v/>
      </c>
      <c r="L328" s="22" t="str">
        <f t="shared" si="101"/>
        <v/>
      </c>
      <c r="M328" s="22" t="str">
        <f t="shared" si="102"/>
        <v/>
      </c>
      <c r="N328" s="103"/>
      <c r="O328" s="102"/>
    </row>
    <row r="329" spans="2:15" hidden="1" outlineLevel="1" x14ac:dyDescent="0.2">
      <c r="B329" s="2">
        <f t="shared" si="93"/>
        <v>94</v>
      </c>
      <c r="D329" s="22">
        <f>IF(B329&lt;$D$24,(+CALCULETTE!G726/CALCULETTE!$B$612),0)</f>
        <v>0</v>
      </c>
      <c r="E329" s="22" t="str">
        <f t="shared" si="94"/>
        <v/>
      </c>
      <c r="F329" s="22" t="str">
        <f t="shared" si="95"/>
        <v/>
      </c>
      <c r="G329" s="22" t="str">
        <f t="shared" si="96"/>
        <v/>
      </c>
      <c r="H329" s="22" t="str">
        <f t="shared" si="97"/>
        <v/>
      </c>
      <c r="I329" s="22" t="str">
        <f t="shared" si="98"/>
        <v/>
      </c>
      <c r="J329" s="22" t="str">
        <f t="shared" si="99"/>
        <v/>
      </c>
      <c r="K329" s="22" t="str">
        <f t="shared" si="100"/>
        <v/>
      </c>
      <c r="L329" s="22" t="str">
        <f t="shared" si="101"/>
        <v/>
      </c>
      <c r="M329" s="22" t="str">
        <f t="shared" si="102"/>
        <v/>
      </c>
      <c r="N329" s="103"/>
      <c r="O329" s="102"/>
    </row>
    <row r="330" spans="2:15" hidden="1" outlineLevel="1" x14ac:dyDescent="0.2">
      <c r="B330" s="2">
        <f t="shared" si="93"/>
        <v>95</v>
      </c>
      <c r="D330" s="22">
        <f>IF(B330&lt;$D$24,(+CALCULETTE!G727/CALCULETTE!$B$612),0)</f>
        <v>0</v>
      </c>
      <c r="E330" s="22" t="str">
        <f t="shared" si="94"/>
        <v/>
      </c>
      <c r="F330" s="22" t="str">
        <f t="shared" si="95"/>
        <v/>
      </c>
      <c r="G330" s="22" t="str">
        <f t="shared" si="96"/>
        <v/>
      </c>
      <c r="H330" s="22" t="str">
        <f t="shared" si="97"/>
        <v/>
      </c>
      <c r="I330" s="22" t="str">
        <f t="shared" si="98"/>
        <v/>
      </c>
      <c r="J330" s="22" t="str">
        <f t="shared" si="99"/>
        <v/>
      </c>
      <c r="K330" s="22" t="str">
        <f t="shared" si="100"/>
        <v/>
      </c>
      <c r="L330" s="22" t="str">
        <f t="shared" si="101"/>
        <v/>
      </c>
      <c r="M330" s="22" t="str">
        <f t="shared" si="102"/>
        <v/>
      </c>
      <c r="N330" s="103"/>
      <c r="O330" s="102"/>
    </row>
    <row r="331" spans="2:15" hidden="1" outlineLevel="1" x14ac:dyDescent="0.2">
      <c r="B331" s="2">
        <f t="shared" si="93"/>
        <v>96</v>
      </c>
      <c r="D331" s="22">
        <f>IF(B331&lt;$D$24,(+CALCULETTE!G728/CALCULETTE!$B$612),0)</f>
        <v>0</v>
      </c>
      <c r="E331" s="22" t="str">
        <f t="shared" si="94"/>
        <v/>
      </c>
      <c r="F331" s="22" t="str">
        <f t="shared" si="95"/>
        <v/>
      </c>
      <c r="G331" s="22" t="str">
        <f t="shared" si="96"/>
        <v/>
      </c>
      <c r="H331" s="22" t="str">
        <f t="shared" si="97"/>
        <v/>
      </c>
      <c r="I331" s="22" t="str">
        <f t="shared" si="98"/>
        <v/>
      </c>
      <c r="J331" s="22" t="str">
        <f t="shared" si="99"/>
        <v/>
      </c>
      <c r="K331" s="22" t="str">
        <f t="shared" si="100"/>
        <v/>
      </c>
      <c r="L331" s="22" t="str">
        <f t="shared" si="101"/>
        <v/>
      </c>
      <c r="M331" s="22" t="str">
        <f t="shared" si="102"/>
        <v/>
      </c>
      <c r="N331" s="103"/>
      <c r="O331" s="102"/>
    </row>
    <row r="332" spans="2:15" hidden="1" outlineLevel="1" x14ac:dyDescent="0.2">
      <c r="B332" s="2">
        <f t="shared" ref="B332:B363" si="103">B331+1</f>
        <v>97</v>
      </c>
      <c r="D332" s="22">
        <f>IF(B332&lt;$D$24,(+CALCULETTE!G729/CALCULETTE!$B$612),0)</f>
        <v>0</v>
      </c>
      <c r="E332" s="22" t="str">
        <f t="shared" ref="E332:E363" si="104">IF(E$1=0,"",IF($B332&lt;E$23,E331+PPMT(E$26/12,$B332,E$23,E$235,-E$27,0),IF($B332=E$23,E331+PPMT(E$26/12,$B332,E$23,E$235,-E$27,0)-E$27,0)))</f>
        <v/>
      </c>
      <c r="F332" s="22" t="str">
        <f t="shared" ref="F332:F363" si="105">IF(F$1=0,"",IF($B332&lt;F$23,F331+PPMT(F$26/12,$B332,F$23,F$235,-F$27,0),IF($B332=F$23,F331+PPMT(F$26/12,$B332,F$23,F$235,-F$27,0)-F$27,0)))</f>
        <v/>
      </c>
      <c r="G332" s="22" t="str">
        <f t="shared" ref="G332:G363" si="106">IF(G$1=0,"",IF($B332&lt;G$23,G331+PPMT(G$26/12,$B332,G$23,G$235,-G$27,0),IF($B332=G$23,G331+PPMT(G$26/12,$B332,G$23,G$235,-G$27,0)-G$27,0)))</f>
        <v/>
      </c>
      <c r="H332" s="22" t="str">
        <f t="shared" ref="H332:H363" si="107">IF(H$1=0,"",IF($B332&lt;H$23,H331+PPMT(H$26/12,$B332,H$23,H$235,-H$27,0),IF($B332=H$23,H331+PPMT(H$26/12,$B332,H$23,H$235,-H$27,0)-H$27,0)))</f>
        <v/>
      </c>
      <c r="I332" s="22" t="str">
        <f t="shared" ref="I332:I363" si="108">IF(I$1=0,"",IF($B332&lt;I$23,I331+PPMT(I$26/12,$B332,I$23,I$235,-I$27,0),IF($B332=I$23,I331+PPMT(I$26/12,$B332,I$23,I$235,-I$27,0)-I$27,0)))</f>
        <v/>
      </c>
      <c r="J332" s="22" t="str">
        <f t="shared" ref="J332:J363" si="109">IF(J$1=0,"",IF($B332&lt;J$23,J331+PPMT(J$26/12,$B332,J$23,J$235,-J$27,0),IF($B332=J$23,J331+PPMT(J$26/12,$B332,J$23,J$235,-J$27,0)-J$27,0)))</f>
        <v/>
      </c>
      <c r="K332" s="22" t="str">
        <f t="shared" ref="K332:K363" si="110">IF(K$1=0,"",IF($B332&lt;K$23,K331+PPMT(K$26/12,$B332,K$23,K$235,-K$27,0),IF($B332=K$23,K331+PPMT(K$26/12,$B332,K$23,K$235,-K$27,0)-K$27,0)))</f>
        <v/>
      </c>
      <c r="L332" s="22" t="str">
        <f t="shared" ref="L332:L363" si="111">IF(L$1=0,"",IF($B332&lt;L$23,L331+PPMT(L$26/12,$B332,L$23,L$235,-L$27,0),IF($B332=L$23,L331+PPMT(L$26/12,$B332,L$23,L$235,-L$27,0)-L$27,0)))</f>
        <v/>
      </c>
      <c r="M332" s="22" t="str">
        <f t="shared" ref="M332:M363" si="112">IF(M$1=0,"",IF($B332&lt;M$23,M331+PPMT(M$26/12,$B332,M$23,M$235,-M$27,0),IF($B332=M$23,M331+PPMT(M$26/12,$B332,M$23,M$235,-M$27,0)-M$27,0)))</f>
        <v/>
      </c>
      <c r="N332" s="103"/>
      <c r="O332" s="102"/>
    </row>
    <row r="333" spans="2:15" hidden="1" outlineLevel="1" x14ac:dyDescent="0.2">
      <c r="B333" s="2">
        <f t="shared" si="103"/>
        <v>98</v>
      </c>
      <c r="D333" s="22">
        <f>IF(B333&lt;$D$24,(+CALCULETTE!G730/CALCULETTE!$B$612),0)</f>
        <v>0</v>
      </c>
      <c r="E333" s="22" t="str">
        <f t="shared" si="104"/>
        <v/>
      </c>
      <c r="F333" s="22" t="str">
        <f t="shared" si="105"/>
        <v/>
      </c>
      <c r="G333" s="22" t="str">
        <f t="shared" si="106"/>
        <v/>
      </c>
      <c r="H333" s="22" t="str">
        <f t="shared" si="107"/>
        <v/>
      </c>
      <c r="I333" s="22" t="str">
        <f t="shared" si="108"/>
        <v/>
      </c>
      <c r="J333" s="22" t="str">
        <f t="shared" si="109"/>
        <v/>
      </c>
      <c r="K333" s="22" t="str">
        <f t="shared" si="110"/>
        <v/>
      </c>
      <c r="L333" s="22" t="str">
        <f t="shared" si="111"/>
        <v/>
      </c>
      <c r="M333" s="22" t="str">
        <f t="shared" si="112"/>
        <v/>
      </c>
      <c r="N333" s="103"/>
      <c r="O333" s="102"/>
    </row>
    <row r="334" spans="2:15" hidden="1" outlineLevel="1" x14ac:dyDescent="0.2">
      <c r="B334" s="2">
        <f t="shared" si="103"/>
        <v>99</v>
      </c>
      <c r="D334" s="22">
        <f>IF(B334&lt;$D$24,(+CALCULETTE!G731/CALCULETTE!$B$612),0)</f>
        <v>0</v>
      </c>
      <c r="E334" s="22" t="str">
        <f t="shared" si="104"/>
        <v/>
      </c>
      <c r="F334" s="22" t="str">
        <f t="shared" si="105"/>
        <v/>
      </c>
      <c r="G334" s="22" t="str">
        <f t="shared" si="106"/>
        <v/>
      </c>
      <c r="H334" s="22" t="str">
        <f t="shared" si="107"/>
        <v/>
      </c>
      <c r="I334" s="22" t="str">
        <f t="shared" si="108"/>
        <v/>
      </c>
      <c r="J334" s="22" t="str">
        <f t="shared" si="109"/>
        <v/>
      </c>
      <c r="K334" s="22" t="str">
        <f t="shared" si="110"/>
        <v/>
      </c>
      <c r="L334" s="22" t="str">
        <f t="shared" si="111"/>
        <v/>
      </c>
      <c r="M334" s="22" t="str">
        <f t="shared" si="112"/>
        <v/>
      </c>
      <c r="N334" s="103"/>
      <c r="O334" s="102"/>
    </row>
    <row r="335" spans="2:15" hidden="1" outlineLevel="1" x14ac:dyDescent="0.2">
      <c r="B335" s="2">
        <f t="shared" si="103"/>
        <v>100</v>
      </c>
      <c r="D335" s="22">
        <f>IF(B335&lt;$D$24,(+CALCULETTE!G732/CALCULETTE!$B$612),0)</f>
        <v>0</v>
      </c>
      <c r="E335" s="22" t="str">
        <f t="shared" si="104"/>
        <v/>
      </c>
      <c r="F335" s="22" t="str">
        <f t="shared" si="105"/>
        <v/>
      </c>
      <c r="G335" s="22" t="str">
        <f t="shared" si="106"/>
        <v/>
      </c>
      <c r="H335" s="22" t="str">
        <f t="shared" si="107"/>
        <v/>
      </c>
      <c r="I335" s="22" t="str">
        <f t="shared" si="108"/>
        <v/>
      </c>
      <c r="J335" s="22" t="str">
        <f t="shared" si="109"/>
        <v/>
      </c>
      <c r="K335" s="22" t="str">
        <f t="shared" si="110"/>
        <v/>
      </c>
      <c r="L335" s="22" t="str">
        <f t="shared" si="111"/>
        <v/>
      </c>
      <c r="M335" s="22" t="str">
        <f t="shared" si="112"/>
        <v/>
      </c>
      <c r="N335" s="103"/>
      <c r="O335" s="102"/>
    </row>
    <row r="336" spans="2:15" hidden="1" outlineLevel="1" x14ac:dyDescent="0.2">
      <c r="B336" s="2">
        <f t="shared" si="103"/>
        <v>101</v>
      </c>
      <c r="D336" s="22">
        <f>IF(B336&lt;$D$24,(+CALCULETTE!G733/CALCULETTE!$B$612),0)</f>
        <v>0</v>
      </c>
      <c r="E336" s="22" t="str">
        <f t="shared" si="104"/>
        <v/>
      </c>
      <c r="F336" s="22" t="str">
        <f t="shared" si="105"/>
        <v/>
      </c>
      <c r="G336" s="22" t="str">
        <f t="shared" si="106"/>
        <v/>
      </c>
      <c r="H336" s="22" t="str">
        <f t="shared" si="107"/>
        <v/>
      </c>
      <c r="I336" s="22" t="str">
        <f t="shared" si="108"/>
        <v/>
      </c>
      <c r="J336" s="22" t="str">
        <f t="shared" si="109"/>
        <v/>
      </c>
      <c r="K336" s="22" t="str">
        <f t="shared" si="110"/>
        <v/>
      </c>
      <c r="L336" s="22" t="str">
        <f t="shared" si="111"/>
        <v/>
      </c>
      <c r="M336" s="22" t="str">
        <f t="shared" si="112"/>
        <v/>
      </c>
      <c r="N336" s="103"/>
      <c r="O336" s="102"/>
    </row>
    <row r="337" spans="2:15" hidden="1" outlineLevel="1" x14ac:dyDescent="0.2">
      <c r="B337" s="2">
        <f t="shared" si="103"/>
        <v>102</v>
      </c>
      <c r="D337" s="22">
        <f>IF(B337&lt;$D$24,(+CALCULETTE!G734/CALCULETTE!$B$612),0)</f>
        <v>0</v>
      </c>
      <c r="E337" s="22" t="str">
        <f t="shared" si="104"/>
        <v/>
      </c>
      <c r="F337" s="22" t="str">
        <f t="shared" si="105"/>
        <v/>
      </c>
      <c r="G337" s="22" t="str">
        <f t="shared" si="106"/>
        <v/>
      </c>
      <c r="H337" s="22" t="str">
        <f t="shared" si="107"/>
        <v/>
      </c>
      <c r="I337" s="22" t="str">
        <f t="shared" si="108"/>
        <v/>
      </c>
      <c r="J337" s="22" t="str">
        <f t="shared" si="109"/>
        <v/>
      </c>
      <c r="K337" s="22" t="str">
        <f t="shared" si="110"/>
        <v/>
      </c>
      <c r="L337" s="22" t="str">
        <f t="shared" si="111"/>
        <v/>
      </c>
      <c r="M337" s="22" t="str">
        <f t="shared" si="112"/>
        <v/>
      </c>
      <c r="N337" s="103"/>
      <c r="O337" s="102"/>
    </row>
    <row r="338" spans="2:15" hidden="1" outlineLevel="1" x14ac:dyDescent="0.2">
      <c r="B338" s="2">
        <f t="shared" si="103"/>
        <v>103</v>
      </c>
      <c r="D338" s="22">
        <f>IF(B338&lt;$D$24,(+CALCULETTE!G735/CALCULETTE!$B$612),0)</f>
        <v>0</v>
      </c>
      <c r="E338" s="22" t="str">
        <f t="shared" si="104"/>
        <v/>
      </c>
      <c r="F338" s="22" t="str">
        <f t="shared" si="105"/>
        <v/>
      </c>
      <c r="G338" s="22" t="str">
        <f t="shared" si="106"/>
        <v/>
      </c>
      <c r="H338" s="22" t="str">
        <f t="shared" si="107"/>
        <v/>
      </c>
      <c r="I338" s="22" t="str">
        <f t="shared" si="108"/>
        <v/>
      </c>
      <c r="J338" s="22" t="str">
        <f t="shared" si="109"/>
        <v/>
      </c>
      <c r="K338" s="22" t="str">
        <f t="shared" si="110"/>
        <v/>
      </c>
      <c r="L338" s="22" t="str">
        <f t="shared" si="111"/>
        <v/>
      </c>
      <c r="M338" s="22" t="str">
        <f t="shared" si="112"/>
        <v/>
      </c>
      <c r="N338" s="103"/>
      <c r="O338" s="102"/>
    </row>
    <row r="339" spans="2:15" hidden="1" outlineLevel="1" x14ac:dyDescent="0.2">
      <c r="B339" s="2">
        <f t="shared" si="103"/>
        <v>104</v>
      </c>
      <c r="D339" s="22">
        <f>IF(B339&lt;$D$24,(+CALCULETTE!G736/CALCULETTE!$B$612),0)</f>
        <v>0</v>
      </c>
      <c r="E339" s="22" t="str">
        <f t="shared" si="104"/>
        <v/>
      </c>
      <c r="F339" s="22" t="str">
        <f t="shared" si="105"/>
        <v/>
      </c>
      <c r="G339" s="22" t="str">
        <f t="shared" si="106"/>
        <v/>
      </c>
      <c r="H339" s="22" t="str">
        <f t="shared" si="107"/>
        <v/>
      </c>
      <c r="I339" s="22" t="str">
        <f t="shared" si="108"/>
        <v/>
      </c>
      <c r="J339" s="22" t="str">
        <f t="shared" si="109"/>
        <v/>
      </c>
      <c r="K339" s="22" t="str">
        <f t="shared" si="110"/>
        <v/>
      </c>
      <c r="L339" s="22" t="str">
        <f t="shared" si="111"/>
        <v/>
      </c>
      <c r="M339" s="22" t="str">
        <f t="shared" si="112"/>
        <v/>
      </c>
      <c r="N339" s="103"/>
      <c r="O339" s="102"/>
    </row>
    <row r="340" spans="2:15" hidden="1" outlineLevel="1" x14ac:dyDescent="0.2">
      <c r="B340" s="2">
        <f t="shared" si="103"/>
        <v>105</v>
      </c>
      <c r="D340" s="22">
        <f>IF(B340&lt;$D$24,(+CALCULETTE!G737/CALCULETTE!$B$612),0)</f>
        <v>0</v>
      </c>
      <c r="E340" s="22" t="str">
        <f t="shared" si="104"/>
        <v/>
      </c>
      <c r="F340" s="22" t="str">
        <f t="shared" si="105"/>
        <v/>
      </c>
      <c r="G340" s="22" t="str">
        <f t="shared" si="106"/>
        <v/>
      </c>
      <c r="H340" s="22" t="str">
        <f t="shared" si="107"/>
        <v/>
      </c>
      <c r="I340" s="22" t="str">
        <f t="shared" si="108"/>
        <v/>
      </c>
      <c r="J340" s="22" t="str">
        <f t="shared" si="109"/>
        <v/>
      </c>
      <c r="K340" s="22" t="str">
        <f t="shared" si="110"/>
        <v/>
      </c>
      <c r="L340" s="22" t="str">
        <f t="shared" si="111"/>
        <v/>
      </c>
      <c r="M340" s="22" t="str">
        <f t="shared" si="112"/>
        <v/>
      </c>
      <c r="N340" s="103"/>
      <c r="O340" s="102"/>
    </row>
    <row r="341" spans="2:15" hidden="1" outlineLevel="1" x14ac:dyDescent="0.2">
      <c r="B341" s="2">
        <f t="shared" si="103"/>
        <v>106</v>
      </c>
      <c r="D341" s="22">
        <f>IF(B341&lt;$D$24,(+CALCULETTE!G738/CALCULETTE!$B$612),0)</f>
        <v>0</v>
      </c>
      <c r="E341" s="22" t="str">
        <f t="shared" si="104"/>
        <v/>
      </c>
      <c r="F341" s="22" t="str">
        <f t="shared" si="105"/>
        <v/>
      </c>
      <c r="G341" s="22" t="str">
        <f t="shared" si="106"/>
        <v/>
      </c>
      <c r="H341" s="22" t="str">
        <f t="shared" si="107"/>
        <v/>
      </c>
      <c r="I341" s="22" t="str">
        <f t="shared" si="108"/>
        <v/>
      </c>
      <c r="J341" s="22" t="str">
        <f t="shared" si="109"/>
        <v/>
      </c>
      <c r="K341" s="22" t="str">
        <f t="shared" si="110"/>
        <v/>
      </c>
      <c r="L341" s="22" t="str">
        <f t="shared" si="111"/>
        <v/>
      </c>
      <c r="M341" s="22" t="str">
        <f t="shared" si="112"/>
        <v/>
      </c>
      <c r="N341" s="103"/>
      <c r="O341" s="102"/>
    </row>
    <row r="342" spans="2:15" hidden="1" outlineLevel="1" x14ac:dyDescent="0.2">
      <c r="B342" s="2">
        <f t="shared" si="103"/>
        <v>107</v>
      </c>
      <c r="D342" s="22">
        <f>IF(B342&lt;$D$24,(+CALCULETTE!G739/CALCULETTE!$B$612),0)</f>
        <v>0</v>
      </c>
      <c r="E342" s="22" t="str">
        <f t="shared" si="104"/>
        <v/>
      </c>
      <c r="F342" s="22" t="str">
        <f t="shared" si="105"/>
        <v/>
      </c>
      <c r="G342" s="22" t="str">
        <f t="shared" si="106"/>
        <v/>
      </c>
      <c r="H342" s="22" t="str">
        <f t="shared" si="107"/>
        <v/>
      </c>
      <c r="I342" s="22" t="str">
        <f t="shared" si="108"/>
        <v/>
      </c>
      <c r="J342" s="22" t="str">
        <f t="shared" si="109"/>
        <v/>
      </c>
      <c r="K342" s="22" t="str">
        <f t="shared" si="110"/>
        <v/>
      </c>
      <c r="L342" s="22" t="str">
        <f t="shared" si="111"/>
        <v/>
      </c>
      <c r="M342" s="22" t="str">
        <f t="shared" si="112"/>
        <v/>
      </c>
      <c r="N342" s="103"/>
      <c r="O342" s="102"/>
    </row>
    <row r="343" spans="2:15" hidden="1" outlineLevel="1" x14ac:dyDescent="0.2">
      <c r="B343" s="2">
        <f t="shared" si="103"/>
        <v>108</v>
      </c>
      <c r="D343" s="22">
        <f>IF(B343&lt;$D$24,(+CALCULETTE!G740/CALCULETTE!$B$612),0)</f>
        <v>0</v>
      </c>
      <c r="E343" s="22" t="str">
        <f t="shared" si="104"/>
        <v/>
      </c>
      <c r="F343" s="22" t="str">
        <f t="shared" si="105"/>
        <v/>
      </c>
      <c r="G343" s="22" t="str">
        <f t="shared" si="106"/>
        <v/>
      </c>
      <c r="H343" s="22" t="str">
        <f t="shared" si="107"/>
        <v/>
      </c>
      <c r="I343" s="22" t="str">
        <f t="shared" si="108"/>
        <v/>
      </c>
      <c r="J343" s="22" t="str">
        <f t="shared" si="109"/>
        <v/>
      </c>
      <c r="K343" s="22" t="str">
        <f t="shared" si="110"/>
        <v/>
      </c>
      <c r="L343" s="22" t="str">
        <f t="shared" si="111"/>
        <v/>
      </c>
      <c r="M343" s="22" t="str">
        <f t="shared" si="112"/>
        <v/>
      </c>
      <c r="N343" s="103"/>
      <c r="O343" s="102"/>
    </row>
    <row r="344" spans="2:15" hidden="1" outlineLevel="1" x14ac:dyDescent="0.2">
      <c r="B344" s="2">
        <f t="shared" si="103"/>
        <v>109</v>
      </c>
      <c r="D344" s="22">
        <f>IF(B344&lt;$D$24,(+CALCULETTE!G741/CALCULETTE!$B$612),0)</f>
        <v>0</v>
      </c>
      <c r="E344" s="22" t="str">
        <f t="shared" si="104"/>
        <v/>
      </c>
      <c r="F344" s="22" t="str">
        <f t="shared" si="105"/>
        <v/>
      </c>
      <c r="G344" s="22" t="str">
        <f t="shared" si="106"/>
        <v/>
      </c>
      <c r="H344" s="22" t="str">
        <f t="shared" si="107"/>
        <v/>
      </c>
      <c r="I344" s="22" t="str">
        <f t="shared" si="108"/>
        <v/>
      </c>
      <c r="J344" s="22" t="str">
        <f t="shared" si="109"/>
        <v/>
      </c>
      <c r="K344" s="22" t="str">
        <f t="shared" si="110"/>
        <v/>
      </c>
      <c r="L344" s="22" t="str">
        <f t="shared" si="111"/>
        <v/>
      </c>
      <c r="M344" s="22" t="str">
        <f t="shared" si="112"/>
        <v/>
      </c>
      <c r="N344" s="103"/>
      <c r="O344" s="102"/>
    </row>
    <row r="345" spans="2:15" hidden="1" outlineLevel="1" x14ac:dyDescent="0.2">
      <c r="B345" s="2">
        <f t="shared" si="103"/>
        <v>110</v>
      </c>
      <c r="D345" s="22">
        <f>IF(B345&lt;$D$24,(+CALCULETTE!G742/CALCULETTE!$B$612),0)</f>
        <v>0</v>
      </c>
      <c r="E345" s="22" t="str">
        <f t="shared" si="104"/>
        <v/>
      </c>
      <c r="F345" s="22" t="str">
        <f t="shared" si="105"/>
        <v/>
      </c>
      <c r="G345" s="22" t="str">
        <f t="shared" si="106"/>
        <v/>
      </c>
      <c r="H345" s="22" t="str">
        <f t="shared" si="107"/>
        <v/>
      </c>
      <c r="I345" s="22" t="str">
        <f t="shared" si="108"/>
        <v/>
      </c>
      <c r="J345" s="22" t="str">
        <f t="shared" si="109"/>
        <v/>
      </c>
      <c r="K345" s="22" t="str">
        <f t="shared" si="110"/>
        <v/>
      </c>
      <c r="L345" s="22" t="str">
        <f t="shared" si="111"/>
        <v/>
      </c>
      <c r="M345" s="22" t="str">
        <f t="shared" si="112"/>
        <v/>
      </c>
      <c r="N345" s="103"/>
      <c r="O345" s="102"/>
    </row>
    <row r="346" spans="2:15" hidden="1" outlineLevel="1" x14ac:dyDescent="0.2">
      <c r="B346" s="2">
        <f t="shared" si="103"/>
        <v>111</v>
      </c>
      <c r="D346" s="22">
        <f>IF(B346&lt;$D$24,(+CALCULETTE!G743/CALCULETTE!$B$612),0)</f>
        <v>0</v>
      </c>
      <c r="E346" s="22" t="str">
        <f t="shared" si="104"/>
        <v/>
      </c>
      <c r="F346" s="22" t="str">
        <f t="shared" si="105"/>
        <v/>
      </c>
      <c r="G346" s="22" t="str">
        <f t="shared" si="106"/>
        <v/>
      </c>
      <c r="H346" s="22" t="str">
        <f t="shared" si="107"/>
        <v/>
      </c>
      <c r="I346" s="22" t="str">
        <f t="shared" si="108"/>
        <v/>
      </c>
      <c r="J346" s="22" t="str">
        <f t="shared" si="109"/>
        <v/>
      </c>
      <c r="K346" s="22" t="str">
        <f t="shared" si="110"/>
        <v/>
      </c>
      <c r="L346" s="22" t="str">
        <f t="shared" si="111"/>
        <v/>
      </c>
      <c r="M346" s="22" t="str">
        <f t="shared" si="112"/>
        <v/>
      </c>
      <c r="N346" s="103"/>
      <c r="O346" s="102"/>
    </row>
    <row r="347" spans="2:15" hidden="1" outlineLevel="1" x14ac:dyDescent="0.2">
      <c r="B347" s="2">
        <f t="shared" si="103"/>
        <v>112</v>
      </c>
      <c r="D347" s="22">
        <f>IF(B347&lt;$D$24,(+CALCULETTE!G744/CALCULETTE!$B$612),0)</f>
        <v>0</v>
      </c>
      <c r="E347" s="22" t="str">
        <f t="shared" si="104"/>
        <v/>
      </c>
      <c r="F347" s="22" t="str">
        <f t="shared" si="105"/>
        <v/>
      </c>
      <c r="G347" s="22" t="str">
        <f t="shared" si="106"/>
        <v/>
      </c>
      <c r="H347" s="22" t="str">
        <f t="shared" si="107"/>
        <v/>
      </c>
      <c r="I347" s="22" t="str">
        <f t="shared" si="108"/>
        <v/>
      </c>
      <c r="J347" s="22" t="str">
        <f t="shared" si="109"/>
        <v/>
      </c>
      <c r="K347" s="22" t="str">
        <f t="shared" si="110"/>
        <v/>
      </c>
      <c r="L347" s="22" t="str">
        <f t="shared" si="111"/>
        <v/>
      </c>
      <c r="M347" s="22" t="str">
        <f t="shared" si="112"/>
        <v/>
      </c>
      <c r="N347" s="103"/>
      <c r="O347" s="102"/>
    </row>
    <row r="348" spans="2:15" hidden="1" outlineLevel="1" x14ac:dyDescent="0.2">
      <c r="B348" s="2">
        <f t="shared" si="103"/>
        <v>113</v>
      </c>
      <c r="D348" s="22">
        <f>IF(B348&lt;$D$24,(+CALCULETTE!G745/CALCULETTE!$B$612),0)</f>
        <v>0</v>
      </c>
      <c r="E348" s="22" t="str">
        <f t="shared" si="104"/>
        <v/>
      </c>
      <c r="F348" s="22" t="str">
        <f t="shared" si="105"/>
        <v/>
      </c>
      <c r="G348" s="22" t="str">
        <f t="shared" si="106"/>
        <v/>
      </c>
      <c r="H348" s="22" t="str">
        <f t="shared" si="107"/>
        <v/>
      </c>
      <c r="I348" s="22" t="str">
        <f t="shared" si="108"/>
        <v/>
      </c>
      <c r="J348" s="22" t="str">
        <f t="shared" si="109"/>
        <v/>
      </c>
      <c r="K348" s="22" t="str">
        <f t="shared" si="110"/>
        <v/>
      </c>
      <c r="L348" s="22" t="str">
        <f t="shared" si="111"/>
        <v/>
      </c>
      <c r="M348" s="22" t="str">
        <f t="shared" si="112"/>
        <v/>
      </c>
      <c r="N348" s="103"/>
      <c r="O348" s="102"/>
    </row>
    <row r="349" spans="2:15" hidden="1" outlineLevel="1" x14ac:dyDescent="0.2">
      <c r="B349" s="2">
        <f t="shared" si="103"/>
        <v>114</v>
      </c>
      <c r="D349" s="22">
        <f>IF(B349&lt;$D$24,(+CALCULETTE!G746/CALCULETTE!$B$612),0)</f>
        <v>0</v>
      </c>
      <c r="E349" s="22" t="str">
        <f t="shared" si="104"/>
        <v/>
      </c>
      <c r="F349" s="22" t="str">
        <f t="shared" si="105"/>
        <v/>
      </c>
      <c r="G349" s="22" t="str">
        <f t="shared" si="106"/>
        <v/>
      </c>
      <c r="H349" s="22" t="str">
        <f t="shared" si="107"/>
        <v/>
      </c>
      <c r="I349" s="22" t="str">
        <f t="shared" si="108"/>
        <v/>
      </c>
      <c r="J349" s="22" t="str">
        <f t="shared" si="109"/>
        <v/>
      </c>
      <c r="K349" s="22" t="str">
        <f t="shared" si="110"/>
        <v/>
      </c>
      <c r="L349" s="22" t="str">
        <f t="shared" si="111"/>
        <v/>
      </c>
      <c r="M349" s="22" t="str">
        <f t="shared" si="112"/>
        <v/>
      </c>
      <c r="N349" s="103"/>
      <c r="O349" s="102"/>
    </row>
    <row r="350" spans="2:15" hidden="1" outlineLevel="1" x14ac:dyDescent="0.2">
      <c r="B350" s="2">
        <f t="shared" si="103"/>
        <v>115</v>
      </c>
      <c r="D350" s="22">
        <f>IF(B350&lt;$D$24,(+CALCULETTE!G747/CALCULETTE!$B$612),0)</f>
        <v>0</v>
      </c>
      <c r="E350" s="22" t="str">
        <f t="shared" si="104"/>
        <v/>
      </c>
      <c r="F350" s="22" t="str">
        <f t="shared" si="105"/>
        <v/>
      </c>
      <c r="G350" s="22" t="str">
        <f t="shared" si="106"/>
        <v/>
      </c>
      <c r="H350" s="22" t="str">
        <f t="shared" si="107"/>
        <v/>
      </c>
      <c r="I350" s="22" t="str">
        <f t="shared" si="108"/>
        <v/>
      </c>
      <c r="J350" s="22" t="str">
        <f t="shared" si="109"/>
        <v/>
      </c>
      <c r="K350" s="22" t="str">
        <f t="shared" si="110"/>
        <v/>
      </c>
      <c r="L350" s="22" t="str">
        <f t="shared" si="111"/>
        <v/>
      </c>
      <c r="M350" s="22" t="str">
        <f t="shared" si="112"/>
        <v/>
      </c>
      <c r="N350" s="103"/>
      <c r="O350" s="102"/>
    </row>
    <row r="351" spans="2:15" hidden="1" outlineLevel="1" x14ac:dyDescent="0.2">
      <c r="B351" s="2">
        <f t="shared" si="103"/>
        <v>116</v>
      </c>
      <c r="D351" s="22">
        <f>IF(B351&lt;$D$24,(+CALCULETTE!G748/CALCULETTE!$B$612),0)</f>
        <v>0</v>
      </c>
      <c r="E351" s="22" t="str">
        <f t="shared" si="104"/>
        <v/>
      </c>
      <c r="F351" s="22" t="str">
        <f t="shared" si="105"/>
        <v/>
      </c>
      <c r="G351" s="22" t="str">
        <f t="shared" si="106"/>
        <v/>
      </c>
      <c r="H351" s="22" t="str">
        <f t="shared" si="107"/>
        <v/>
      </c>
      <c r="I351" s="22" t="str">
        <f t="shared" si="108"/>
        <v/>
      </c>
      <c r="J351" s="22" t="str">
        <f t="shared" si="109"/>
        <v/>
      </c>
      <c r="K351" s="22" t="str">
        <f t="shared" si="110"/>
        <v/>
      </c>
      <c r="L351" s="22" t="str">
        <f t="shared" si="111"/>
        <v/>
      </c>
      <c r="M351" s="22" t="str">
        <f t="shared" si="112"/>
        <v/>
      </c>
      <c r="N351" s="103"/>
      <c r="O351" s="102"/>
    </row>
    <row r="352" spans="2:15" hidden="1" outlineLevel="1" x14ac:dyDescent="0.2">
      <c r="B352" s="2">
        <f t="shared" si="103"/>
        <v>117</v>
      </c>
      <c r="D352" s="22">
        <f>IF(B352&lt;$D$24,(+CALCULETTE!G749/CALCULETTE!$B$612),0)</f>
        <v>0</v>
      </c>
      <c r="E352" s="22" t="str">
        <f t="shared" si="104"/>
        <v/>
      </c>
      <c r="F352" s="22" t="str">
        <f t="shared" si="105"/>
        <v/>
      </c>
      <c r="G352" s="22" t="str">
        <f t="shared" si="106"/>
        <v/>
      </c>
      <c r="H352" s="22" t="str">
        <f t="shared" si="107"/>
        <v/>
      </c>
      <c r="I352" s="22" t="str">
        <f t="shared" si="108"/>
        <v/>
      </c>
      <c r="J352" s="22" t="str">
        <f t="shared" si="109"/>
        <v/>
      </c>
      <c r="K352" s="22" t="str">
        <f t="shared" si="110"/>
        <v/>
      </c>
      <c r="L352" s="22" t="str">
        <f t="shared" si="111"/>
        <v/>
      </c>
      <c r="M352" s="22" t="str">
        <f t="shared" si="112"/>
        <v/>
      </c>
      <c r="N352" s="103"/>
      <c r="O352" s="102"/>
    </row>
    <row r="353" spans="2:15" hidden="1" outlineLevel="1" x14ac:dyDescent="0.2">
      <c r="B353" s="2">
        <f t="shared" si="103"/>
        <v>118</v>
      </c>
      <c r="D353" s="22">
        <f>IF(B353&lt;$D$24,(+CALCULETTE!G750/CALCULETTE!$B$612),0)</f>
        <v>0</v>
      </c>
      <c r="E353" s="22" t="str">
        <f t="shared" si="104"/>
        <v/>
      </c>
      <c r="F353" s="22" t="str">
        <f t="shared" si="105"/>
        <v/>
      </c>
      <c r="G353" s="22" t="str">
        <f t="shared" si="106"/>
        <v/>
      </c>
      <c r="H353" s="22" t="str">
        <f t="shared" si="107"/>
        <v/>
      </c>
      <c r="I353" s="22" t="str">
        <f t="shared" si="108"/>
        <v/>
      </c>
      <c r="J353" s="22" t="str">
        <f t="shared" si="109"/>
        <v/>
      </c>
      <c r="K353" s="22" t="str">
        <f t="shared" si="110"/>
        <v/>
      </c>
      <c r="L353" s="22" t="str">
        <f t="shared" si="111"/>
        <v/>
      </c>
      <c r="M353" s="22" t="str">
        <f t="shared" si="112"/>
        <v/>
      </c>
      <c r="N353" s="103"/>
      <c r="O353" s="102"/>
    </row>
    <row r="354" spans="2:15" hidden="1" outlineLevel="1" x14ac:dyDescent="0.2">
      <c r="B354" s="2">
        <f t="shared" si="103"/>
        <v>119</v>
      </c>
      <c r="D354" s="22">
        <f>IF(B354&lt;$D$24,(+CALCULETTE!G751/CALCULETTE!$B$612),0)</f>
        <v>0</v>
      </c>
      <c r="E354" s="22" t="str">
        <f t="shared" si="104"/>
        <v/>
      </c>
      <c r="F354" s="22" t="str">
        <f t="shared" si="105"/>
        <v/>
      </c>
      <c r="G354" s="22" t="str">
        <f t="shared" si="106"/>
        <v/>
      </c>
      <c r="H354" s="22" t="str">
        <f t="shared" si="107"/>
        <v/>
      </c>
      <c r="I354" s="22" t="str">
        <f t="shared" si="108"/>
        <v/>
      </c>
      <c r="J354" s="22" t="str">
        <f t="shared" si="109"/>
        <v/>
      </c>
      <c r="K354" s="22" t="str">
        <f t="shared" si="110"/>
        <v/>
      </c>
      <c r="L354" s="22" t="str">
        <f t="shared" si="111"/>
        <v/>
      </c>
      <c r="M354" s="22" t="str">
        <f t="shared" si="112"/>
        <v/>
      </c>
      <c r="N354" s="103"/>
      <c r="O354" s="102"/>
    </row>
    <row r="355" spans="2:15" hidden="1" outlineLevel="1" x14ac:dyDescent="0.2">
      <c r="B355" s="2">
        <f t="shared" si="103"/>
        <v>120</v>
      </c>
      <c r="D355" s="22">
        <f>IF(B355&lt;$D$24,(+CALCULETTE!G752/CALCULETTE!$B$612),0)</f>
        <v>0</v>
      </c>
      <c r="E355" s="22" t="str">
        <f t="shared" si="104"/>
        <v/>
      </c>
      <c r="F355" s="22" t="str">
        <f t="shared" si="105"/>
        <v/>
      </c>
      <c r="G355" s="22" t="str">
        <f t="shared" si="106"/>
        <v/>
      </c>
      <c r="H355" s="22" t="str">
        <f t="shared" si="107"/>
        <v/>
      </c>
      <c r="I355" s="22" t="str">
        <f t="shared" si="108"/>
        <v/>
      </c>
      <c r="J355" s="22" t="str">
        <f t="shared" si="109"/>
        <v/>
      </c>
      <c r="K355" s="22" t="str">
        <f t="shared" si="110"/>
        <v/>
      </c>
      <c r="L355" s="22" t="str">
        <f t="shared" si="111"/>
        <v/>
      </c>
      <c r="M355" s="22" t="str">
        <f t="shared" si="112"/>
        <v/>
      </c>
      <c r="N355" s="103"/>
      <c r="O355" s="102"/>
    </row>
    <row r="356" spans="2:15" hidden="1" outlineLevel="1" x14ac:dyDescent="0.2">
      <c r="B356" s="2">
        <f t="shared" si="103"/>
        <v>121</v>
      </c>
      <c r="D356" s="22">
        <f>IF(B356&lt;$D$24,(+CALCULETTE!G753/CALCULETTE!$B$612),0)</f>
        <v>0</v>
      </c>
      <c r="E356" s="22" t="str">
        <f t="shared" si="104"/>
        <v/>
      </c>
      <c r="F356" s="22" t="str">
        <f t="shared" si="105"/>
        <v/>
      </c>
      <c r="G356" s="22" t="str">
        <f t="shared" si="106"/>
        <v/>
      </c>
      <c r="H356" s="22" t="str">
        <f t="shared" si="107"/>
        <v/>
      </c>
      <c r="I356" s="22" t="str">
        <f t="shared" si="108"/>
        <v/>
      </c>
      <c r="J356" s="22" t="str">
        <f t="shared" si="109"/>
        <v/>
      </c>
      <c r="K356" s="22" t="str">
        <f t="shared" si="110"/>
        <v/>
      </c>
      <c r="L356" s="22" t="str">
        <f t="shared" si="111"/>
        <v/>
      </c>
      <c r="M356" s="22" t="str">
        <f t="shared" si="112"/>
        <v/>
      </c>
      <c r="N356" s="103"/>
      <c r="O356" s="102"/>
    </row>
    <row r="357" spans="2:15" hidden="1" outlineLevel="1" x14ac:dyDescent="0.2">
      <c r="B357" s="2">
        <f t="shared" si="103"/>
        <v>122</v>
      </c>
      <c r="D357" s="22">
        <f>IF(B357&lt;$D$24,(+CALCULETTE!G754/CALCULETTE!$B$612),0)</f>
        <v>0</v>
      </c>
      <c r="E357" s="22" t="str">
        <f t="shared" si="104"/>
        <v/>
      </c>
      <c r="F357" s="22" t="str">
        <f t="shared" si="105"/>
        <v/>
      </c>
      <c r="G357" s="22" t="str">
        <f t="shared" si="106"/>
        <v/>
      </c>
      <c r="H357" s="22" t="str">
        <f t="shared" si="107"/>
        <v/>
      </c>
      <c r="I357" s="22" t="str">
        <f t="shared" si="108"/>
        <v/>
      </c>
      <c r="J357" s="22" t="str">
        <f t="shared" si="109"/>
        <v/>
      </c>
      <c r="K357" s="22" t="str">
        <f t="shared" si="110"/>
        <v/>
      </c>
      <c r="L357" s="22" t="str">
        <f t="shared" si="111"/>
        <v/>
      </c>
      <c r="M357" s="22" t="str">
        <f t="shared" si="112"/>
        <v/>
      </c>
      <c r="N357" s="103"/>
      <c r="O357" s="102"/>
    </row>
    <row r="358" spans="2:15" hidden="1" outlineLevel="1" x14ac:dyDescent="0.2">
      <c r="B358" s="2">
        <f t="shared" si="103"/>
        <v>123</v>
      </c>
      <c r="D358" s="22">
        <f>IF(B358&lt;$D$24,(+CALCULETTE!G755/CALCULETTE!$B$612),0)</f>
        <v>0</v>
      </c>
      <c r="E358" s="22" t="str">
        <f t="shared" si="104"/>
        <v/>
      </c>
      <c r="F358" s="22" t="str">
        <f t="shared" si="105"/>
        <v/>
      </c>
      <c r="G358" s="22" t="str">
        <f t="shared" si="106"/>
        <v/>
      </c>
      <c r="H358" s="22" t="str">
        <f t="shared" si="107"/>
        <v/>
      </c>
      <c r="I358" s="22" t="str">
        <f t="shared" si="108"/>
        <v/>
      </c>
      <c r="J358" s="22" t="str">
        <f t="shared" si="109"/>
        <v/>
      </c>
      <c r="K358" s="22" t="str">
        <f t="shared" si="110"/>
        <v/>
      </c>
      <c r="L358" s="22" t="str">
        <f t="shared" si="111"/>
        <v/>
      </c>
      <c r="M358" s="22" t="str">
        <f t="shared" si="112"/>
        <v/>
      </c>
      <c r="N358" s="103"/>
      <c r="O358" s="102"/>
    </row>
    <row r="359" spans="2:15" hidden="1" outlineLevel="1" x14ac:dyDescent="0.2">
      <c r="B359" s="2">
        <f t="shared" si="103"/>
        <v>124</v>
      </c>
      <c r="D359" s="22">
        <f>IF(B359&lt;$D$24,(+CALCULETTE!G756/CALCULETTE!$B$612),0)</f>
        <v>0</v>
      </c>
      <c r="E359" s="22" t="str">
        <f t="shared" si="104"/>
        <v/>
      </c>
      <c r="F359" s="22" t="str">
        <f t="shared" si="105"/>
        <v/>
      </c>
      <c r="G359" s="22" t="str">
        <f t="shared" si="106"/>
        <v/>
      </c>
      <c r="H359" s="22" t="str">
        <f t="shared" si="107"/>
        <v/>
      </c>
      <c r="I359" s="22" t="str">
        <f t="shared" si="108"/>
        <v/>
      </c>
      <c r="J359" s="22" t="str">
        <f t="shared" si="109"/>
        <v/>
      </c>
      <c r="K359" s="22" t="str">
        <f t="shared" si="110"/>
        <v/>
      </c>
      <c r="L359" s="22" t="str">
        <f t="shared" si="111"/>
        <v/>
      </c>
      <c r="M359" s="22" t="str">
        <f t="shared" si="112"/>
        <v/>
      </c>
      <c r="N359" s="103"/>
      <c r="O359" s="102"/>
    </row>
    <row r="360" spans="2:15" hidden="1" outlineLevel="1" x14ac:dyDescent="0.2">
      <c r="B360" s="2">
        <f t="shared" si="103"/>
        <v>125</v>
      </c>
      <c r="D360" s="22">
        <f>IF(B360&lt;$D$24,(+CALCULETTE!G757/CALCULETTE!$B$612),0)</f>
        <v>0</v>
      </c>
      <c r="E360" s="22" t="str">
        <f t="shared" si="104"/>
        <v/>
      </c>
      <c r="F360" s="22" t="str">
        <f t="shared" si="105"/>
        <v/>
      </c>
      <c r="G360" s="22" t="str">
        <f t="shared" si="106"/>
        <v/>
      </c>
      <c r="H360" s="22" t="str">
        <f t="shared" si="107"/>
        <v/>
      </c>
      <c r="I360" s="22" t="str">
        <f t="shared" si="108"/>
        <v/>
      </c>
      <c r="J360" s="22" t="str">
        <f t="shared" si="109"/>
        <v/>
      </c>
      <c r="K360" s="22" t="str">
        <f t="shared" si="110"/>
        <v/>
      </c>
      <c r="L360" s="22" t="str">
        <f t="shared" si="111"/>
        <v/>
      </c>
      <c r="M360" s="22" t="str">
        <f t="shared" si="112"/>
        <v/>
      </c>
      <c r="N360" s="103"/>
      <c r="O360" s="102"/>
    </row>
    <row r="361" spans="2:15" hidden="1" outlineLevel="1" x14ac:dyDescent="0.2">
      <c r="B361" s="2">
        <f t="shared" si="103"/>
        <v>126</v>
      </c>
      <c r="D361" s="22">
        <f>IF(B361&lt;$D$24,(+CALCULETTE!G758/CALCULETTE!$B$612),0)</f>
        <v>0</v>
      </c>
      <c r="E361" s="22" t="str">
        <f t="shared" si="104"/>
        <v/>
      </c>
      <c r="F361" s="22" t="str">
        <f t="shared" si="105"/>
        <v/>
      </c>
      <c r="G361" s="22" t="str">
        <f t="shared" si="106"/>
        <v/>
      </c>
      <c r="H361" s="22" t="str">
        <f t="shared" si="107"/>
        <v/>
      </c>
      <c r="I361" s="22" t="str">
        <f t="shared" si="108"/>
        <v/>
      </c>
      <c r="J361" s="22" t="str">
        <f t="shared" si="109"/>
        <v/>
      </c>
      <c r="K361" s="22" t="str">
        <f t="shared" si="110"/>
        <v/>
      </c>
      <c r="L361" s="22" t="str">
        <f t="shared" si="111"/>
        <v/>
      </c>
      <c r="M361" s="22" t="str">
        <f t="shared" si="112"/>
        <v/>
      </c>
      <c r="N361" s="103"/>
      <c r="O361" s="102"/>
    </row>
    <row r="362" spans="2:15" hidden="1" outlineLevel="1" x14ac:dyDescent="0.2">
      <c r="B362" s="2">
        <f t="shared" si="103"/>
        <v>127</v>
      </c>
      <c r="D362" s="22">
        <f>IF(B362&lt;$D$24,(+CALCULETTE!G759/CALCULETTE!$B$612),0)</f>
        <v>0</v>
      </c>
      <c r="E362" s="22" t="str">
        <f t="shared" si="104"/>
        <v/>
      </c>
      <c r="F362" s="22" t="str">
        <f t="shared" si="105"/>
        <v/>
      </c>
      <c r="G362" s="22" t="str">
        <f t="shared" si="106"/>
        <v/>
      </c>
      <c r="H362" s="22" t="str">
        <f t="shared" si="107"/>
        <v/>
      </c>
      <c r="I362" s="22" t="str">
        <f t="shared" si="108"/>
        <v/>
      </c>
      <c r="J362" s="22" t="str">
        <f t="shared" si="109"/>
        <v/>
      </c>
      <c r="K362" s="22" t="str">
        <f t="shared" si="110"/>
        <v/>
      </c>
      <c r="L362" s="22" t="str">
        <f t="shared" si="111"/>
        <v/>
      </c>
      <c r="M362" s="22" t="str">
        <f t="shared" si="112"/>
        <v/>
      </c>
      <c r="N362" s="103"/>
      <c r="O362" s="102"/>
    </row>
    <row r="363" spans="2:15" hidden="1" outlineLevel="1" x14ac:dyDescent="0.2">
      <c r="B363" s="2">
        <f t="shared" si="103"/>
        <v>128</v>
      </c>
      <c r="D363" s="22">
        <f>IF(B363&lt;$D$24,(+CALCULETTE!G760/CALCULETTE!$B$612),0)</f>
        <v>0</v>
      </c>
      <c r="E363" s="22" t="str">
        <f t="shared" si="104"/>
        <v/>
      </c>
      <c r="F363" s="22" t="str">
        <f t="shared" si="105"/>
        <v/>
      </c>
      <c r="G363" s="22" t="str">
        <f t="shared" si="106"/>
        <v/>
      </c>
      <c r="H363" s="22" t="str">
        <f t="shared" si="107"/>
        <v/>
      </c>
      <c r="I363" s="22" t="str">
        <f t="shared" si="108"/>
        <v/>
      </c>
      <c r="J363" s="22" t="str">
        <f t="shared" si="109"/>
        <v/>
      </c>
      <c r="K363" s="22" t="str">
        <f t="shared" si="110"/>
        <v/>
      </c>
      <c r="L363" s="22" t="str">
        <f t="shared" si="111"/>
        <v/>
      </c>
      <c r="M363" s="22" t="str">
        <f t="shared" si="112"/>
        <v/>
      </c>
      <c r="N363" s="103"/>
      <c r="O363" s="102"/>
    </row>
    <row r="364" spans="2:15" hidden="1" outlineLevel="1" x14ac:dyDescent="0.2">
      <c r="B364" s="2">
        <f t="shared" ref="B364:B395" si="113">B363+1</f>
        <v>129</v>
      </c>
      <c r="D364" s="22">
        <f>IF(B364&lt;$D$24,(+CALCULETTE!G761/CALCULETTE!$B$612),0)</f>
        <v>0</v>
      </c>
      <c r="E364" s="22" t="str">
        <f t="shared" ref="E364:E395" si="114">IF(E$1=0,"",IF($B364&lt;E$23,E363+PPMT(E$26/12,$B364,E$23,E$235,-E$27,0),IF($B364=E$23,E363+PPMT(E$26/12,$B364,E$23,E$235,-E$27,0)-E$27,0)))</f>
        <v/>
      </c>
      <c r="F364" s="22" t="str">
        <f t="shared" ref="F364:F395" si="115">IF(F$1=0,"",IF($B364&lt;F$23,F363+PPMT(F$26/12,$B364,F$23,F$235,-F$27,0),IF($B364=F$23,F363+PPMT(F$26/12,$B364,F$23,F$235,-F$27,0)-F$27,0)))</f>
        <v/>
      </c>
      <c r="G364" s="22" t="str">
        <f t="shared" ref="G364:G395" si="116">IF(G$1=0,"",IF($B364&lt;G$23,G363+PPMT(G$26/12,$B364,G$23,G$235,-G$27,0),IF($B364=G$23,G363+PPMT(G$26/12,$B364,G$23,G$235,-G$27,0)-G$27,0)))</f>
        <v/>
      </c>
      <c r="H364" s="22" t="str">
        <f t="shared" ref="H364:H395" si="117">IF(H$1=0,"",IF($B364&lt;H$23,H363+PPMT(H$26/12,$B364,H$23,H$235,-H$27,0),IF($B364=H$23,H363+PPMT(H$26/12,$B364,H$23,H$235,-H$27,0)-H$27,0)))</f>
        <v/>
      </c>
      <c r="I364" s="22" t="str">
        <f t="shared" ref="I364:I395" si="118">IF(I$1=0,"",IF($B364&lt;I$23,I363+PPMT(I$26/12,$B364,I$23,I$235,-I$27,0),IF($B364=I$23,I363+PPMT(I$26/12,$B364,I$23,I$235,-I$27,0)-I$27,0)))</f>
        <v/>
      </c>
      <c r="J364" s="22" t="str">
        <f t="shared" ref="J364:J395" si="119">IF(J$1=0,"",IF($B364&lt;J$23,J363+PPMT(J$26/12,$B364,J$23,J$235,-J$27,0),IF($B364=J$23,J363+PPMT(J$26/12,$B364,J$23,J$235,-J$27,0)-J$27,0)))</f>
        <v/>
      </c>
      <c r="K364" s="22" t="str">
        <f t="shared" ref="K364:K395" si="120">IF(K$1=0,"",IF($B364&lt;K$23,K363+PPMT(K$26/12,$B364,K$23,K$235,-K$27,0),IF($B364=K$23,K363+PPMT(K$26/12,$B364,K$23,K$235,-K$27,0)-K$27,0)))</f>
        <v/>
      </c>
      <c r="L364" s="22" t="str">
        <f t="shared" ref="L364:L395" si="121">IF(L$1=0,"",IF($B364&lt;L$23,L363+PPMT(L$26/12,$B364,L$23,L$235,-L$27,0),IF($B364=L$23,L363+PPMT(L$26/12,$B364,L$23,L$235,-L$27,0)-L$27,0)))</f>
        <v/>
      </c>
      <c r="M364" s="22" t="str">
        <f t="shared" ref="M364:M395" si="122">IF(M$1=0,"",IF($B364&lt;M$23,M363+PPMT(M$26/12,$B364,M$23,M$235,-M$27,0),IF($B364=M$23,M363+PPMT(M$26/12,$B364,M$23,M$235,-M$27,0)-M$27,0)))</f>
        <v/>
      </c>
      <c r="N364" s="103"/>
      <c r="O364" s="102"/>
    </row>
    <row r="365" spans="2:15" hidden="1" outlineLevel="1" x14ac:dyDescent="0.2">
      <c r="B365" s="2">
        <f t="shared" si="113"/>
        <v>130</v>
      </c>
      <c r="D365" s="22">
        <f>IF(B365&lt;$D$24,(+CALCULETTE!G762/CALCULETTE!$B$612),0)</f>
        <v>0</v>
      </c>
      <c r="E365" s="22" t="str">
        <f t="shared" si="114"/>
        <v/>
      </c>
      <c r="F365" s="22" t="str">
        <f t="shared" si="115"/>
        <v/>
      </c>
      <c r="G365" s="22" t="str">
        <f t="shared" si="116"/>
        <v/>
      </c>
      <c r="H365" s="22" t="str">
        <f t="shared" si="117"/>
        <v/>
      </c>
      <c r="I365" s="22" t="str">
        <f t="shared" si="118"/>
        <v/>
      </c>
      <c r="J365" s="22" t="str">
        <f t="shared" si="119"/>
        <v/>
      </c>
      <c r="K365" s="22" t="str">
        <f t="shared" si="120"/>
        <v/>
      </c>
      <c r="L365" s="22" t="str">
        <f t="shared" si="121"/>
        <v/>
      </c>
      <c r="M365" s="22" t="str">
        <f t="shared" si="122"/>
        <v/>
      </c>
      <c r="N365" s="103"/>
      <c r="O365" s="102"/>
    </row>
    <row r="366" spans="2:15" hidden="1" outlineLevel="1" x14ac:dyDescent="0.2">
      <c r="B366" s="2">
        <f t="shared" si="113"/>
        <v>131</v>
      </c>
      <c r="D366" s="22">
        <f>IF(B366&lt;$D$24,(+CALCULETTE!G763/CALCULETTE!$B$612),0)</f>
        <v>0</v>
      </c>
      <c r="E366" s="22" t="str">
        <f t="shared" si="114"/>
        <v/>
      </c>
      <c r="F366" s="22" t="str">
        <f t="shared" si="115"/>
        <v/>
      </c>
      <c r="G366" s="22" t="str">
        <f t="shared" si="116"/>
        <v/>
      </c>
      <c r="H366" s="22" t="str">
        <f t="shared" si="117"/>
        <v/>
      </c>
      <c r="I366" s="22" t="str">
        <f t="shared" si="118"/>
        <v/>
      </c>
      <c r="J366" s="22" t="str">
        <f t="shared" si="119"/>
        <v/>
      </c>
      <c r="K366" s="22" t="str">
        <f t="shared" si="120"/>
        <v/>
      </c>
      <c r="L366" s="22" t="str">
        <f t="shared" si="121"/>
        <v/>
      </c>
      <c r="M366" s="22" t="str">
        <f t="shared" si="122"/>
        <v/>
      </c>
      <c r="N366" s="103"/>
      <c r="O366" s="102"/>
    </row>
    <row r="367" spans="2:15" hidden="1" outlineLevel="1" x14ac:dyDescent="0.2">
      <c r="B367" s="2">
        <f t="shared" si="113"/>
        <v>132</v>
      </c>
      <c r="D367" s="22">
        <f>IF(B367&lt;$D$24,(+CALCULETTE!G764/CALCULETTE!$B$612),0)</f>
        <v>0</v>
      </c>
      <c r="E367" s="22" t="str">
        <f t="shared" si="114"/>
        <v/>
      </c>
      <c r="F367" s="22" t="str">
        <f t="shared" si="115"/>
        <v/>
      </c>
      <c r="G367" s="22" t="str">
        <f t="shared" si="116"/>
        <v/>
      </c>
      <c r="H367" s="22" t="str">
        <f t="shared" si="117"/>
        <v/>
      </c>
      <c r="I367" s="22" t="str">
        <f t="shared" si="118"/>
        <v/>
      </c>
      <c r="J367" s="22" t="str">
        <f t="shared" si="119"/>
        <v/>
      </c>
      <c r="K367" s="22" t="str">
        <f t="shared" si="120"/>
        <v/>
      </c>
      <c r="L367" s="22" t="str">
        <f t="shared" si="121"/>
        <v/>
      </c>
      <c r="M367" s="22" t="str">
        <f t="shared" si="122"/>
        <v/>
      </c>
      <c r="N367" s="103"/>
      <c r="O367" s="102"/>
    </row>
    <row r="368" spans="2:15" hidden="1" outlineLevel="1" x14ac:dyDescent="0.2">
      <c r="B368" s="2">
        <f t="shared" si="113"/>
        <v>133</v>
      </c>
      <c r="D368" s="22">
        <f>IF(B368&lt;$D$24,(+CALCULETTE!G765/CALCULETTE!$B$612),0)</f>
        <v>0</v>
      </c>
      <c r="E368" s="22" t="str">
        <f t="shared" si="114"/>
        <v/>
      </c>
      <c r="F368" s="22" t="str">
        <f t="shared" si="115"/>
        <v/>
      </c>
      <c r="G368" s="22" t="str">
        <f t="shared" si="116"/>
        <v/>
      </c>
      <c r="H368" s="22" t="str">
        <f t="shared" si="117"/>
        <v/>
      </c>
      <c r="I368" s="22" t="str">
        <f t="shared" si="118"/>
        <v/>
      </c>
      <c r="J368" s="22" t="str">
        <f t="shared" si="119"/>
        <v/>
      </c>
      <c r="K368" s="22" t="str">
        <f t="shared" si="120"/>
        <v/>
      </c>
      <c r="L368" s="22" t="str">
        <f t="shared" si="121"/>
        <v/>
      </c>
      <c r="M368" s="22" t="str">
        <f t="shared" si="122"/>
        <v/>
      </c>
      <c r="N368" s="103"/>
      <c r="O368" s="102"/>
    </row>
    <row r="369" spans="2:15" hidden="1" outlineLevel="1" x14ac:dyDescent="0.2">
      <c r="B369" s="2">
        <f t="shared" si="113"/>
        <v>134</v>
      </c>
      <c r="D369" s="22">
        <f>IF(B369&lt;$D$24,(+CALCULETTE!G766/CALCULETTE!$B$612),0)</f>
        <v>0</v>
      </c>
      <c r="E369" s="22" t="str">
        <f t="shared" si="114"/>
        <v/>
      </c>
      <c r="F369" s="22" t="str">
        <f t="shared" si="115"/>
        <v/>
      </c>
      <c r="G369" s="22" t="str">
        <f t="shared" si="116"/>
        <v/>
      </c>
      <c r="H369" s="22" t="str">
        <f t="shared" si="117"/>
        <v/>
      </c>
      <c r="I369" s="22" t="str">
        <f t="shared" si="118"/>
        <v/>
      </c>
      <c r="J369" s="22" t="str">
        <f t="shared" si="119"/>
        <v/>
      </c>
      <c r="K369" s="22" t="str">
        <f t="shared" si="120"/>
        <v/>
      </c>
      <c r="L369" s="22" t="str">
        <f t="shared" si="121"/>
        <v/>
      </c>
      <c r="M369" s="22" t="str">
        <f t="shared" si="122"/>
        <v/>
      </c>
      <c r="N369" s="103"/>
      <c r="O369" s="102"/>
    </row>
    <row r="370" spans="2:15" hidden="1" outlineLevel="1" x14ac:dyDescent="0.2">
      <c r="B370" s="2">
        <f t="shared" si="113"/>
        <v>135</v>
      </c>
      <c r="D370" s="22">
        <f>IF(B370&lt;$D$24,(+CALCULETTE!G767/CALCULETTE!$B$612),0)</f>
        <v>0</v>
      </c>
      <c r="E370" s="22" t="str">
        <f t="shared" si="114"/>
        <v/>
      </c>
      <c r="F370" s="22" t="str">
        <f t="shared" si="115"/>
        <v/>
      </c>
      <c r="G370" s="22" t="str">
        <f t="shared" si="116"/>
        <v/>
      </c>
      <c r="H370" s="22" t="str">
        <f t="shared" si="117"/>
        <v/>
      </c>
      <c r="I370" s="22" t="str">
        <f t="shared" si="118"/>
        <v/>
      </c>
      <c r="J370" s="22" t="str">
        <f t="shared" si="119"/>
        <v/>
      </c>
      <c r="K370" s="22" t="str">
        <f t="shared" si="120"/>
        <v/>
      </c>
      <c r="L370" s="22" t="str">
        <f t="shared" si="121"/>
        <v/>
      </c>
      <c r="M370" s="22" t="str">
        <f t="shared" si="122"/>
        <v/>
      </c>
      <c r="N370" s="103"/>
      <c r="O370" s="102"/>
    </row>
    <row r="371" spans="2:15" hidden="1" outlineLevel="1" x14ac:dyDescent="0.2">
      <c r="B371" s="2">
        <f t="shared" si="113"/>
        <v>136</v>
      </c>
      <c r="D371" s="22">
        <f>IF(B371&lt;$D$24,(+CALCULETTE!G768/CALCULETTE!$B$612),0)</f>
        <v>0</v>
      </c>
      <c r="E371" s="22" t="str">
        <f t="shared" si="114"/>
        <v/>
      </c>
      <c r="F371" s="22" t="str">
        <f t="shared" si="115"/>
        <v/>
      </c>
      <c r="G371" s="22" t="str">
        <f t="shared" si="116"/>
        <v/>
      </c>
      <c r="H371" s="22" t="str">
        <f t="shared" si="117"/>
        <v/>
      </c>
      <c r="I371" s="22" t="str">
        <f t="shared" si="118"/>
        <v/>
      </c>
      <c r="J371" s="22" t="str">
        <f t="shared" si="119"/>
        <v/>
      </c>
      <c r="K371" s="22" t="str">
        <f t="shared" si="120"/>
        <v/>
      </c>
      <c r="L371" s="22" t="str">
        <f t="shared" si="121"/>
        <v/>
      </c>
      <c r="M371" s="22" t="str">
        <f t="shared" si="122"/>
        <v/>
      </c>
      <c r="N371" s="103"/>
      <c r="O371" s="102"/>
    </row>
    <row r="372" spans="2:15" hidden="1" outlineLevel="1" x14ac:dyDescent="0.2">
      <c r="B372" s="2">
        <f t="shared" si="113"/>
        <v>137</v>
      </c>
      <c r="D372" s="22">
        <f>IF(B372&lt;$D$24,(+CALCULETTE!G769/CALCULETTE!$B$612),0)</f>
        <v>0</v>
      </c>
      <c r="E372" s="22" t="str">
        <f t="shared" si="114"/>
        <v/>
      </c>
      <c r="F372" s="22" t="str">
        <f t="shared" si="115"/>
        <v/>
      </c>
      <c r="G372" s="22" t="str">
        <f t="shared" si="116"/>
        <v/>
      </c>
      <c r="H372" s="22" t="str">
        <f t="shared" si="117"/>
        <v/>
      </c>
      <c r="I372" s="22" t="str">
        <f t="shared" si="118"/>
        <v/>
      </c>
      <c r="J372" s="22" t="str">
        <f t="shared" si="119"/>
        <v/>
      </c>
      <c r="K372" s="22" t="str">
        <f t="shared" si="120"/>
        <v/>
      </c>
      <c r="L372" s="22" t="str">
        <f t="shared" si="121"/>
        <v/>
      </c>
      <c r="M372" s="22" t="str">
        <f t="shared" si="122"/>
        <v/>
      </c>
      <c r="N372" s="103"/>
      <c r="O372" s="102"/>
    </row>
    <row r="373" spans="2:15" hidden="1" outlineLevel="1" x14ac:dyDescent="0.2">
      <c r="B373" s="2">
        <f t="shared" si="113"/>
        <v>138</v>
      </c>
      <c r="D373" s="22">
        <f>IF(B373&lt;$D$24,(+CALCULETTE!G770/CALCULETTE!$B$612),0)</f>
        <v>0</v>
      </c>
      <c r="E373" s="22" t="str">
        <f t="shared" si="114"/>
        <v/>
      </c>
      <c r="F373" s="22" t="str">
        <f t="shared" si="115"/>
        <v/>
      </c>
      <c r="G373" s="22" t="str">
        <f t="shared" si="116"/>
        <v/>
      </c>
      <c r="H373" s="22" t="str">
        <f t="shared" si="117"/>
        <v/>
      </c>
      <c r="I373" s="22" t="str">
        <f t="shared" si="118"/>
        <v/>
      </c>
      <c r="J373" s="22" t="str">
        <f t="shared" si="119"/>
        <v/>
      </c>
      <c r="K373" s="22" t="str">
        <f t="shared" si="120"/>
        <v/>
      </c>
      <c r="L373" s="22" t="str">
        <f t="shared" si="121"/>
        <v/>
      </c>
      <c r="M373" s="22" t="str">
        <f t="shared" si="122"/>
        <v/>
      </c>
      <c r="N373" s="103"/>
      <c r="O373" s="102"/>
    </row>
    <row r="374" spans="2:15" hidden="1" outlineLevel="1" x14ac:dyDescent="0.2">
      <c r="B374" s="2">
        <f t="shared" si="113"/>
        <v>139</v>
      </c>
      <c r="D374" s="22">
        <f>IF(B374&lt;$D$24,(+CALCULETTE!G771/CALCULETTE!$B$612),0)</f>
        <v>0</v>
      </c>
      <c r="E374" s="22" t="str">
        <f t="shared" si="114"/>
        <v/>
      </c>
      <c r="F374" s="22" t="str">
        <f t="shared" si="115"/>
        <v/>
      </c>
      <c r="G374" s="22" t="str">
        <f t="shared" si="116"/>
        <v/>
      </c>
      <c r="H374" s="22" t="str">
        <f t="shared" si="117"/>
        <v/>
      </c>
      <c r="I374" s="22" t="str">
        <f t="shared" si="118"/>
        <v/>
      </c>
      <c r="J374" s="22" t="str">
        <f t="shared" si="119"/>
        <v/>
      </c>
      <c r="K374" s="22" t="str">
        <f t="shared" si="120"/>
        <v/>
      </c>
      <c r="L374" s="22" t="str">
        <f t="shared" si="121"/>
        <v/>
      </c>
      <c r="M374" s="22" t="str">
        <f t="shared" si="122"/>
        <v/>
      </c>
      <c r="N374" s="103"/>
      <c r="O374" s="102"/>
    </row>
    <row r="375" spans="2:15" hidden="1" outlineLevel="1" x14ac:dyDescent="0.2">
      <c r="B375" s="2">
        <f t="shared" si="113"/>
        <v>140</v>
      </c>
      <c r="D375" s="22">
        <f>IF(B375&lt;$D$24,(+CALCULETTE!G772/CALCULETTE!$B$612),0)</f>
        <v>0</v>
      </c>
      <c r="E375" s="22" t="str">
        <f t="shared" si="114"/>
        <v/>
      </c>
      <c r="F375" s="22" t="str">
        <f t="shared" si="115"/>
        <v/>
      </c>
      <c r="G375" s="22" t="str">
        <f t="shared" si="116"/>
        <v/>
      </c>
      <c r="H375" s="22" t="str">
        <f t="shared" si="117"/>
        <v/>
      </c>
      <c r="I375" s="22" t="str">
        <f t="shared" si="118"/>
        <v/>
      </c>
      <c r="J375" s="22" t="str">
        <f t="shared" si="119"/>
        <v/>
      </c>
      <c r="K375" s="22" t="str">
        <f t="shared" si="120"/>
        <v/>
      </c>
      <c r="L375" s="22" t="str">
        <f t="shared" si="121"/>
        <v/>
      </c>
      <c r="M375" s="22" t="str">
        <f t="shared" si="122"/>
        <v/>
      </c>
      <c r="N375" s="103"/>
      <c r="O375" s="102"/>
    </row>
    <row r="376" spans="2:15" hidden="1" outlineLevel="1" x14ac:dyDescent="0.2">
      <c r="B376" s="2">
        <f t="shared" si="113"/>
        <v>141</v>
      </c>
      <c r="D376" s="22">
        <f>IF(B376&lt;$D$24,(+CALCULETTE!G773/CALCULETTE!$B$612),0)</f>
        <v>0</v>
      </c>
      <c r="E376" s="22" t="str">
        <f t="shared" si="114"/>
        <v/>
      </c>
      <c r="F376" s="22" t="str">
        <f t="shared" si="115"/>
        <v/>
      </c>
      <c r="G376" s="22" t="str">
        <f t="shared" si="116"/>
        <v/>
      </c>
      <c r="H376" s="22" t="str">
        <f t="shared" si="117"/>
        <v/>
      </c>
      <c r="I376" s="22" t="str">
        <f t="shared" si="118"/>
        <v/>
      </c>
      <c r="J376" s="22" t="str">
        <f t="shared" si="119"/>
        <v/>
      </c>
      <c r="K376" s="22" t="str">
        <f t="shared" si="120"/>
        <v/>
      </c>
      <c r="L376" s="22" t="str">
        <f t="shared" si="121"/>
        <v/>
      </c>
      <c r="M376" s="22" t="str">
        <f t="shared" si="122"/>
        <v/>
      </c>
      <c r="N376" s="103"/>
      <c r="O376" s="102"/>
    </row>
    <row r="377" spans="2:15" hidden="1" outlineLevel="1" x14ac:dyDescent="0.2">
      <c r="B377" s="2">
        <f t="shared" si="113"/>
        <v>142</v>
      </c>
      <c r="D377" s="22">
        <f>IF(B377&lt;$D$24,(+CALCULETTE!G774/CALCULETTE!$B$612),0)</f>
        <v>0</v>
      </c>
      <c r="E377" s="22" t="str">
        <f t="shared" si="114"/>
        <v/>
      </c>
      <c r="F377" s="22" t="str">
        <f t="shared" si="115"/>
        <v/>
      </c>
      <c r="G377" s="22" t="str">
        <f t="shared" si="116"/>
        <v/>
      </c>
      <c r="H377" s="22" t="str">
        <f t="shared" si="117"/>
        <v/>
      </c>
      <c r="I377" s="22" t="str">
        <f t="shared" si="118"/>
        <v/>
      </c>
      <c r="J377" s="22" t="str">
        <f t="shared" si="119"/>
        <v/>
      </c>
      <c r="K377" s="22" t="str">
        <f t="shared" si="120"/>
        <v/>
      </c>
      <c r="L377" s="22" t="str">
        <f t="shared" si="121"/>
        <v/>
      </c>
      <c r="M377" s="22" t="str">
        <f t="shared" si="122"/>
        <v/>
      </c>
      <c r="N377" s="103"/>
      <c r="O377" s="102"/>
    </row>
    <row r="378" spans="2:15" hidden="1" outlineLevel="1" x14ac:dyDescent="0.2">
      <c r="B378" s="2">
        <f t="shared" si="113"/>
        <v>143</v>
      </c>
      <c r="D378" s="22">
        <f>IF(B378&lt;$D$24,(+CALCULETTE!G775/CALCULETTE!$B$612),0)</f>
        <v>0</v>
      </c>
      <c r="E378" s="22" t="str">
        <f t="shared" si="114"/>
        <v/>
      </c>
      <c r="F378" s="22" t="str">
        <f t="shared" si="115"/>
        <v/>
      </c>
      <c r="G378" s="22" t="str">
        <f t="shared" si="116"/>
        <v/>
      </c>
      <c r="H378" s="22" t="str">
        <f t="shared" si="117"/>
        <v/>
      </c>
      <c r="I378" s="22" t="str">
        <f t="shared" si="118"/>
        <v/>
      </c>
      <c r="J378" s="22" t="str">
        <f t="shared" si="119"/>
        <v/>
      </c>
      <c r="K378" s="22" t="str">
        <f t="shared" si="120"/>
        <v/>
      </c>
      <c r="L378" s="22" t="str">
        <f t="shared" si="121"/>
        <v/>
      </c>
      <c r="M378" s="22" t="str">
        <f t="shared" si="122"/>
        <v/>
      </c>
      <c r="N378" s="103"/>
      <c r="O378" s="102"/>
    </row>
    <row r="379" spans="2:15" hidden="1" outlineLevel="1" x14ac:dyDescent="0.2">
      <c r="B379" s="2">
        <f t="shared" si="113"/>
        <v>144</v>
      </c>
      <c r="D379" s="22">
        <f>IF(B379&lt;$D$24,(+CALCULETTE!G776/CALCULETTE!$B$612),0)</f>
        <v>0</v>
      </c>
      <c r="E379" s="22" t="str">
        <f t="shared" si="114"/>
        <v/>
      </c>
      <c r="F379" s="22" t="str">
        <f t="shared" si="115"/>
        <v/>
      </c>
      <c r="G379" s="22" t="str">
        <f t="shared" si="116"/>
        <v/>
      </c>
      <c r="H379" s="22" t="str">
        <f t="shared" si="117"/>
        <v/>
      </c>
      <c r="I379" s="22" t="str">
        <f t="shared" si="118"/>
        <v/>
      </c>
      <c r="J379" s="22" t="str">
        <f t="shared" si="119"/>
        <v/>
      </c>
      <c r="K379" s="22" t="str">
        <f t="shared" si="120"/>
        <v/>
      </c>
      <c r="L379" s="22" t="str">
        <f t="shared" si="121"/>
        <v/>
      </c>
      <c r="M379" s="22" t="str">
        <f t="shared" si="122"/>
        <v/>
      </c>
      <c r="N379" s="103"/>
      <c r="O379" s="102"/>
    </row>
    <row r="380" spans="2:15" hidden="1" outlineLevel="1" x14ac:dyDescent="0.2">
      <c r="B380" s="2">
        <f t="shared" si="113"/>
        <v>145</v>
      </c>
      <c r="D380" s="22">
        <f>IF(B380&lt;$D$24,(+CALCULETTE!G777/CALCULETTE!$B$612),0)</f>
        <v>0</v>
      </c>
      <c r="E380" s="22" t="str">
        <f t="shared" si="114"/>
        <v/>
      </c>
      <c r="F380" s="22" t="str">
        <f t="shared" si="115"/>
        <v/>
      </c>
      <c r="G380" s="22" t="str">
        <f t="shared" si="116"/>
        <v/>
      </c>
      <c r="H380" s="22" t="str">
        <f t="shared" si="117"/>
        <v/>
      </c>
      <c r="I380" s="22" t="str">
        <f t="shared" si="118"/>
        <v/>
      </c>
      <c r="J380" s="22" t="str">
        <f t="shared" si="119"/>
        <v/>
      </c>
      <c r="K380" s="22" t="str">
        <f t="shared" si="120"/>
        <v/>
      </c>
      <c r="L380" s="22" t="str">
        <f t="shared" si="121"/>
        <v/>
      </c>
      <c r="M380" s="22" t="str">
        <f t="shared" si="122"/>
        <v/>
      </c>
      <c r="N380" s="103"/>
      <c r="O380" s="102"/>
    </row>
    <row r="381" spans="2:15" hidden="1" outlineLevel="1" x14ac:dyDescent="0.2">
      <c r="B381" s="2">
        <f t="shared" si="113"/>
        <v>146</v>
      </c>
      <c r="D381" s="22">
        <f>IF(B381&lt;$D$24,(+CALCULETTE!G778/CALCULETTE!$B$612),0)</f>
        <v>0</v>
      </c>
      <c r="E381" s="22" t="str">
        <f t="shared" si="114"/>
        <v/>
      </c>
      <c r="F381" s="22" t="str">
        <f t="shared" si="115"/>
        <v/>
      </c>
      <c r="G381" s="22" t="str">
        <f t="shared" si="116"/>
        <v/>
      </c>
      <c r="H381" s="22" t="str">
        <f t="shared" si="117"/>
        <v/>
      </c>
      <c r="I381" s="22" t="str">
        <f t="shared" si="118"/>
        <v/>
      </c>
      <c r="J381" s="22" t="str">
        <f t="shared" si="119"/>
        <v/>
      </c>
      <c r="K381" s="22" t="str">
        <f t="shared" si="120"/>
        <v/>
      </c>
      <c r="L381" s="22" t="str">
        <f t="shared" si="121"/>
        <v/>
      </c>
      <c r="M381" s="22" t="str">
        <f t="shared" si="122"/>
        <v/>
      </c>
      <c r="N381" s="103"/>
      <c r="O381" s="102"/>
    </row>
    <row r="382" spans="2:15" hidden="1" outlineLevel="1" x14ac:dyDescent="0.2">
      <c r="B382" s="2">
        <f t="shared" si="113"/>
        <v>147</v>
      </c>
      <c r="D382" s="22">
        <f>IF(B382&lt;$D$24,(+CALCULETTE!G779/CALCULETTE!$B$612),0)</f>
        <v>0</v>
      </c>
      <c r="E382" s="22" t="str">
        <f t="shared" si="114"/>
        <v/>
      </c>
      <c r="F382" s="22" t="str">
        <f t="shared" si="115"/>
        <v/>
      </c>
      <c r="G382" s="22" t="str">
        <f t="shared" si="116"/>
        <v/>
      </c>
      <c r="H382" s="22" t="str">
        <f t="shared" si="117"/>
        <v/>
      </c>
      <c r="I382" s="22" t="str">
        <f t="shared" si="118"/>
        <v/>
      </c>
      <c r="J382" s="22" t="str">
        <f t="shared" si="119"/>
        <v/>
      </c>
      <c r="K382" s="22" t="str">
        <f t="shared" si="120"/>
        <v/>
      </c>
      <c r="L382" s="22" t="str">
        <f t="shared" si="121"/>
        <v/>
      </c>
      <c r="M382" s="22" t="str">
        <f t="shared" si="122"/>
        <v/>
      </c>
      <c r="N382" s="103"/>
      <c r="O382" s="102"/>
    </row>
    <row r="383" spans="2:15" hidden="1" outlineLevel="1" x14ac:dyDescent="0.2">
      <c r="B383" s="2">
        <f t="shared" si="113"/>
        <v>148</v>
      </c>
      <c r="D383" s="22">
        <f>IF(B383&lt;$D$24,(+CALCULETTE!G780/CALCULETTE!$B$612),0)</f>
        <v>0</v>
      </c>
      <c r="E383" s="22" t="str">
        <f t="shared" si="114"/>
        <v/>
      </c>
      <c r="F383" s="22" t="str">
        <f t="shared" si="115"/>
        <v/>
      </c>
      <c r="G383" s="22" t="str">
        <f t="shared" si="116"/>
        <v/>
      </c>
      <c r="H383" s="22" t="str">
        <f t="shared" si="117"/>
        <v/>
      </c>
      <c r="I383" s="22" t="str">
        <f t="shared" si="118"/>
        <v/>
      </c>
      <c r="J383" s="22" t="str">
        <f t="shared" si="119"/>
        <v/>
      </c>
      <c r="K383" s="22" t="str">
        <f t="shared" si="120"/>
        <v/>
      </c>
      <c r="L383" s="22" t="str">
        <f t="shared" si="121"/>
        <v/>
      </c>
      <c r="M383" s="22" t="str">
        <f t="shared" si="122"/>
        <v/>
      </c>
      <c r="N383" s="103"/>
      <c r="O383" s="102"/>
    </row>
    <row r="384" spans="2:15" hidden="1" outlineLevel="1" x14ac:dyDescent="0.2">
      <c r="B384" s="2">
        <f t="shared" si="113"/>
        <v>149</v>
      </c>
      <c r="D384" s="22">
        <f>IF(B384&lt;$D$24,(+CALCULETTE!G781/CALCULETTE!$B$612),0)</f>
        <v>0</v>
      </c>
      <c r="E384" s="22" t="str">
        <f t="shared" si="114"/>
        <v/>
      </c>
      <c r="F384" s="22" t="str">
        <f t="shared" si="115"/>
        <v/>
      </c>
      <c r="G384" s="22" t="str">
        <f t="shared" si="116"/>
        <v/>
      </c>
      <c r="H384" s="22" t="str">
        <f t="shared" si="117"/>
        <v/>
      </c>
      <c r="I384" s="22" t="str">
        <f t="shared" si="118"/>
        <v/>
      </c>
      <c r="J384" s="22" t="str">
        <f t="shared" si="119"/>
        <v/>
      </c>
      <c r="K384" s="22" t="str">
        <f t="shared" si="120"/>
        <v/>
      </c>
      <c r="L384" s="22" t="str">
        <f t="shared" si="121"/>
        <v/>
      </c>
      <c r="M384" s="22" t="str">
        <f t="shared" si="122"/>
        <v/>
      </c>
      <c r="N384" s="103"/>
      <c r="O384" s="102"/>
    </row>
    <row r="385" spans="2:15" hidden="1" outlineLevel="1" x14ac:dyDescent="0.2">
      <c r="B385" s="2">
        <f t="shared" si="113"/>
        <v>150</v>
      </c>
      <c r="D385" s="22">
        <f>IF(B385&lt;$D$24,(+CALCULETTE!G782/CALCULETTE!$B$612),0)</f>
        <v>0</v>
      </c>
      <c r="E385" s="22" t="str">
        <f t="shared" si="114"/>
        <v/>
      </c>
      <c r="F385" s="22" t="str">
        <f t="shared" si="115"/>
        <v/>
      </c>
      <c r="G385" s="22" t="str">
        <f t="shared" si="116"/>
        <v/>
      </c>
      <c r="H385" s="22" t="str">
        <f t="shared" si="117"/>
        <v/>
      </c>
      <c r="I385" s="22" t="str">
        <f t="shared" si="118"/>
        <v/>
      </c>
      <c r="J385" s="22" t="str">
        <f t="shared" si="119"/>
        <v/>
      </c>
      <c r="K385" s="22" t="str">
        <f t="shared" si="120"/>
        <v/>
      </c>
      <c r="L385" s="22" t="str">
        <f t="shared" si="121"/>
        <v/>
      </c>
      <c r="M385" s="22" t="str">
        <f t="shared" si="122"/>
        <v/>
      </c>
      <c r="N385" s="103"/>
      <c r="O385" s="102"/>
    </row>
    <row r="386" spans="2:15" hidden="1" outlineLevel="1" x14ac:dyDescent="0.2">
      <c r="B386" s="2">
        <f t="shared" si="113"/>
        <v>151</v>
      </c>
      <c r="D386" s="22">
        <f>IF(B386&lt;$D$24,(+CALCULETTE!G783/CALCULETTE!$B$612),0)</f>
        <v>0</v>
      </c>
      <c r="E386" s="22" t="str">
        <f t="shared" si="114"/>
        <v/>
      </c>
      <c r="F386" s="22" t="str">
        <f t="shared" si="115"/>
        <v/>
      </c>
      <c r="G386" s="22" t="str">
        <f t="shared" si="116"/>
        <v/>
      </c>
      <c r="H386" s="22" t="str">
        <f t="shared" si="117"/>
        <v/>
      </c>
      <c r="I386" s="22" t="str">
        <f t="shared" si="118"/>
        <v/>
      </c>
      <c r="J386" s="22" t="str">
        <f t="shared" si="119"/>
        <v/>
      </c>
      <c r="K386" s="22" t="str">
        <f t="shared" si="120"/>
        <v/>
      </c>
      <c r="L386" s="22" t="str">
        <f t="shared" si="121"/>
        <v/>
      </c>
      <c r="M386" s="22" t="str">
        <f t="shared" si="122"/>
        <v/>
      </c>
      <c r="N386" s="103"/>
      <c r="O386" s="102"/>
    </row>
    <row r="387" spans="2:15" hidden="1" outlineLevel="1" x14ac:dyDescent="0.2">
      <c r="B387" s="2">
        <f t="shared" si="113"/>
        <v>152</v>
      </c>
      <c r="D387" s="22">
        <f>IF(B387&lt;$D$24,(+CALCULETTE!G784/CALCULETTE!$B$612),0)</f>
        <v>0</v>
      </c>
      <c r="E387" s="22" t="str">
        <f t="shared" si="114"/>
        <v/>
      </c>
      <c r="F387" s="22" t="str">
        <f t="shared" si="115"/>
        <v/>
      </c>
      <c r="G387" s="22" t="str">
        <f t="shared" si="116"/>
        <v/>
      </c>
      <c r="H387" s="22" t="str">
        <f t="shared" si="117"/>
        <v/>
      </c>
      <c r="I387" s="22" t="str">
        <f t="shared" si="118"/>
        <v/>
      </c>
      <c r="J387" s="22" t="str">
        <f t="shared" si="119"/>
        <v/>
      </c>
      <c r="K387" s="22" t="str">
        <f t="shared" si="120"/>
        <v/>
      </c>
      <c r="L387" s="22" t="str">
        <f t="shared" si="121"/>
        <v/>
      </c>
      <c r="M387" s="22" t="str">
        <f t="shared" si="122"/>
        <v/>
      </c>
      <c r="N387" s="103"/>
      <c r="O387" s="102"/>
    </row>
    <row r="388" spans="2:15" hidden="1" outlineLevel="1" x14ac:dyDescent="0.2">
      <c r="B388" s="2">
        <f t="shared" si="113"/>
        <v>153</v>
      </c>
      <c r="D388" s="22">
        <f>IF(B388&lt;$D$24,(+CALCULETTE!G785/CALCULETTE!$B$612),0)</f>
        <v>0</v>
      </c>
      <c r="E388" s="22" t="str">
        <f t="shared" si="114"/>
        <v/>
      </c>
      <c r="F388" s="22" t="str">
        <f t="shared" si="115"/>
        <v/>
      </c>
      <c r="G388" s="22" t="str">
        <f t="shared" si="116"/>
        <v/>
      </c>
      <c r="H388" s="22" t="str">
        <f t="shared" si="117"/>
        <v/>
      </c>
      <c r="I388" s="22" t="str">
        <f t="shared" si="118"/>
        <v/>
      </c>
      <c r="J388" s="22" t="str">
        <f t="shared" si="119"/>
        <v/>
      </c>
      <c r="K388" s="22" t="str">
        <f t="shared" si="120"/>
        <v/>
      </c>
      <c r="L388" s="22" t="str">
        <f t="shared" si="121"/>
        <v/>
      </c>
      <c r="M388" s="22" t="str">
        <f t="shared" si="122"/>
        <v/>
      </c>
      <c r="N388" s="103"/>
      <c r="O388" s="102"/>
    </row>
    <row r="389" spans="2:15" hidden="1" outlineLevel="1" x14ac:dyDescent="0.2">
      <c r="B389" s="2">
        <f t="shared" si="113"/>
        <v>154</v>
      </c>
      <c r="D389" s="22">
        <f>IF(B389&lt;$D$24,(+CALCULETTE!G786/CALCULETTE!$B$612),0)</f>
        <v>0</v>
      </c>
      <c r="E389" s="22" t="str">
        <f t="shared" si="114"/>
        <v/>
      </c>
      <c r="F389" s="22" t="str">
        <f t="shared" si="115"/>
        <v/>
      </c>
      <c r="G389" s="22" t="str">
        <f t="shared" si="116"/>
        <v/>
      </c>
      <c r="H389" s="22" t="str">
        <f t="shared" si="117"/>
        <v/>
      </c>
      <c r="I389" s="22" t="str">
        <f t="shared" si="118"/>
        <v/>
      </c>
      <c r="J389" s="22" t="str">
        <f t="shared" si="119"/>
        <v/>
      </c>
      <c r="K389" s="22" t="str">
        <f t="shared" si="120"/>
        <v/>
      </c>
      <c r="L389" s="22" t="str">
        <f t="shared" si="121"/>
        <v/>
      </c>
      <c r="M389" s="22" t="str">
        <f t="shared" si="122"/>
        <v/>
      </c>
      <c r="N389" s="103"/>
      <c r="O389" s="102"/>
    </row>
    <row r="390" spans="2:15" hidden="1" outlineLevel="1" x14ac:dyDescent="0.2">
      <c r="B390" s="2">
        <f t="shared" si="113"/>
        <v>155</v>
      </c>
      <c r="D390" s="22">
        <f>IF(B390&lt;$D$24,(+CALCULETTE!G787/CALCULETTE!$B$612),0)</f>
        <v>0</v>
      </c>
      <c r="E390" s="22" t="str">
        <f t="shared" si="114"/>
        <v/>
      </c>
      <c r="F390" s="22" t="str">
        <f t="shared" si="115"/>
        <v/>
      </c>
      <c r="G390" s="22" t="str">
        <f t="shared" si="116"/>
        <v/>
      </c>
      <c r="H390" s="22" t="str">
        <f t="shared" si="117"/>
        <v/>
      </c>
      <c r="I390" s="22" t="str">
        <f t="shared" si="118"/>
        <v/>
      </c>
      <c r="J390" s="22" t="str">
        <f t="shared" si="119"/>
        <v/>
      </c>
      <c r="K390" s="22" t="str">
        <f t="shared" si="120"/>
        <v/>
      </c>
      <c r="L390" s="22" t="str">
        <f t="shared" si="121"/>
        <v/>
      </c>
      <c r="M390" s="22" t="str">
        <f t="shared" si="122"/>
        <v/>
      </c>
      <c r="N390" s="103"/>
      <c r="O390" s="102"/>
    </row>
    <row r="391" spans="2:15" hidden="1" outlineLevel="1" x14ac:dyDescent="0.2">
      <c r="B391" s="2">
        <f t="shared" si="113"/>
        <v>156</v>
      </c>
      <c r="D391" s="22">
        <f>IF(B391&lt;$D$24,(+CALCULETTE!G788/CALCULETTE!$B$612),0)</f>
        <v>0</v>
      </c>
      <c r="E391" s="22" t="str">
        <f t="shared" si="114"/>
        <v/>
      </c>
      <c r="F391" s="22" t="str">
        <f t="shared" si="115"/>
        <v/>
      </c>
      <c r="G391" s="22" t="str">
        <f t="shared" si="116"/>
        <v/>
      </c>
      <c r="H391" s="22" t="str">
        <f t="shared" si="117"/>
        <v/>
      </c>
      <c r="I391" s="22" t="str">
        <f t="shared" si="118"/>
        <v/>
      </c>
      <c r="J391" s="22" t="str">
        <f t="shared" si="119"/>
        <v/>
      </c>
      <c r="K391" s="22" t="str">
        <f t="shared" si="120"/>
        <v/>
      </c>
      <c r="L391" s="22" t="str">
        <f t="shared" si="121"/>
        <v/>
      </c>
      <c r="M391" s="22" t="str">
        <f t="shared" si="122"/>
        <v/>
      </c>
      <c r="N391" s="103"/>
      <c r="O391" s="102"/>
    </row>
    <row r="392" spans="2:15" hidden="1" outlineLevel="1" x14ac:dyDescent="0.2">
      <c r="B392" s="2">
        <f t="shared" si="113"/>
        <v>157</v>
      </c>
      <c r="D392" s="22">
        <f>IF(B392&lt;$D$24,(+CALCULETTE!G789/CALCULETTE!$B$612),0)</f>
        <v>0</v>
      </c>
      <c r="E392" s="22" t="str">
        <f t="shared" si="114"/>
        <v/>
      </c>
      <c r="F392" s="22" t="str">
        <f t="shared" si="115"/>
        <v/>
      </c>
      <c r="G392" s="22" t="str">
        <f t="shared" si="116"/>
        <v/>
      </c>
      <c r="H392" s="22" t="str">
        <f t="shared" si="117"/>
        <v/>
      </c>
      <c r="I392" s="22" t="str">
        <f t="shared" si="118"/>
        <v/>
      </c>
      <c r="J392" s="22" t="str">
        <f t="shared" si="119"/>
        <v/>
      </c>
      <c r="K392" s="22" t="str">
        <f t="shared" si="120"/>
        <v/>
      </c>
      <c r="L392" s="22" t="str">
        <f t="shared" si="121"/>
        <v/>
      </c>
      <c r="M392" s="22" t="str">
        <f t="shared" si="122"/>
        <v/>
      </c>
      <c r="N392" s="103"/>
      <c r="O392" s="102"/>
    </row>
    <row r="393" spans="2:15" hidden="1" outlineLevel="1" x14ac:dyDescent="0.2">
      <c r="B393" s="2">
        <f t="shared" si="113"/>
        <v>158</v>
      </c>
      <c r="D393" s="22">
        <f>IF(B393&lt;$D$24,(+CALCULETTE!G790/CALCULETTE!$B$612),0)</f>
        <v>0</v>
      </c>
      <c r="E393" s="22" t="str">
        <f t="shared" si="114"/>
        <v/>
      </c>
      <c r="F393" s="22" t="str">
        <f t="shared" si="115"/>
        <v/>
      </c>
      <c r="G393" s="22" t="str">
        <f t="shared" si="116"/>
        <v/>
      </c>
      <c r="H393" s="22" t="str">
        <f t="shared" si="117"/>
        <v/>
      </c>
      <c r="I393" s="22" t="str">
        <f t="shared" si="118"/>
        <v/>
      </c>
      <c r="J393" s="22" t="str">
        <f t="shared" si="119"/>
        <v/>
      </c>
      <c r="K393" s="22" t="str">
        <f t="shared" si="120"/>
        <v/>
      </c>
      <c r="L393" s="22" t="str">
        <f t="shared" si="121"/>
        <v/>
      </c>
      <c r="M393" s="22" t="str">
        <f t="shared" si="122"/>
        <v/>
      </c>
      <c r="N393" s="103"/>
      <c r="O393" s="102"/>
    </row>
    <row r="394" spans="2:15" hidden="1" outlineLevel="1" x14ac:dyDescent="0.2">
      <c r="B394" s="2">
        <f t="shared" si="113"/>
        <v>159</v>
      </c>
      <c r="D394" s="22">
        <f>IF(B394&lt;$D$24,(+CALCULETTE!G791/CALCULETTE!$B$612),0)</f>
        <v>0</v>
      </c>
      <c r="E394" s="22" t="str">
        <f t="shared" si="114"/>
        <v/>
      </c>
      <c r="F394" s="22" t="str">
        <f t="shared" si="115"/>
        <v/>
      </c>
      <c r="G394" s="22" t="str">
        <f t="shared" si="116"/>
        <v/>
      </c>
      <c r="H394" s="22" t="str">
        <f t="shared" si="117"/>
        <v/>
      </c>
      <c r="I394" s="22" t="str">
        <f t="shared" si="118"/>
        <v/>
      </c>
      <c r="J394" s="22" t="str">
        <f t="shared" si="119"/>
        <v/>
      </c>
      <c r="K394" s="22" t="str">
        <f t="shared" si="120"/>
        <v/>
      </c>
      <c r="L394" s="22" t="str">
        <f t="shared" si="121"/>
        <v/>
      </c>
      <c r="M394" s="22" t="str">
        <f t="shared" si="122"/>
        <v/>
      </c>
      <c r="N394" s="103"/>
      <c r="O394" s="102"/>
    </row>
    <row r="395" spans="2:15" hidden="1" outlineLevel="1" x14ac:dyDescent="0.2">
      <c r="B395" s="2">
        <f t="shared" si="113"/>
        <v>160</v>
      </c>
      <c r="D395" s="22">
        <f>IF(B395&lt;$D$24,(+CALCULETTE!G792/CALCULETTE!$B$612),0)</f>
        <v>0</v>
      </c>
      <c r="E395" s="22" t="str">
        <f t="shared" si="114"/>
        <v/>
      </c>
      <c r="F395" s="22" t="str">
        <f t="shared" si="115"/>
        <v/>
      </c>
      <c r="G395" s="22" t="str">
        <f t="shared" si="116"/>
        <v/>
      </c>
      <c r="H395" s="22" t="str">
        <f t="shared" si="117"/>
        <v/>
      </c>
      <c r="I395" s="22" t="str">
        <f t="shared" si="118"/>
        <v/>
      </c>
      <c r="J395" s="22" t="str">
        <f t="shared" si="119"/>
        <v/>
      </c>
      <c r="K395" s="22" t="str">
        <f t="shared" si="120"/>
        <v/>
      </c>
      <c r="L395" s="22" t="str">
        <f t="shared" si="121"/>
        <v/>
      </c>
      <c r="M395" s="22" t="str">
        <f t="shared" si="122"/>
        <v/>
      </c>
      <c r="N395" s="103"/>
      <c r="O395" s="102"/>
    </row>
    <row r="396" spans="2:15" hidden="1" outlineLevel="1" x14ac:dyDescent="0.2">
      <c r="B396" s="2">
        <f t="shared" ref="B396:B414" si="123">B395+1</f>
        <v>161</v>
      </c>
      <c r="D396" s="22">
        <f>IF(B396&lt;$D$24,(+CALCULETTE!G793/CALCULETTE!$B$612),0)</f>
        <v>0</v>
      </c>
      <c r="E396" s="22" t="str">
        <f t="shared" ref="E396:E414" si="124">IF(E$1=0,"",IF($B396&lt;E$23,E395+PPMT(E$26/12,$B396,E$23,E$235,-E$27,0),IF($B396=E$23,E395+PPMT(E$26/12,$B396,E$23,E$235,-E$27,0)-E$27,0)))</f>
        <v/>
      </c>
      <c r="F396" s="22" t="str">
        <f t="shared" ref="F396:F414" si="125">IF(F$1=0,"",IF($B396&lt;F$23,F395+PPMT(F$26/12,$B396,F$23,F$235,-F$27,0),IF($B396=F$23,F395+PPMT(F$26/12,$B396,F$23,F$235,-F$27,0)-F$27,0)))</f>
        <v/>
      </c>
      <c r="G396" s="22" t="str">
        <f t="shared" ref="G396:G414" si="126">IF(G$1=0,"",IF($B396&lt;G$23,G395+PPMT(G$26/12,$B396,G$23,G$235,-G$27,0),IF($B396=G$23,G395+PPMT(G$26/12,$B396,G$23,G$235,-G$27,0)-G$27,0)))</f>
        <v/>
      </c>
      <c r="H396" s="22" t="str">
        <f t="shared" ref="H396:H414" si="127">IF(H$1=0,"",IF($B396&lt;H$23,H395+PPMT(H$26/12,$B396,H$23,H$235,-H$27,0),IF($B396=H$23,H395+PPMT(H$26/12,$B396,H$23,H$235,-H$27,0)-H$27,0)))</f>
        <v/>
      </c>
      <c r="I396" s="22" t="str">
        <f t="shared" ref="I396:I414" si="128">IF(I$1=0,"",IF($B396&lt;I$23,I395+PPMT(I$26/12,$B396,I$23,I$235,-I$27,0),IF($B396=I$23,I395+PPMT(I$26/12,$B396,I$23,I$235,-I$27,0)-I$27,0)))</f>
        <v/>
      </c>
      <c r="J396" s="22" t="str">
        <f t="shared" ref="J396:J414" si="129">IF(J$1=0,"",IF($B396&lt;J$23,J395+PPMT(J$26/12,$B396,J$23,J$235,-J$27,0),IF($B396=J$23,J395+PPMT(J$26/12,$B396,J$23,J$235,-J$27,0)-J$27,0)))</f>
        <v/>
      </c>
      <c r="K396" s="22" t="str">
        <f t="shared" ref="K396:K414" si="130">IF(K$1=0,"",IF($B396&lt;K$23,K395+PPMT(K$26/12,$B396,K$23,K$235,-K$27,0),IF($B396=K$23,K395+PPMT(K$26/12,$B396,K$23,K$235,-K$27,0)-K$27,0)))</f>
        <v/>
      </c>
      <c r="L396" s="22" t="str">
        <f t="shared" ref="L396:L414" si="131">IF(L$1=0,"",IF($B396&lt;L$23,L395+PPMT(L$26/12,$B396,L$23,L$235,-L$27,0),IF($B396=L$23,L395+PPMT(L$26/12,$B396,L$23,L$235,-L$27,0)-L$27,0)))</f>
        <v/>
      </c>
      <c r="M396" s="22" t="str">
        <f t="shared" ref="M396:M414" si="132">IF(M$1=0,"",IF($B396&lt;M$23,M395+PPMT(M$26/12,$B396,M$23,M$235,-M$27,0),IF($B396=M$23,M395+PPMT(M$26/12,$B396,M$23,M$235,-M$27,0)-M$27,0)))</f>
        <v/>
      </c>
      <c r="N396" s="103"/>
      <c r="O396" s="102"/>
    </row>
    <row r="397" spans="2:15" hidden="1" outlineLevel="1" x14ac:dyDescent="0.2">
      <c r="B397" s="2">
        <f t="shared" si="123"/>
        <v>162</v>
      </c>
      <c r="D397" s="22">
        <f>IF(B397&lt;$D$24,(+CALCULETTE!G794/CALCULETTE!$B$612),0)</f>
        <v>0</v>
      </c>
      <c r="E397" s="22" t="str">
        <f t="shared" si="124"/>
        <v/>
      </c>
      <c r="F397" s="22" t="str">
        <f t="shared" si="125"/>
        <v/>
      </c>
      <c r="G397" s="22" t="str">
        <f t="shared" si="126"/>
        <v/>
      </c>
      <c r="H397" s="22" t="str">
        <f t="shared" si="127"/>
        <v/>
      </c>
      <c r="I397" s="22" t="str">
        <f t="shared" si="128"/>
        <v/>
      </c>
      <c r="J397" s="22" t="str">
        <f t="shared" si="129"/>
        <v/>
      </c>
      <c r="K397" s="22" t="str">
        <f t="shared" si="130"/>
        <v/>
      </c>
      <c r="L397" s="22" t="str">
        <f t="shared" si="131"/>
        <v/>
      </c>
      <c r="M397" s="22" t="str">
        <f t="shared" si="132"/>
        <v/>
      </c>
      <c r="N397" s="103"/>
      <c r="O397" s="102"/>
    </row>
    <row r="398" spans="2:15" hidden="1" outlineLevel="1" x14ac:dyDescent="0.2">
      <c r="B398" s="2">
        <f t="shared" si="123"/>
        <v>163</v>
      </c>
      <c r="D398" s="22">
        <f>IF(B398&lt;$D$24,(+CALCULETTE!G795/CALCULETTE!$B$612),0)</f>
        <v>0</v>
      </c>
      <c r="E398" s="22" t="str">
        <f t="shared" si="124"/>
        <v/>
      </c>
      <c r="F398" s="22" t="str">
        <f t="shared" si="125"/>
        <v/>
      </c>
      <c r="G398" s="22" t="str">
        <f t="shared" si="126"/>
        <v/>
      </c>
      <c r="H398" s="22" t="str">
        <f t="shared" si="127"/>
        <v/>
      </c>
      <c r="I398" s="22" t="str">
        <f t="shared" si="128"/>
        <v/>
      </c>
      <c r="J398" s="22" t="str">
        <f t="shared" si="129"/>
        <v/>
      </c>
      <c r="K398" s="22" t="str">
        <f t="shared" si="130"/>
        <v/>
      </c>
      <c r="L398" s="22" t="str">
        <f t="shared" si="131"/>
        <v/>
      </c>
      <c r="M398" s="22" t="str">
        <f t="shared" si="132"/>
        <v/>
      </c>
      <c r="N398" s="103"/>
      <c r="O398" s="102"/>
    </row>
    <row r="399" spans="2:15" hidden="1" outlineLevel="1" x14ac:dyDescent="0.2">
      <c r="B399" s="2">
        <f t="shared" si="123"/>
        <v>164</v>
      </c>
      <c r="D399" s="22">
        <f>IF(B399&lt;$D$24,(+CALCULETTE!G796/CALCULETTE!$B$612),0)</f>
        <v>0</v>
      </c>
      <c r="E399" s="22" t="str">
        <f t="shared" si="124"/>
        <v/>
      </c>
      <c r="F399" s="22" t="str">
        <f t="shared" si="125"/>
        <v/>
      </c>
      <c r="G399" s="22" t="str">
        <f t="shared" si="126"/>
        <v/>
      </c>
      <c r="H399" s="22" t="str">
        <f t="shared" si="127"/>
        <v/>
      </c>
      <c r="I399" s="22" t="str">
        <f t="shared" si="128"/>
        <v/>
      </c>
      <c r="J399" s="22" t="str">
        <f t="shared" si="129"/>
        <v/>
      </c>
      <c r="K399" s="22" t="str">
        <f t="shared" si="130"/>
        <v/>
      </c>
      <c r="L399" s="22" t="str">
        <f t="shared" si="131"/>
        <v/>
      </c>
      <c r="M399" s="22" t="str">
        <f t="shared" si="132"/>
        <v/>
      </c>
      <c r="N399" s="103"/>
      <c r="O399" s="102"/>
    </row>
    <row r="400" spans="2:15" hidden="1" outlineLevel="1" x14ac:dyDescent="0.2">
      <c r="B400" s="2">
        <f t="shared" si="123"/>
        <v>165</v>
      </c>
      <c r="D400" s="22">
        <f>IF(B400&lt;$D$24,(+CALCULETTE!G797/CALCULETTE!$B$612),0)</f>
        <v>0</v>
      </c>
      <c r="E400" s="22" t="str">
        <f t="shared" si="124"/>
        <v/>
      </c>
      <c r="F400" s="22" t="str">
        <f t="shared" si="125"/>
        <v/>
      </c>
      <c r="G400" s="22" t="str">
        <f t="shared" si="126"/>
        <v/>
      </c>
      <c r="H400" s="22" t="str">
        <f t="shared" si="127"/>
        <v/>
      </c>
      <c r="I400" s="22" t="str">
        <f t="shared" si="128"/>
        <v/>
      </c>
      <c r="J400" s="22" t="str">
        <f t="shared" si="129"/>
        <v/>
      </c>
      <c r="K400" s="22" t="str">
        <f t="shared" si="130"/>
        <v/>
      </c>
      <c r="L400" s="22" t="str">
        <f t="shared" si="131"/>
        <v/>
      </c>
      <c r="M400" s="22" t="str">
        <f t="shared" si="132"/>
        <v/>
      </c>
      <c r="N400" s="103"/>
      <c r="O400" s="102"/>
    </row>
    <row r="401" spans="2:15" hidden="1" outlineLevel="1" x14ac:dyDescent="0.2">
      <c r="B401" s="2">
        <f t="shared" si="123"/>
        <v>166</v>
      </c>
      <c r="D401" s="22">
        <f>IF(B401&lt;$D$24,(+CALCULETTE!G798/CALCULETTE!$B$612),0)</f>
        <v>0</v>
      </c>
      <c r="E401" s="22" t="str">
        <f t="shared" si="124"/>
        <v/>
      </c>
      <c r="F401" s="22" t="str">
        <f t="shared" si="125"/>
        <v/>
      </c>
      <c r="G401" s="22" t="str">
        <f t="shared" si="126"/>
        <v/>
      </c>
      <c r="H401" s="22" t="str">
        <f t="shared" si="127"/>
        <v/>
      </c>
      <c r="I401" s="22" t="str">
        <f t="shared" si="128"/>
        <v/>
      </c>
      <c r="J401" s="22" t="str">
        <f t="shared" si="129"/>
        <v/>
      </c>
      <c r="K401" s="22" t="str">
        <f t="shared" si="130"/>
        <v/>
      </c>
      <c r="L401" s="22" t="str">
        <f t="shared" si="131"/>
        <v/>
      </c>
      <c r="M401" s="22" t="str">
        <f t="shared" si="132"/>
        <v/>
      </c>
      <c r="N401" s="103"/>
      <c r="O401" s="102"/>
    </row>
    <row r="402" spans="2:15" hidden="1" outlineLevel="1" x14ac:dyDescent="0.2">
      <c r="B402" s="2">
        <f t="shared" si="123"/>
        <v>167</v>
      </c>
      <c r="D402" s="22">
        <f>IF(B402&lt;$D$24,(+CALCULETTE!G799/CALCULETTE!$B$612),0)</f>
        <v>0</v>
      </c>
      <c r="E402" s="22" t="str">
        <f t="shared" si="124"/>
        <v/>
      </c>
      <c r="F402" s="22" t="str">
        <f t="shared" si="125"/>
        <v/>
      </c>
      <c r="G402" s="22" t="str">
        <f t="shared" si="126"/>
        <v/>
      </c>
      <c r="H402" s="22" t="str">
        <f t="shared" si="127"/>
        <v/>
      </c>
      <c r="I402" s="22" t="str">
        <f t="shared" si="128"/>
        <v/>
      </c>
      <c r="J402" s="22" t="str">
        <f t="shared" si="129"/>
        <v/>
      </c>
      <c r="K402" s="22" t="str">
        <f t="shared" si="130"/>
        <v/>
      </c>
      <c r="L402" s="22" t="str">
        <f t="shared" si="131"/>
        <v/>
      </c>
      <c r="M402" s="22" t="str">
        <f t="shared" si="132"/>
        <v/>
      </c>
      <c r="N402" s="103"/>
      <c r="O402" s="102"/>
    </row>
    <row r="403" spans="2:15" hidden="1" outlineLevel="1" x14ac:dyDescent="0.2">
      <c r="B403" s="2">
        <f t="shared" si="123"/>
        <v>168</v>
      </c>
      <c r="D403" s="22">
        <f>IF(B403&lt;$D$24,(+CALCULETTE!G800/CALCULETTE!$B$612),0)</f>
        <v>0</v>
      </c>
      <c r="E403" s="22" t="str">
        <f t="shared" si="124"/>
        <v/>
      </c>
      <c r="F403" s="22" t="str">
        <f t="shared" si="125"/>
        <v/>
      </c>
      <c r="G403" s="22" t="str">
        <f t="shared" si="126"/>
        <v/>
      </c>
      <c r="H403" s="22" t="str">
        <f t="shared" si="127"/>
        <v/>
      </c>
      <c r="I403" s="22" t="str">
        <f t="shared" si="128"/>
        <v/>
      </c>
      <c r="J403" s="22" t="str">
        <f t="shared" si="129"/>
        <v/>
      </c>
      <c r="K403" s="22" t="str">
        <f t="shared" si="130"/>
        <v/>
      </c>
      <c r="L403" s="22" t="str">
        <f t="shared" si="131"/>
        <v/>
      </c>
      <c r="M403" s="22" t="str">
        <f t="shared" si="132"/>
        <v/>
      </c>
      <c r="N403" s="103"/>
      <c r="O403" s="102"/>
    </row>
    <row r="404" spans="2:15" hidden="1" outlineLevel="1" x14ac:dyDescent="0.2">
      <c r="B404" s="2">
        <f t="shared" si="123"/>
        <v>169</v>
      </c>
      <c r="D404" s="22">
        <f>IF(B404&lt;$D$24,(+CALCULETTE!G801/CALCULETTE!$B$612),0)</f>
        <v>0</v>
      </c>
      <c r="E404" s="22" t="str">
        <f t="shared" si="124"/>
        <v/>
      </c>
      <c r="F404" s="22" t="str">
        <f t="shared" si="125"/>
        <v/>
      </c>
      <c r="G404" s="22" t="str">
        <f t="shared" si="126"/>
        <v/>
      </c>
      <c r="H404" s="22" t="str">
        <f t="shared" si="127"/>
        <v/>
      </c>
      <c r="I404" s="22" t="str">
        <f t="shared" si="128"/>
        <v/>
      </c>
      <c r="J404" s="22" t="str">
        <f t="shared" si="129"/>
        <v/>
      </c>
      <c r="K404" s="22" t="str">
        <f t="shared" si="130"/>
        <v/>
      </c>
      <c r="L404" s="22" t="str">
        <f t="shared" si="131"/>
        <v/>
      </c>
      <c r="M404" s="22" t="str">
        <f t="shared" si="132"/>
        <v/>
      </c>
      <c r="N404" s="103"/>
      <c r="O404" s="102"/>
    </row>
    <row r="405" spans="2:15" hidden="1" outlineLevel="1" x14ac:dyDescent="0.2">
      <c r="B405" s="2">
        <f t="shared" si="123"/>
        <v>170</v>
      </c>
      <c r="D405" s="22">
        <f>IF(B405&lt;$D$24,(+CALCULETTE!G802/CALCULETTE!$B$612),0)</f>
        <v>0</v>
      </c>
      <c r="E405" s="22" t="str">
        <f t="shared" si="124"/>
        <v/>
      </c>
      <c r="F405" s="22" t="str">
        <f t="shared" si="125"/>
        <v/>
      </c>
      <c r="G405" s="22" t="str">
        <f t="shared" si="126"/>
        <v/>
      </c>
      <c r="H405" s="22" t="str">
        <f t="shared" si="127"/>
        <v/>
      </c>
      <c r="I405" s="22" t="str">
        <f t="shared" si="128"/>
        <v/>
      </c>
      <c r="J405" s="22" t="str">
        <f t="shared" si="129"/>
        <v/>
      </c>
      <c r="K405" s="22" t="str">
        <f t="shared" si="130"/>
        <v/>
      </c>
      <c r="L405" s="22" t="str">
        <f t="shared" si="131"/>
        <v/>
      </c>
      <c r="M405" s="22" t="str">
        <f t="shared" si="132"/>
        <v/>
      </c>
      <c r="N405" s="103"/>
      <c r="O405" s="102"/>
    </row>
    <row r="406" spans="2:15" hidden="1" outlineLevel="1" x14ac:dyDescent="0.2">
      <c r="B406" s="2">
        <f t="shared" si="123"/>
        <v>171</v>
      </c>
      <c r="D406" s="22">
        <f>IF(B406&lt;$D$24,(+CALCULETTE!G803/CALCULETTE!$B$612),0)</f>
        <v>0</v>
      </c>
      <c r="E406" s="22" t="str">
        <f t="shared" si="124"/>
        <v/>
      </c>
      <c r="F406" s="22" t="str">
        <f t="shared" si="125"/>
        <v/>
      </c>
      <c r="G406" s="22" t="str">
        <f t="shared" si="126"/>
        <v/>
      </c>
      <c r="H406" s="22" t="str">
        <f t="shared" si="127"/>
        <v/>
      </c>
      <c r="I406" s="22" t="str">
        <f t="shared" si="128"/>
        <v/>
      </c>
      <c r="J406" s="22" t="str">
        <f t="shared" si="129"/>
        <v/>
      </c>
      <c r="K406" s="22" t="str">
        <f t="shared" si="130"/>
        <v/>
      </c>
      <c r="L406" s="22" t="str">
        <f t="shared" si="131"/>
        <v/>
      </c>
      <c r="M406" s="22" t="str">
        <f t="shared" si="132"/>
        <v/>
      </c>
      <c r="N406" s="103"/>
      <c r="O406" s="102"/>
    </row>
    <row r="407" spans="2:15" hidden="1" outlineLevel="1" x14ac:dyDescent="0.2">
      <c r="B407" s="2">
        <f t="shared" si="123"/>
        <v>172</v>
      </c>
      <c r="D407" s="22">
        <f>IF(B407&lt;$D$24,(+CALCULETTE!G804/CALCULETTE!$B$612),0)</f>
        <v>0</v>
      </c>
      <c r="E407" s="22" t="str">
        <f t="shared" si="124"/>
        <v/>
      </c>
      <c r="F407" s="22" t="str">
        <f t="shared" si="125"/>
        <v/>
      </c>
      <c r="G407" s="22" t="str">
        <f t="shared" si="126"/>
        <v/>
      </c>
      <c r="H407" s="22" t="str">
        <f t="shared" si="127"/>
        <v/>
      </c>
      <c r="I407" s="22" t="str">
        <f t="shared" si="128"/>
        <v/>
      </c>
      <c r="J407" s="22" t="str">
        <f t="shared" si="129"/>
        <v/>
      </c>
      <c r="K407" s="22" t="str">
        <f t="shared" si="130"/>
        <v/>
      </c>
      <c r="L407" s="22" t="str">
        <f t="shared" si="131"/>
        <v/>
      </c>
      <c r="M407" s="22" t="str">
        <f t="shared" si="132"/>
        <v/>
      </c>
      <c r="N407" s="103"/>
      <c r="O407" s="102"/>
    </row>
    <row r="408" spans="2:15" hidden="1" outlineLevel="1" x14ac:dyDescent="0.2">
      <c r="B408" s="2">
        <f t="shared" si="123"/>
        <v>173</v>
      </c>
      <c r="D408" s="22">
        <f>IF(B408&lt;$D$24,(+#REF!/CALCULETTE!$B$612),0)</f>
        <v>0</v>
      </c>
      <c r="E408" s="22" t="str">
        <f t="shared" si="124"/>
        <v/>
      </c>
      <c r="F408" s="22" t="str">
        <f t="shared" si="125"/>
        <v/>
      </c>
      <c r="G408" s="22" t="str">
        <f t="shared" si="126"/>
        <v/>
      </c>
      <c r="H408" s="22" t="str">
        <f t="shared" si="127"/>
        <v/>
      </c>
      <c r="I408" s="22" t="str">
        <f t="shared" si="128"/>
        <v/>
      </c>
      <c r="J408" s="22" t="str">
        <f t="shared" si="129"/>
        <v/>
      </c>
      <c r="K408" s="22" t="str">
        <f t="shared" si="130"/>
        <v/>
      </c>
      <c r="L408" s="22" t="str">
        <f t="shared" si="131"/>
        <v/>
      </c>
      <c r="M408" s="22" t="str">
        <f t="shared" si="132"/>
        <v/>
      </c>
      <c r="N408" s="103"/>
      <c r="O408" s="102"/>
    </row>
    <row r="409" spans="2:15" hidden="1" outlineLevel="1" x14ac:dyDescent="0.2">
      <c r="B409" s="2">
        <f t="shared" si="123"/>
        <v>174</v>
      </c>
      <c r="D409" s="22">
        <f>IF(B409&lt;$D$24,(+#REF!/CALCULETTE!$B$612),0)</f>
        <v>0</v>
      </c>
      <c r="E409" s="22" t="str">
        <f t="shared" si="124"/>
        <v/>
      </c>
      <c r="F409" s="22" t="str">
        <f t="shared" si="125"/>
        <v/>
      </c>
      <c r="G409" s="22" t="str">
        <f t="shared" si="126"/>
        <v/>
      </c>
      <c r="H409" s="22" t="str">
        <f t="shared" si="127"/>
        <v/>
      </c>
      <c r="I409" s="22" t="str">
        <f t="shared" si="128"/>
        <v/>
      </c>
      <c r="J409" s="22" t="str">
        <f t="shared" si="129"/>
        <v/>
      </c>
      <c r="K409" s="22" t="str">
        <f t="shared" si="130"/>
        <v/>
      </c>
      <c r="L409" s="22" t="str">
        <f t="shared" si="131"/>
        <v/>
      </c>
      <c r="M409" s="22" t="str">
        <f t="shared" si="132"/>
        <v/>
      </c>
      <c r="N409" s="103"/>
      <c r="O409" s="102"/>
    </row>
    <row r="410" spans="2:15" hidden="1" outlineLevel="1" x14ac:dyDescent="0.2">
      <c r="B410" s="2">
        <f t="shared" si="123"/>
        <v>175</v>
      </c>
      <c r="D410" s="22">
        <f>IF(B410&lt;$D$24,(+#REF!/CALCULETTE!$B$612),0)</f>
        <v>0</v>
      </c>
      <c r="E410" s="22" t="str">
        <f t="shared" si="124"/>
        <v/>
      </c>
      <c r="F410" s="22" t="str">
        <f t="shared" si="125"/>
        <v/>
      </c>
      <c r="G410" s="22" t="str">
        <f t="shared" si="126"/>
        <v/>
      </c>
      <c r="H410" s="22" t="str">
        <f t="shared" si="127"/>
        <v/>
      </c>
      <c r="I410" s="22" t="str">
        <f t="shared" si="128"/>
        <v/>
      </c>
      <c r="J410" s="22" t="str">
        <f t="shared" si="129"/>
        <v/>
      </c>
      <c r="K410" s="22" t="str">
        <f t="shared" si="130"/>
        <v/>
      </c>
      <c r="L410" s="22" t="str">
        <f t="shared" si="131"/>
        <v/>
      </c>
      <c r="M410" s="22" t="str">
        <f t="shared" si="132"/>
        <v/>
      </c>
      <c r="N410" s="103"/>
      <c r="O410" s="102"/>
    </row>
    <row r="411" spans="2:15" hidden="1" outlineLevel="1" x14ac:dyDescent="0.2">
      <c r="B411" s="2">
        <f t="shared" si="123"/>
        <v>176</v>
      </c>
      <c r="D411" s="22">
        <f>IF(B411&lt;$D$24,(+#REF!/CALCULETTE!$B$612),0)</f>
        <v>0</v>
      </c>
      <c r="E411" s="22" t="str">
        <f t="shared" si="124"/>
        <v/>
      </c>
      <c r="F411" s="22" t="str">
        <f t="shared" si="125"/>
        <v/>
      </c>
      <c r="G411" s="22" t="str">
        <f t="shared" si="126"/>
        <v/>
      </c>
      <c r="H411" s="22" t="str">
        <f t="shared" si="127"/>
        <v/>
      </c>
      <c r="I411" s="22" t="str">
        <f t="shared" si="128"/>
        <v/>
      </c>
      <c r="J411" s="22" t="str">
        <f t="shared" si="129"/>
        <v/>
      </c>
      <c r="K411" s="22" t="str">
        <f t="shared" si="130"/>
        <v/>
      </c>
      <c r="L411" s="22" t="str">
        <f t="shared" si="131"/>
        <v/>
      </c>
      <c r="M411" s="22" t="str">
        <f t="shared" si="132"/>
        <v/>
      </c>
      <c r="N411" s="103"/>
      <c r="O411" s="102"/>
    </row>
    <row r="412" spans="2:15" hidden="1" outlineLevel="1" x14ac:dyDescent="0.2">
      <c r="B412" s="2">
        <f t="shared" si="123"/>
        <v>177</v>
      </c>
      <c r="D412" s="22">
        <f>IF(B412&lt;$D$24,(+#REF!/CALCULETTE!$B$612),0)</f>
        <v>0</v>
      </c>
      <c r="E412" s="22" t="str">
        <f t="shared" si="124"/>
        <v/>
      </c>
      <c r="F412" s="22" t="str">
        <f t="shared" si="125"/>
        <v/>
      </c>
      <c r="G412" s="22" t="str">
        <f t="shared" si="126"/>
        <v/>
      </c>
      <c r="H412" s="22" t="str">
        <f t="shared" si="127"/>
        <v/>
      </c>
      <c r="I412" s="22" t="str">
        <f t="shared" si="128"/>
        <v/>
      </c>
      <c r="J412" s="22" t="str">
        <f t="shared" si="129"/>
        <v/>
      </c>
      <c r="K412" s="22" t="str">
        <f t="shared" si="130"/>
        <v/>
      </c>
      <c r="L412" s="22" t="str">
        <f t="shared" si="131"/>
        <v/>
      </c>
      <c r="M412" s="22" t="str">
        <f t="shared" si="132"/>
        <v/>
      </c>
      <c r="N412" s="103"/>
      <c r="O412" s="102"/>
    </row>
    <row r="413" spans="2:15" hidden="1" outlineLevel="1" x14ac:dyDescent="0.2">
      <c r="B413" s="2">
        <f t="shared" si="123"/>
        <v>178</v>
      </c>
      <c r="D413" s="22">
        <f>IF(B413&lt;$D$24,(+#REF!/CALCULETTE!$B$612),0)</f>
        <v>0</v>
      </c>
      <c r="E413" s="22" t="str">
        <f t="shared" si="124"/>
        <v/>
      </c>
      <c r="F413" s="22" t="str">
        <f t="shared" si="125"/>
        <v/>
      </c>
      <c r="G413" s="22" t="str">
        <f t="shared" si="126"/>
        <v/>
      </c>
      <c r="H413" s="22" t="str">
        <f t="shared" si="127"/>
        <v/>
      </c>
      <c r="I413" s="22" t="str">
        <f t="shared" si="128"/>
        <v/>
      </c>
      <c r="J413" s="22" t="str">
        <f t="shared" si="129"/>
        <v/>
      </c>
      <c r="K413" s="22" t="str">
        <f t="shared" si="130"/>
        <v/>
      </c>
      <c r="L413" s="22" t="str">
        <f t="shared" si="131"/>
        <v/>
      </c>
      <c r="M413" s="22" t="str">
        <f t="shared" si="132"/>
        <v/>
      </c>
      <c r="N413" s="103"/>
      <c r="O413" s="102"/>
    </row>
    <row r="414" spans="2:15" hidden="1" outlineLevel="1" x14ac:dyDescent="0.2">
      <c r="B414" s="2">
        <f t="shared" si="123"/>
        <v>179</v>
      </c>
      <c r="D414" s="22">
        <f>IF(B414&lt;$D$24,(+#REF!/CALCULETTE!$B$612),0)</f>
        <v>0</v>
      </c>
      <c r="E414" s="22" t="str">
        <f t="shared" si="124"/>
        <v/>
      </c>
      <c r="F414" s="22" t="str">
        <f t="shared" si="125"/>
        <v/>
      </c>
      <c r="G414" s="22" t="str">
        <f t="shared" si="126"/>
        <v/>
      </c>
      <c r="H414" s="22" t="str">
        <f t="shared" si="127"/>
        <v/>
      </c>
      <c r="I414" s="22" t="str">
        <f t="shared" si="128"/>
        <v/>
      </c>
      <c r="J414" s="22" t="str">
        <f t="shared" si="129"/>
        <v/>
      </c>
      <c r="K414" s="22" t="str">
        <f t="shared" si="130"/>
        <v/>
      </c>
      <c r="L414" s="22" t="str">
        <f t="shared" si="131"/>
        <v/>
      </c>
      <c r="M414" s="22" t="str">
        <f t="shared" si="132"/>
        <v/>
      </c>
      <c r="N414" s="103"/>
      <c r="O414" s="102"/>
    </row>
    <row r="415" spans="2:15" collapsed="1" x14ac:dyDescent="0.2">
      <c r="D415" s="29"/>
    </row>
    <row r="416" spans="2:15" x14ac:dyDescent="0.2">
      <c r="D416" s="29"/>
    </row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spans="1:22" hidden="1" x14ac:dyDescent="0.2"/>
    <row r="594" spans="1:22" hidden="1" x14ac:dyDescent="0.2"/>
    <row r="595" spans="1:22" hidden="1" x14ac:dyDescent="0.2"/>
    <row r="596" spans="1:22" hidden="1" x14ac:dyDescent="0.2"/>
    <row r="597" spans="1:22" hidden="1" x14ac:dyDescent="0.2"/>
    <row r="598" spans="1:22" hidden="1" x14ac:dyDescent="0.2"/>
    <row r="599" spans="1:22" hidden="1" x14ac:dyDescent="0.2"/>
    <row r="600" spans="1:22" hidden="1" x14ac:dyDescent="0.2"/>
    <row r="601" spans="1:22" hidden="1" x14ac:dyDescent="0.2"/>
    <row r="602" spans="1:22" hidden="1" x14ac:dyDescent="0.2"/>
    <row r="603" spans="1:22" hidden="1" x14ac:dyDescent="0.2"/>
    <row r="604" spans="1:22" hidden="1" x14ac:dyDescent="0.2"/>
    <row r="605" spans="1:22" hidden="1" x14ac:dyDescent="0.2"/>
    <row r="606" spans="1:22" hidden="1" x14ac:dyDescent="0.2"/>
    <row r="607" spans="1:22" hidden="1" x14ac:dyDescent="0.2"/>
    <row r="608" spans="1:22" x14ac:dyDescent="0.2">
      <c r="A608" s="179"/>
      <c r="B608" s="178"/>
      <c r="C608" s="179"/>
      <c r="D608" s="179"/>
      <c r="E608" s="179"/>
      <c r="F608" s="179"/>
      <c r="G608" s="179"/>
      <c r="H608" s="233" t="s">
        <v>46</v>
      </c>
      <c r="I608" s="179"/>
      <c r="J608" s="179"/>
      <c r="K608" s="179"/>
      <c r="L608" s="179"/>
      <c r="M608" s="179"/>
      <c r="N608" s="179"/>
      <c r="O608" s="179"/>
      <c r="P608" s="179"/>
      <c r="Q608" s="179"/>
      <c r="R608" s="179"/>
      <c r="S608" s="179"/>
      <c r="T608" s="179"/>
      <c r="U608" s="179"/>
      <c r="V608" s="179"/>
    </row>
    <row r="609" spans="1:31" ht="12.75" customHeight="1" thickBot="1" x14ac:dyDescent="0.25">
      <c r="H609" s="25" t="s">
        <v>47</v>
      </c>
    </row>
    <row r="610" spans="1:31" ht="15.75" customHeight="1" x14ac:dyDescent="0.25">
      <c r="A610" s="43"/>
      <c r="B610" s="121"/>
      <c r="C610" s="44"/>
      <c r="D610" s="45"/>
      <c r="E610" s="46">
        <f>+D20*(1+B614/12)</f>
        <v>3919.3375000000001</v>
      </c>
      <c r="F610" s="46"/>
      <c r="G610" s="46"/>
      <c r="H610" s="234" t="s">
        <v>48</v>
      </c>
      <c r="I610" s="47"/>
      <c r="J610" s="46"/>
      <c r="K610" s="47"/>
      <c r="L610" s="122"/>
      <c r="M610" s="123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122"/>
      <c r="Z610" s="46"/>
      <c r="AA610" s="60"/>
      <c r="AB610" s="190"/>
      <c r="AC610" s="46"/>
      <c r="AD610" s="46"/>
      <c r="AE610" s="46"/>
    </row>
    <row r="611" spans="1:31" ht="12.75" customHeight="1" thickBot="1" x14ac:dyDescent="0.25">
      <c r="A611" s="48"/>
      <c r="B611" s="124"/>
      <c r="C611" s="44"/>
      <c r="D611" s="46"/>
      <c r="E611" s="46"/>
      <c r="F611" s="46"/>
      <c r="G611" s="46"/>
      <c r="H611" s="46"/>
      <c r="I611" s="47" t="s">
        <v>49</v>
      </c>
      <c r="J611" s="46" t="s">
        <v>50</v>
      </c>
      <c r="K611" s="47" t="s">
        <v>51</v>
      </c>
      <c r="L611" s="122"/>
      <c r="M611" s="123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122"/>
      <c r="Z611" s="46"/>
      <c r="AA611" s="60"/>
      <c r="AB611" s="190"/>
      <c r="AC611" s="46"/>
      <c r="AD611" s="46"/>
      <c r="AE611" s="46"/>
    </row>
    <row r="612" spans="1:31" x14ac:dyDescent="0.2">
      <c r="A612" s="49" t="s">
        <v>52</v>
      </c>
      <c r="B612" s="125">
        <f>CALCULETTE!D22</f>
        <v>30075</v>
      </c>
      <c r="C612" s="46"/>
      <c r="D612" s="46"/>
      <c r="E612" s="50"/>
      <c r="F612" s="46"/>
      <c r="G612" s="46"/>
      <c r="H612" s="94">
        <f>PMT($B$614/12,$B$613,-$B$612,$B$617,0)</f>
        <v>459.82616350758974</v>
      </c>
      <c r="I612" s="86">
        <f>-B612</f>
        <v>-30075</v>
      </c>
      <c r="J612" s="86">
        <f>+B617</f>
        <v>18231.666666666668</v>
      </c>
      <c r="K612" s="46">
        <v>0</v>
      </c>
      <c r="L612" s="122"/>
      <c r="M612" s="123"/>
      <c r="N612" s="46"/>
      <c r="O612" s="46"/>
      <c r="P612" s="86"/>
      <c r="Q612" s="46"/>
      <c r="R612" s="46"/>
      <c r="S612" s="46"/>
      <c r="T612" s="46"/>
      <c r="U612" s="46"/>
      <c r="V612" s="46"/>
      <c r="W612" s="46"/>
      <c r="X612" s="46"/>
      <c r="Y612" s="122"/>
      <c r="Z612" s="46"/>
      <c r="AA612" s="189"/>
      <c r="AB612" s="191"/>
      <c r="AC612" s="46"/>
      <c r="AD612" s="46"/>
      <c r="AE612" s="46"/>
    </row>
    <row r="613" spans="1:31" x14ac:dyDescent="0.2">
      <c r="A613" s="87" t="s">
        <v>53</v>
      </c>
      <c r="B613" s="126">
        <f>CALCULETTE!D23</f>
        <v>35</v>
      </c>
      <c r="C613" s="46"/>
      <c r="D613" s="237" t="s">
        <v>54</v>
      </c>
      <c r="E613" s="238"/>
      <c r="F613" s="46"/>
      <c r="G613" s="46" t="s">
        <v>55</v>
      </c>
      <c r="H613" s="94">
        <f>PMT($B$614/12,$B$613,-$B$612*IF(CALCULETTE!$D$20=0,1,(1+$B$614/12)),$B$617,$B$620)</f>
        <v>462.18602943987526</v>
      </c>
      <c r="I613" s="94">
        <f>-$B$612*IF(CALCULETTE!$D$20=0,1,(1+$B$614/12))</f>
        <v>-30224.121875000001</v>
      </c>
      <c r="J613" s="46"/>
      <c r="K613" s="46">
        <v>1</v>
      </c>
      <c r="L613" s="122"/>
      <c r="M613" s="123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122"/>
      <c r="Z613" s="46"/>
      <c r="AA613" s="192"/>
      <c r="AB613" s="193"/>
      <c r="AC613" s="46"/>
      <c r="AD613" s="46"/>
      <c r="AE613" s="46"/>
    </row>
    <row r="614" spans="1:31" x14ac:dyDescent="0.2">
      <c r="A614" s="87" t="s">
        <v>56</v>
      </c>
      <c r="B614" s="127">
        <f>CALCULETTE!D26</f>
        <v>5.9499999999999997E-2</v>
      </c>
      <c r="C614" s="46"/>
      <c r="D614" s="51" t="s">
        <v>57</v>
      </c>
      <c r="E614" s="52">
        <f>V629</f>
        <v>7.7999999999999403E-2</v>
      </c>
      <c r="F614" s="46"/>
      <c r="G614" s="46"/>
      <c r="H614" s="46"/>
      <c r="J614" s="46"/>
      <c r="K614" s="46"/>
      <c r="L614" s="122"/>
      <c r="M614" s="123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122"/>
      <c r="Z614" s="46"/>
      <c r="AA614" s="192"/>
      <c r="AB614" s="194"/>
      <c r="AC614" s="46"/>
      <c r="AD614" s="46"/>
      <c r="AE614" s="46"/>
    </row>
    <row r="615" spans="1:31" x14ac:dyDescent="0.2">
      <c r="A615" s="87" t="s">
        <v>22</v>
      </c>
      <c r="B615" s="127">
        <f>CALCULETTE!D25</f>
        <v>7.8E-2</v>
      </c>
      <c r="C615" s="46"/>
      <c r="D615" s="51" t="s">
        <v>58</v>
      </c>
      <c r="E615" s="52">
        <f>I629</f>
        <v>5.9499999999678366E-2</v>
      </c>
      <c r="F615" s="46"/>
      <c r="G615" s="46"/>
      <c r="H615" s="46"/>
      <c r="I615" s="108"/>
      <c r="J615" s="46"/>
      <c r="K615" s="46"/>
      <c r="L615" s="122"/>
      <c r="M615" s="123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122"/>
      <c r="Z615" s="46"/>
      <c r="AA615" s="192"/>
      <c r="AB615" s="194"/>
      <c r="AC615" s="46"/>
      <c r="AD615" s="46"/>
      <c r="AE615" s="46"/>
    </row>
    <row r="616" spans="1:31" x14ac:dyDescent="0.2">
      <c r="A616" s="87" t="s">
        <v>59</v>
      </c>
      <c r="B616" s="127">
        <f>CALCULETTE!D27</f>
        <v>0.6062067054585758</v>
      </c>
      <c r="C616" s="46"/>
      <c r="D616" s="128" t="s">
        <v>60</v>
      </c>
      <c r="E616" s="53">
        <f>E614-E615</f>
        <v>1.8500000000321037E-2</v>
      </c>
      <c r="F616" s="46"/>
      <c r="G616" s="46"/>
      <c r="H616" s="46"/>
      <c r="I616" s="86"/>
      <c r="J616" s="46"/>
      <c r="K616" s="46"/>
      <c r="L616" s="122"/>
      <c r="M616" s="123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122"/>
      <c r="Z616" s="46"/>
      <c r="AA616" s="192"/>
      <c r="AB616" s="194"/>
      <c r="AC616" s="46"/>
      <c r="AD616" s="46"/>
      <c r="AE616" s="46"/>
    </row>
    <row r="617" spans="1:31" x14ac:dyDescent="0.2">
      <c r="A617" s="87" t="s">
        <v>61</v>
      </c>
      <c r="B617" s="129">
        <f>B616*B612</f>
        <v>18231.666666666668</v>
      </c>
      <c r="C617" s="46"/>
      <c r="D617" s="237" t="s">
        <v>62</v>
      </c>
      <c r="E617" s="238"/>
      <c r="F617" s="46"/>
      <c r="G617" s="46"/>
      <c r="H617" s="46"/>
      <c r="I617" s="46"/>
      <c r="J617" s="46"/>
      <c r="K617" s="46"/>
      <c r="L617" s="122"/>
      <c r="M617" s="123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122"/>
      <c r="Z617" s="46"/>
      <c r="AA617" s="192"/>
      <c r="AB617" s="195"/>
      <c r="AC617" s="46"/>
      <c r="AD617" s="46"/>
      <c r="AE617" s="46"/>
    </row>
    <row r="618" spans="1:31" x14ac:dyDescent="0.2">
      <c r="A618" s="87" t="s">
        <v>63</v>
      </c>
      <c r="B618" s="130">
        <f>CALCULETTE!D33</f>
        <v>0</v>
      </c>
      <c r="C618" s="46"/>
      <c r="D618" s="51" t="s">
        <v>57</v>
      </c>
      <c r="E618" s="52">
        <f>X629</f>
        <v>7.7999999999999403E-2</v>
      </c>
      <c r="F618" s="46"/>
      <c r="G618" s="46"/>
      <c r="H618" s="46"/>
      <c r="I618" s="46"/>
      <c r="J618" s="46"/>
      <c r="K618" s="46"/>
      <c r="L618" s="122"/>
      <c r="M618" s="123"/>
      <c r="N618" s="46"/>
      <c r="O618" s="46"/>
      <c r="P618" s="86">
        <f>SUM(D632:D750)</f>
        <v>4250.5823894323121</v>
      </c>
      <c r="Q618" s="86">
        <f>SUM(Q632:Q750)</f>
        <v>5584.2042681991161</v>
      </c>
      <c r="R618" s="211"/>
      <c r="S618" s="46"/>
      <c r="T618" s="46"/>
      <c r="U618" s="46"/>
      <c r="V618" s="46"/>
      <c r="W618" s="46"/>
      <c r="X618" s="46"/>
      <c r="Y618" s="122"/>
      <c r="Z618" s="46"/>
      <c r="AA618" s="192"/>
      <c r="AB618" s="196"/>
      <c r="AC618" s="46"/>
      <c r="AD618" s="46"/>
      <c r="AE618" s="46"/>
    </row>
    <row r="619" spans="1:31" x14ac:dyDescent="0.2">
      <c r="A619" s="87" t="s">
        <v>64</v>
      </c>
      <c r="B619" s="130">
        <f>CALCULETTE!D34</f>
        <v>0</v>
      </c>
      <c r="C619" s="46"/>
      <c r="D619" s="51" t="s">
        <v>58</v>
      </c>
      <c r="E619" s="52">
        <f>K629</f>
        <v>5.9499999999678366E-2</v>
      </c>
      <c r="F619" s="46"/>
      <c r="G619" s="46"/>
      <c r="H619" s="46"/>
      <c r="I619" s="46"/>
      <c r="J619" s="94"/>
      <c r="K619" s="46"/>
      <c r="L619" s="122"/>
      <c r="M619" s="123"/>
      <c r="N619" s="46"/>
      <c r="O619" s="46"/>
      <c r="P619" s="86">
        <f>Q618-P618</f>
        <v>1333.621878766804</v>
      </c>
      <c r="Q619" s="46"/>
      <c r="R619" s="46"/>
      <c r="S619" s="46"/>
      <c r="T619" s="46"/>
      <c r="U619" s="46"/>
      <c r="V619" s="46"/>
      <c r="W619" s="46"/>
      <c r="X619" s="46"/>
      <c r="Y619" s="122"/>
      <c r="Z619" s="46"/>
      <c r="AA619" s="192"/>
      <c r="AB619" s="196"/>
      <c r="AC619" s="46"/>
      <c r="AD619" s="46"/>
      <c r="AE619" s="46"/>
    </row>
    <row r="620" spans="1:31" ht="12.75" customHeight="1" thickBot="1" x14ac:dyDescent="0.25">
      <c r="A620" s="131" t="s">
        <v>65</v>
      </c>
      <c r="B620" s="132">
        <v>1</v>
      </c>
      <c r="C620" s="46"/>
      <c r="D620" s="128" t="s">
        <v>60</v>
      </c>
      <c r="E620" s="53">
        <f>E618-E619</f>
        <v>1.8500000000321037E-2</v>
      </c>
      <c r="F620" s="46"/>
      <c r="G620" s="46"/>
      <c r="H620" s="46"/>
      <c r="I620" s="46"/>
      <c r="J620" s="46"/>
      <c r="K620" s="46"/>
      <c r="L620" s="122"/>
      <c r="M620" s="123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122"/>
      <c r="Z620" s="46"/>
      <c r="AA620" s="197"/>
      <c r="AB620" s="198"/>
      <c r="AC620" s="46"/>
      <c r="AD620" s="46"/>
      <c r="AE620" s="46"/>
    </row>
    <row r="621" spans="1:31" ht="12.75" customHeight="1" thickBot="1" x14ac:dyDescent="0.25">
      <c r="A621" s="133" t="s">
        <v>66</v>
      </c>
      <c r="B621" s="212">
        <v>5.0000000000000001E-3</v>
      </c>
      <c r="C621" s="46"/>
      <c r="D621" s="128"/>
      <c r="E621" s="53"/>
      <c r="F621" s="46"/>
      <c r="G621" s="46"/>
      <c r="H621" s="46"/>
      <c r="I621" s="46"/>
      <c r="J621" s="46"/>
      <c r="K621" s="46"/>
      <c r="L621" s="122"/>
      <c r="M621" s="123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122"/>
      <c r="Z621" s="46"/>
      <c r="AA621" s="199"/>
      <c r="AB621" s="200"/>
      <c r="AC621" s="46"/>
      <c r="AD621" s="46"/>
      <c r="AE621" s="46"/>
    </row>
    <row r="622" spans="1:31" x14ac:dyDescent="0.2">
      <c r="A622" s="78" t="s">
        <v>67</v>
      </c>
      <c r="B622" s="134">
        <f>U629-H629</f>
        <v>1228.5863635439896</v>
      </c>
      <c r="C622" s="46"/>
      <c r="D622" s="46"/>
      <c r="E622" s="46"/>
      <c r="F622" s="46"/>
      <c r="G622" s="46"/>
      <c r="H622" s="46"/>
      <c r="I622" s="46"/>
      <c r="J622" s="46"/>
      <c r="K622" s="46"/>
      <c r="L622" s="122"/>
      <c r="M622" s="123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122"/>
      <c r="Z622" s="46"/>
      <c r="AA622" s="201"/>
      <c r="AB622" s="202"/>
      <c r="AC622" s="46"/>
      <c r="AD622" s="46"/>
      <c r="AE622" s="46"/>
    </row>
    <row r="623" spans="1:31" x14ac:dyDescent="0.2">
      <c r="A623" s="79" t="s">
        <v>68</v>
      </c>
      <c r="B623" s="135">
        <f>W629-J629</f>
        <v>0</v>
      </c>
      <c r="C623" s="46"/>
      <c r="D623" s="46"/>
      <c r="E623" s="99">
        <f>IF(A632&lt;$B$613,PMT($B$614/12,IF(IF(ISBLANK(compensation!$B$4)=TRUE,0,1)&gt;0,+$B$613-1-0,$B$613-0),-$B$612,$B$617,$B$620),IF(A632=$B$613,PMT($B$614/12,$B$613,-$B$612,$B$617,$B$620)+$B$617,0))</f>
        <v>467.461200339237</v>
      </c>
      <c r="F623" s="99"/>
      <c r="G623" s="99"/>
      <c r="H623" s="99"/>
      <c r="I623" s="106"/>
      <c r="J623" s="46"/>
      <c r="K623" s="105"/>
      <c r="L623" s="122"/>
      <c r="M623" s="136"/>
      <c r="N623" s="46"/>
      <c r="O623" s="46"/>
      <c r="P623" s="46"/>
      <c r="Q623" s="46"/>
      <c r="R623" s="99">
        <f>IF(N632&lt;$B$613,PMT($B$615/12,$B$613,-$B$612,$B$617,$B$620),IF(N632=$B$613,PMT($B$615/12,$B$613,-$B$612,$B$617,$B$620)+$B$617,0))</f>
        <v>494.71400472734234</v>
      </c>
      <c r="S623" s="46"/>
      <c r="T623" s="99"/>
      <c r="U623" s="99"/>
      <c r="V623" s="46"/>
      <c r="W623" s="46"/>
      <c r="X623" s="46"/>
      <c r="Y623" s="122"/>
      <c r="Z623" s="46"/>
      <c r="AA623" s="201"/>
      <c r="AB623" s="202"/>
      <c r="AC623" s="46"/>
      <c r="AD623" s="46"/>
      <c r="AE623" s="46"/>
    </row>
    <row r="624" spans="1:31" ht="15" customHeight="1" x14ac:dyDescent="0.25">
      <c r="A624" s="77" t="s">
        <v>69</v>
      </c>
      <c r="B624" s="137">
        <f>(U629+W629)-(H629+J629)</f>
        <v>1228.5863635439896</v>
      </c>
      <c r="C624" s="76">
        <f>B624-CALCULETTE!D37</f>
        <v>0</v>
      </c>
      <c r="D624" s="138" t="s">
        <v>70</v>
      </c>
      <c r="E624" s="99">
        <f>ROUNDUP(IF(A632&lt;$B$613,PMT($B$614/12,$B$613,-$B$612,$B$617,0),IF(A632=$B$613,PMT($B$614/12,$B$613,-$B$612,$B$617,0)+$B$617,0)),2)</f>
        <v>459.83</v>
      </c>
      <c r="F624" s="99">
        <f>+E623*1.2</f>
        <v>560.95344040708437</v>
      </c>
      <c r="G624" s="99"/>
      <c r="H624" s="99"/>
      <c r="I624" s="86"/>
      <c r="J624" s="139"/>
      <c r="K624" s="105"/>
      <c r="L624" s="122"/>
      <c r="M624" s="123"/>
      <c r="N624" s="46"/>
      <c r="O624" s="46"/>
      <c r="P624" s="46"/>
      <c r="Q624" s="138" t="s">
        <v>70</v>
      </c>
      <c r="R624" s="99">
        <f>ROUNDUP(IF(N632&lt;$B$613,PMT($B$615/12,$B$613,-$B$612*IF(CALCULETTE!$D$20=0,1,(1+$B$615/12)),$B$617,$B$620),IF(N632=$B$613,PMT($B$615/12,$B$613,-$B$612*IF(CALCULETTE!$D$20=0,1,(1+$B$615/12)),$B$617,$B$620)+$B$617,0)),2)</f>
        <v>500.94</v>
      </c>
      <c r="S624" s="99">
        <f>+R624*1.2</f>
        <v>601.12799999999993</v>
      </c>
      <c r="T624" s="99"/>
      <c r="U624" s="99"/>
      <c r="V624" s="46"/>
      <c r="W624" s="46"/>
      <c r="X624" s="46"/>
      <c r="Y624" s="122"/>
      <c r="Z624" s="46"/>
      <c r="AA624" s="203"/>
      <c r="AB624" s="204"/>
      <c r="AC624" s="46"/>
      <c r="AD624" s="46"/>
      <c r="AE624" s="46"/>
    </row>
    <row r="625" spans="1:31" ht="15.75" customHeight="1" thickBot="1" x14ac:dyDescent="0.3">
      <c r="A625" s="54" t="s">
        <v>71</v>
      </c>
      <c r="B625" s="80">
        <f>B624/B612</f>
        <v>4.0850751905037064E-2</v>
      </c>
      <c r="C625" s="50">
        <f>+B617+C632</f>
        <v>18691.492830174258</v>
      </c>
      <c r="D625" s="138"/>
      <c r="E625" s="46"/>
      <c r="F625" s="46"/>
      <c r="G625" s="46"/>
      <c r="H625" s="86">
        <f>+U629-H629</f>
        <v>1228.5863635439896</v>
      </c>
      <c r="I625" s="86">
        <f>+Q629-D629</f>
        <v>1333.621878766804</v>
      </c>
      <c r="J625" s="46"/>
      <c r="K625" s="46"/>
      <c r="L625" s="122"/>
      <c r="M625" s="123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122"/>
      <c r="Z625" s="46"/>
      <c r="AA625" s="205"/>
      <c r="AB625" s="206"/>
      <c r="AC625" s="46"/>
      <c r="AD625" s="46"/>
      <c r="AE625" s="46"/>
    </row>
    <row r="626" spans="1:31" x14ac:dyDescent="0.2">
      <c r="A626" s="60"/>
      <c r="B626" s="100"/>
      <c r="C626" s="46"/>
      <c r="D626" s="46"/>
      <c r="E626" s="46"/>
      <c r="F626" s="84"/>
      <c r="G626" s="84"/>
      <c r="H626" s="84"/>
      <c r="I626" s="46"/>
      <c r="J626" s="46"/>
      <c r="K626" s="46"/>
      <c r="L626" s="122"/>
      <c r="M626" s="123"/>
      <c r="N626" s="46"/>
      <c r="O626" s="46"/>
      <c r="P626" s="46"/>
      <c r="Q626" s="46"/>
      <c r="R626" s="46"/>
      <c r="S626" s="84"/>
      <c r="T626" s="84">
        <f>T628-CALCULETTE!D40</f>
        <v>0</v>
      </c>
      <c r="U626" s="84"/>
      <c r="V626" s="46"/>
      <c r="W626" s="46"/>
      <c r="X626" s="46"/>
      <c r="Y626" s="122"/>
      <c r="Z626" s="46"/>
      <c r="AA626" s="46"/>
      <c r="AB626" s="46"/>
      <c r="AC626" s="46"/>
      <c r="AD626" s="46"/>
      <c r="AE626" s="46"/>
    </row>
    <row r="627" spans="1:31" x14ac:dyDescent="0.2">
      <c r="A627" s="235" t="s">
        <v>72</v>
      </c>
      <c r="B627" s="236"/>
      <c r="C627" s="236"/>
      <c r="D627" s="236"/>
      <c r="E627" s="236"/>
      <c r="F627" s="236"/>
      <c r="G627" s="236"/>
      <c r="H627" s="236"/>
      <c r="I627" s="236"/>
      <c r="J627" s="236"/>
      <c r="K627" s="236"/>
      <c r="L627" s="236"/>
      <c r="M627" s="123"/>
      <c r="N627" s="235" t="s">
        <v>73</v>
      </c>
      <c r="O627" s="236"/>
      <c r="P627" s="236"/>
      <c r="Q627" s="236"/>
      <c r="R627" s="236"/>
      <c r="S627" s="236"/>
      <c r="T627" s="236"/>
      <c r="U627" s="236"/>
      <c r="V627" s="236"/>
      <c r="W627" s="236"/>
      <c r="X627" s="236"/>
      <c r="Y627" s="236"/>
      <c r="Z627" s="46"/>
      <c r="AA627" s="46"/>
      <c r="AB627" s="46"/>
      <c r="AC627" s="46"/>
      <c r="AD627" s="46"/>
      <c r="AE627" s="46"/>
    </row>
    <row r="628" spans="1:31" x14ac:dyDescent="0.2">
      <c r="A628" s="55"/>
      <c r="B628" s="140"/>
      <c r="C628" s="141"/>
      <c r="D628" s="142">
        <f>+D629/B612</f>
        <v>0.14133274777829799</v>
      </c>
      <c r="E628" s="60"/>
      <c r="F628" s="56">
        <f>+F629/B612</f>
        <v>2.3753402987949235</v>
      </c>
      <c r="G628" s="56">
        <f>+G629/B612</f>
        <v>2.188478944927418</v>
      </c>
      <c r="H628" s="56"/>
      <c r="I628" s="57" t="s">
        <v>74</v>
      </c>
      <c r="J628" s="56"/>
      <c r="K628" s="57" t="s">
        <v>75</v>
      </c>
      <c r="L628" s="143"/>
      <c r="M628" s="144"/>
      <c r="N628" s="55"/>
      <c r="O628" s="140"/>
      <c r="P628" s="141"/>
      <c r="Q628" s="142">
        <f>+Q629/B612</f>
        <v>0.18567595239232307</v>
      </c>
      <c r="R628" s="60"/>
      <c r="S628" s="56">
        <f>+S629/B612</f>
        <v>2.3804609281067068</v>
      </c>
      <c r="T628" s="56">
        <f>+T629/B612</f>
        <v>2.1931442195925452</v>
      </c>
      <c r="U628" s="56"/>
      <c r="V628" s="57" t="s">
        <v>76</v>
      </c>
      <c r="W628" s="56"/>
      <c r="X628" s="57" t="s">
        <v>75</v>
      </c>
      <c r="Y628" s="143"/>
      <c r="Z628" s="58"/>
      <c r="AA628" s="58"/>
      <c r="AB628" s="58"/>
      <c r="AC628" s="58"/>
      <c r="AD628" s="58"/>
      <c r="AE628" s="58"/>
    </row>
    <row r="629" spans="1:31" x14ac:dyDescent="0.2">
      <c r="A629" s="59"/>
      <c r="B629" s="145"/>
      <c r="C629" s="60"/>
      <c r="D629" s="145">
        <f>SUM(D632:D812)</f>
        <v>4250.5823894323121</v>
      </c>
      <c r="E629" s="146"/>
      <c r="F629" s="61">
        <f>SUM(F631:F812)/12</f>
        <v>71438.359486257323</v>
      </c>
      <c r="G629" s="61">
        <f>SUM(G631:G812)/12</f>
        <v>65818.504268692093</v>
      </c>
      <c r="H629" s="145">
        <f>SUM(H632:H812)</f>
        <v>3916.2010039871807</v>
      </c>
      <c r="I629" s="62">
        <f>IRR(I631:I812)*12</f>
        <v>5.9499999999678366E-2</v>
      </c>
      <c r="J629" s="145">
        <f>SUM(J631:J812)</f>
        <v>0</v>
      </c>
      <c r="K629" s="62">
        <f>IRR(K631:K812)*12</f>
        <v>5.9499999999678366E-2</v>
      </c>
      <c r="L629" s="147"/>
      <c r="M629" s="148"/>
      <c r="N629" s="59"/>
      <c r="O629" s="145"/>
      <c r="P629" s="60"/>
      <c r="Q629" s="145">
        <f>SUM(Q632:Q812)</f>
        <v>5584.2042681991161</v>
      </c>
      <c r="R629" s="146"/>
      <c r="S629" s="61">
        <f>SUM(S631:S812)/12</f>
        <v>71592.362412809205</v>
      </c>
      <c r="T629" s="61">
        <f>SUM(T631:T812)/12</f>
        <v>65958.812404245793</v>
      </c>
      <c r="U629" s="145">
        <f>SUM(U632:U812)</f>
        <v>5144.7873675311703</v>
      </c>
      <c r="V629" s="63">
        <f>IRR(V631:V812)*12</f>
        <v>7.7999999999999403E-2</v>
      </c>
      <c r="W629" s="145">
        <f>SUM(W631:W812)</f>
        <v>0</v>
      </c>
      <c r="X629" s="62">
        <f>IRR(X631:X812)*12</f>
        <v>7.7999999999999403E-2</v>
      </c>
      <c r="Y629" s="147"/>
      <c r="Z629" s="46"/>
      <c r="AA629" s="46"/>
      <c r="AB629" s="46"/>
      <c r="AC629" s="46"/>
      <c r="AD629" s="46"/>
      <c r="AE629" s="46"/>
    </row>
    <row r="630" spans="1:31" ht="24" customHeight="1" x14ac:dyDescent="0.2">
      <c r="A630" s="64"/>
      <c r="B630" s="65" t="s">
        <v>77</v>
      </c>
      <c r="C630" s="65" t="s">
        <v>78</v>
      </c>
      <c r="D630" s="65" t="s">
        <v>79</v>
      </c>
      <c r="E630" s="65" t="s">
        <v>80</v>
      </c>
      <c r="F630" s="66" t="s">
        <v>81</v>
      </c>
      <c r="G630" s="66" t="s">
        <v>82</v>
      </c>
      <c r="H630" s="65" t="s">
        <v>83</v>
      </c>
      <c r="I630" s="67"/>
      <c r="J630" s="66" t="s">
        <v>84</v>
      </c>
      <c r="K630" s="67"/>
      <c r="L630" s="149" t="s">
        <v>85</v>
      </c>
      <c r="M630" s="150"/>
      <c r="N630" s="64"/>
      <c r="O630" s="65" t="s">
        <v>77</v>
      </c>
      <c r="P630" s="65" t="s">
        <v>78</v>
      </c>
      <c r="Q630" s="65" t="s">
        <v>79</v>
      </c>
      <c r="R630" s="65" t="s">
        <v>80</v>
      </c>
      <c r="S630" s="66" t="s">
        <v>86</v>
      </c>
      <c r="T630" s="66" t="s">
        <v>82</v>
      </c>
      <c r="U630" s="65" t="s">
        <v>83</v>
      </c>
      <c r="V630" s="67"/>
      <c r="W630" s="66" t="s">
        <v>84</v>
      </c>
      <c r="X630" s="67"/>
      <c r="Y630" s="151" t="s">
        <v>85</v>
      </c>
      <c r="Z630" s="68"/>
      <c r="AA630" s="68"/>
      <c r="AB630" s="68"/>
      <c r="AC630" s="68"/>
      <c r="AD630" s="68"/>
      <c r="AE630" s="68"/>
    </row>
    <row r="631" spans="1:31" x14ac:dyDescent="0.2">
      <c r="A631" s="69">
        <v>0</v>
      </c>
      <c r="B631" s="152"/>
      <c r="C631" s="152"/>
      <c r="D631" s="152"/>
      <c r="E631" s="152"/>
      <c r="F631" s="85">
        <f>$B$612</f>
        <v>30075</v>
      </c>
      <c r="G631" s="85"/>
      <c r="H631" s="85"/>
      <c r="I631" s="70">
        <f>-B612</f>
        <v>-30075</v>
      </c>
      <c r="J631" s="71">
        <f>-$B$619*$B$612</f>
        <v>0</v>
      </c>
      <c r="K631" s="70">
        <f>I631+J631</f>
        <v>-30075</v>
      </c>
      <c r="L631" s="153"/>
      <c r="M631" s="154"/>
      <c r="N631" s="69"/>
      <c r="O631" s="152"/>
      <c r="P631" s="152"/>
      <c r="Q631" s="152"/>
      <c r="R631" s="152"/>
      <c r="S631" s="85">
        <f>$B$612</f>
        <v>30075</v>
      </c>
      <c r="T631" s="85"/>
      <c r="U631" s="85"/>
      <c r="V631" s="70">
        <f>-B612</f>
        <v>-30075</v>
      </c>
      <c r="W631" s="71">
        <f>-$B$618*$B$612</f>
        <v>0</v>
      </c>
      <c r="X631" s="70">
        <f>V631+W631</f>
        <v>-30075</v>
      </c>
      <c r="Y631" s="155"/>
      <c r="Z631" s="72"/>
      <c r="AA631" s="107">
        <f t="shared" ref="AA631:AA662" si="133">+V631-I631</f>
        <v>0</v>
      </c>
      <c r="AB631" s="72"/>
      <c r="AC631" s="72"/>
      <c r="AD631" s="72"/>
      <c r="AE631" s="72"/>
    </row>
    <row r="632" spans="1:31" x14ac:dyDescent="0.2">
      <c r="A632" s="73">
        <v>1</v>
      </c>
      <c r="B632" s="86">
        <f>B612</f>
        <v>30075</v>
      </c>
      <c r="C632" s="50">
        <f t="shared" ref="C632:C663" si="134">(IF(A632&lt;$B$613,PMT($B$614/12,$B$613,-$B$612,$B$617,0),IF(A632=$B$613,PMT($B$614/12,$B$613,-$B$612,$B$617,0)+$B$617,0)))</f>
        <v>459.82616350758974</v>
      </c>
      <c r="D632" s="86">
        <f t="shared" ref="D632:D663" si="135">IF(A632&lt;=$B$613,B632*$B$614/12,0)</f>
        <v>149.12187499999999</v>
      </c>
      <c r="E632" s="86">
        <f t="shared" ref="E632:E663" si="136">C632-D632</f>
        <v>310.70428850758975</v>
      </c>
      <c r="F632" s="74">
        <f t="shared" ref="F632:F663" si="137">(B632-E632)</f>
        <v>29764.29571149241</v>
      </c>
      <c r="G632" s="112">
        <f t="shared" ref="G632:G663" si="138">B632*(1-B$621)^($A632)</f>
        <v>29924.625</v>
      </c>
      <c r="H632" s="112">
        <f t="shared" ref="H632:H663" si="139">IF(A632&lt;=$B$613,G632*$B$614/12,0)</f>
        <v>148.376265625</v>
      </c>
      <c r="I632" s="75">
        <f t="shared" ref="I632:I663" si="140">C632</f>
        <v>459.82616350758974</v>
      </c>
      <c r="J632" s="74"/>
      <c r="K632" s="75">
        <f t="shared" ref="K632:K663" si="141">C632</f>
        <v>459.82616350758974</v>
      </c>
      <c r="L632" s="156">
        <f t="shared" ref="L632:L663" si="142">F632/$B$612*100</f>
        <v>98.966901783848414</v>
      </c>
      <c r="M632" s="157"/>
      <c r="N632" s="73">
        <v>1</v>
      </c>
      <c r="O632" s="86">
        <f>B612</f>
        <v>30075</v>
      </c>
      <c r="P632" s="50">
        <f t="shared" ref="P632:P663" si="143">(IF(N632&lt;$B$613,PMT($B$615/12,$B$613,-$B$612,$B$617,0),IF(N632=$B$613,PMT($B$615/12,$B$613,-$B$612,$B$617,0)+$B$617,0)))</f>
        <v>497.92964575807002</v>
      </c>
      <c r="Q632" s="86">
        <f t="shared" ref="Q632:Q663" si="144">IF(N632&lt;=$B$613,O632*$B$615/12,0)</f>
        <v>195.48749999999998</v>
      </c>
      <c r="R632" s="86">
        <f t="shared" ref="R632:R663" si="145">P632-Q632</f>
        <v>302.44214575807007</v>
      </c>
      <c r="S632" s="74">
        <f t="shared" ref="S632:S663" si="146">(O632-R632)</f>
        <v>29772.557854241932</v>
      </c>
      <c r="T632" s="112">
        <f t="shared" ref="T632:T663" si="147">O632*(1-B$621)^($N632)</f>
        <v>29924.625</v>
      </c>
      <c r="U632" s="112">
        <f t="shared" ref="U632:U663" si="148">IF(N632&lt;=$B$613,T632*$B$615/12,0)</f>
        <v>194.5100625</v>
      </c>
      <c r="V632" s="75">
        <f t="shared" ref="V632:V663" si="149">P632</f>
        <v>497.92964575807002</v>
      </c>
      <c r="W632" s="74"/>
      <c r="X632" s="75">
        <f t="shared" ref="X632:X663" si="150">P632</f>
        <v>497.92964575807002</v>
      </c>
      <c r="Y632" s="156">
        <f t="shared" ref="Y632:Y663" si="151">S632/$B$612*100</f>
        <v>98.994373580189304</v>
      </c>
      <c r="Z632" s="46"/>
      <c r="AA632" s="107">
        <f t="shared" si="133"/>
        <v>38.103482250480283</v>
      </c>
      <c r="AB632" s="46"/>
      <c r="AC632" s="46"/>
      <c r="AD632" s="46"/>
      <c r="AE632" s="46"/>
    </row>
    <row r="633" spans="1:31" x14ac:dyDescent="0.2">
      <c r="A633" s="73">
        <v>2</v>
      </c>
      <c r="B633" s="86">
        <f t="shared" ref="B633:B664" si="152">+F632</f>
        <v>29764.29571149241</v>
      </c>
      <c r="C633" s="50">
        <f t="shared" si="134"/>
        <v>459.82616350758974</v>
      </c>
      <c r="D633" s="86">
        <f t="shared" si="135"/>
        <v>147.58129956948321</v>
      </c>
      <c r="E633" s="86">
        <f t="shared" si="136"/>
        <v>312.2448639381065</v>
      </c>
      <c r="F633" s="74">
        <f t="shared" si="137"/>
        <v>29452.050847554303</v>
      </c>
      <c r="G633" s="112">
        <f t="shared" si="138"/>
        <v>29467.396861770274</v>
      </c>
      <c r="H633" s="112">
        <f t="shared" si="139"/>
        <v>146.1091761062776</v>
      </c>
      <c r="I633" s="75">
        <f t="shared" si="140"/>
        <v>459.82616350758974</v>
      </c>
      <c r="J633" s="74"/>
      <c r="K633" s="75">
        <f t="shared" si="141"/>
        <v>459.82616350758974</v>
      </c>
      <c r="L633" s="156">
        <f t="shared" si="142"/>
        <v>97.928681122375068</v>
      </c>
      <c r="M633" s="157"/>
      <c r="N633" s="73">
        <v>2</v>
      </c>
      <c r="O633" s="86">
        <f t="shared" ref="O633:O664" si="153">+S632</f>
        <v>29772.557854241932</v>
      </c>
      <c r="P633" s="50">
        <f t="shared" si="143"/>
        <v>497.92964575807002</v>
      </c>
      <c r="Q633" s="86">
        <f t="shared" si="144"/>
        <v>193.52162605257254</v>
      </c>
      <c r="R633" s="86">
        <f t="shared" si="145"/>
        <v>304.40801970549751</v>
      </c>
      <c r="S633" s="74">
        <f t="shared" si="146"/>
        <v>29468.149834536434</v>
      </c>
      <c r="T633" s="112">
        <f t="shared" si="147"/>
        <v>29475.576589645869</v>
      </c>
      <c r="U633" s="112">
        <f t="shared" si="148"/>
        <v>191.59124783269814</v>
      </c>
      <c r="V633" s="75">
        <f t="shared" si="149"/>
        <v>497.92964575807002</v>
      </c>
      <c r="W633" s="74"/>
      <c r="X633" s="75">
        <f t="shared" si="150"/>
        <v>497.92964575807002</v>
      </c>
      <c r="Y633" s="156">
        <f t="shared" si="151"/>
        <v>97.982210588649821</v>
      </c>
      <c r="Z633" s="46"/>
      <c r="AA633" s="107">
        <f t="shared" si="133"/>
        <v>38.103482250480283</v>
      </c>
      <c r="AB633" s="46"/>
      <c r="AC633" s="46"/>
      <c r="AD633" s="46"/>
      <c r="AE633" s="46"/>
    </row>
    <row r="634" spans="1:31" x14ac:dyDescent="0.2">
      <c r="A634" s="73">
        <v>3</v>
      </c>
      <c r="B634" s="86">
        <f t="shared" si="152"/>
        <v>29452.050847554303</v>
      </c>
      <c r="C634" s="50">
        <f t="shared" si="134"/>
        <v>459.82616350758974</v>
      </c>
      <c r="D634" s="86">
        <f t="shared" si="135"/>
        <v>146.03308545245673</v>
      </c>
      <c r="E634" s="86">
        <f t="shared" si="136"/>
        <v>313.79307805513304</v>
      </c>
      <c r="F634" s="74">
        <f t="shared" si="137"/>
        <v>29138.257769499171</v>
      </c>
      <c r="G634" s="112">
        <f t="shared" si="138"/>
        <v>29012.475307148201</v>
      </c>
      <c r="H634" s="112">
        <f t="shared" si="139"/>
        <v>143.85352339794315</v>
      </c>
      <c r="I634" s="75">
        <f t="shared" si="140"/>
        <v>459.82616350758974</v>
      </c>
      <c r="J634" s="74"/>
      <c r="K634" s="75">
        <f t="shared" si="141"/>
        <v>459.82616350758974</v>
      </c>
      <c r="L634" s="156">
        <f t="shared" si="142"/>
        <v>96.885312616788596</v>
      </c>
      <c r="M634" s="157"/>
      <c r="N634" s="73">
        <v>3</v>
      </c>
      <c r="O634" s="86">
        <f t="shared" si="153"/>
        <v>29468.149834536434</v>
      </c>
      <c r="P634" s="50">
        <f t="shared" si="143"/>
        <v>497.92964575807002</v>
      </c>
      <c r="Q634" s="86">
        <f t="shared" si="144"/>
        <v>191.5429739244868</v>
      </c>
      <c r="R634" s="86">
        <f t="shared" si="145"/>
        <v>306.38667183358325</v>
      </c>
      <c r="S634" s="74">
        <f t="shared" si="146"/>
        <v>29161.76316270285</v>
      </c>
      <c r="T634" s="112">
        <f t="shared" si="147"/>
        <v>29028.334014737251</v>
      </c>
      <c r="U634" s="112">
        <f t="shared" si="148"/>
        <v>188.68417109579215</v>
      </c>
      <c r="V634" s="75">
        <f t="shared" si="149"/>
        <v>497.92964575807002</v>
      </c>
      <c r="W634" s="74"/>
      <c r="X634" s="75">
        <f t="shared" si="150"/>
        <v>497.92964575807002</v>
      </c>
      <c r="Y634" s="156">
        <f t="shared" si="151"/>
        <v>96.963468537665335</v>
      </c>
      <c r="Z634" s="46"/>
      <c r="AA634" s="107">
        <f t="shared" si="133"/>
        <v>38.103482250480283</v>
      </c>
      <c r="AB634" s="46"/>
      <c r="AC634" s="46"/>
      <c r="AD634" s="46"/>
      <c r="AE634" s="46"/>
    </row>
    <row r="635" spans="1:31" x14ac:dyDescent="0.2">
      <c r="A635" s="73">
        <v>4</v>
      </c>
      <c r="B635" s="86">
        <f t="shared" si="152"/>
        <v>29138.257769499171</v>
      </c>
      <c r="C635" s="50">
        <f t="shared" si="134"/>
        <v>459.82616350758974</v>
      </c>
      <c r="D635" s="86">
        <f t="shared" si="135"/>
        <v>144.47719477376671</v>
      </c>
      <c r="E635" s="86">
        <f t="shared" si="136"/>
        <v>315.34896873382303</v>
      </c>
      <c r="F635" s="74">
        <f t="shared" si="137"/>
        <v>28822.908800765348</v>
      </c>
      <c r="G635" s="112">
        <f t="shared" si="138"/>
        <v>28559.848801857141</v>
      </c>
      <c r="H635" s="112">
        <f t="shared" si="139"/>
        <v>141.60925030920831</v>
      </c>
      <c r="I635" s="75">
        <f t="shared" si="140"/>
        <v>459.82616350758974</v>
      </c>
      <c r="J635" s="74"/>
      <c r="K635" s="75">
        <f t="shared" si="141"/>
        <v>459.82616350758974</v>
      </c>
      <c r="L635" s="156">
        <f t="shared" si="142"/>
        <v>95.836770742361921</v>
      </c>
      <c r="M635" s="157"/>
      <c r="N635" s="73">
        <v>4</v>
      </c>
      <c r="O635" s="86">
        <f t="shared" si="153"/>
        <v>29161.76316270285</v>
      </c>
      <c r="P635" s="50">
        <f t="shared" si="143"/>
        <v>497.92964575807002</v>
      </c>
      <c r="Q635" s="86">
        <f t="shared" si="144"/>
        <v>189.5514605575685</v>
      </c>
      <c r="R635" s="86">
        <f t="shared" si="145"/>
        <v>308.37818520050155</v>
      </c>
      <c r="S635" s="74">
        <f t="shared" si="146"/>
        <v>28853.384977502348</v>
      </c>
      <c r="T635" s="112">
        <f t="shared" si="147"/>
        <v>28582.887601267721</v>
      </c>
      <c r="U635" s="112">
        <f t="shared" si="148"/>
        <v>185.7887694082402</v>
      </c>
      <c r="V635" s="75">
        <f t="shared" si="149"/>
        <v>497.92964575807002</v>
      </c>
      <c r="W635" s="74"/>
      <c r="X635" s="75">
        <f t="shared" si="150"/>
        <v>497.92964575807002</v>
      </c>
      <c r="Y635" s="156">
        <f t="shared" si="151"/>
        <v>95.938104663349449</v>
      </c>
      <c r="Z635" s="46"/>
      <c r="AA635" s="107">
        <f t="shared" si="133"/>
        <v>38.103482250480283</v>
      </c>
      <c r="AB635" s="46"/>
      <c r="AC635" s="46"/>
      <c r="AD635" s="46"/>
      <c r="AE635" s="46"/>
    </row>
    <row r="636" spans="1:31" x14ac:dyDescent="0.2">
      <c r="A636" s="73">
        <v>5</v>
      </c>
      <c r="B636" s="86">
        <f t="shared" si="152"/>
        <v>28822.908800765348</v>
      </c>
      <c r="C636" s="50">
        <f t="shared" si="134"/>
        <v>459.82616350758974</v>
      </c>
      <c r="D636" s="86">
        <f t="shared" si="135"/>
        <v>142.91358947046152</v>
      </c>
      <c r="E636" s="86">
        <f t="shared" si="136"/>
        <v>316.91257403712825</v>
      </c>
      <c r="F636" s="74">
        <f t="shared" si="137"/>
        <v>28505.996226728221</v>
      </c>
      <c r="G636" s="112">
        <f t="shared" si="138"/>
        <v>28109.505869291927</v>
      </c>
      <c r="H636" s="112">
        <f t="shared" si="139"/>
        <v>139.37629993523913</v>
      </c>
      <c r="I636" s="75">
        <f t="shared" si="140"/>
        <v>459.82616350758974</v>
      </c>
      <c r="J636" s="74"/>
      <c r="K636" s="75">
        <f t="shared" si="141"/>
        <v>459.82616350758974</v>
      </c>
      <c r="L636" s="156">
        <f t="shared" si="142"/>
        <v>94.783029847807882</v>
      </c>
      <c r="M636" s="157"/>
      <c r="N636" s="73">
        <v>5</v>
      </c>
      <c r="O636" s="86">
        <f t="shared" si="153"/>
        <v>28853.384977502348</v>
      </c>
      <c r="P636" s="50">
        <f t="shared" si="143"/>
        <v>497.92964575807002</v>
      </c>
      <c r="Q636" s="86">
        <f t="shared" si="144"/>
        <v>187.54700235376527</v>
      </c>
      <c r="R636" s="86">
        <f t="shared" si="145"/>
        <v>310.38264340430476</v>
      </c>
      <c r="S636" s="74">
        <f t="shared" si="146"/>
        <v>28543.002334098044</v>
      </c>
      <c r="T636" s="112">
        <f t="shared" si="147"/>
        <v>28139.227722654607</v>
      </c>
      <c r="U636" s="112">
        <f t="shared" si="148"/>
        <v>182.90498019725496</v>
      </c>
      <c r="V636" s="75">
        <f t="shared" si="149"/>
        <v>497.92964575807002</v>
      </c>
      <c r="W636" s="74"/>
      <c r="X636" s="75">
        <f t="shared" si="150"/>
        <v>497.92964575807002</v>
      </c>
      <c r="Y636" s="156">
        <f t="shared" si="151"/>
        <v>94.906075923850523</v>
      </c>
      <c r="Z636" s="46"/>
      <c r="AA636" s="107">
        <f t="shared" si="133"/>
        <v>38.103482250480283</v>
      </c>
      <c r="AB636" s="46"/>
      <c r="AC636" s="46"/>
      <c r="AD636" s="46"/>
      <c r="AE636" s="46"/>
    </row>
    <row r="637" spans="1:31" x14ac:dyDescent="0.2">
      <c r="A637" s="73">
        <v>6</v>
      </c>
      <c r="B637" s="86">
        <f t="shared" si="152"/>
        <v>28505.996226728221</v>
      </c>
      <c r="C637" s="50">
        <f t="shared" si="134"/>
        <v>459.82616350758974</v>
      </c>
      <c r="D637" s="86">
        <f t="shared" si="135"/>
        <v>141.34223129086075</v>
      </c>
      <c r="E637" s="86">
        <f t="shared" si="136"/>
        <v>318.48393221672899</v>
      </c>
      <c r="F637" s="74">
        <f t="shared" si="137"/>
        <v>28187.512294511493</v>
      </c>
      <c r="G637" s="112">
        <f t="shared" si="138"/>
        <v>27661.435090230505</v>
      </c>
      <c r="H637" s="112">
        <f t="shared" si="139"/>
        <v>137.15461565572625</v>
      </c>
      <c r="I637" s="75">
        <f t="shared" si="140"/>
        <v>459.82616350758974</v>
      </c>
      <c r="J637" s="74"/>
      <c r="K637" s="75">
        <f t="shared" si="141"/>
        <v>459.82616350758974</v>
      </c>
      <c r="L637" s="156">
        <f t="shared" si="142"/>
        <v>93.724064154651671</v>
      </c>
      <c r="M637" s="157"/>
      <c r="N637" s="73">
        <v>6</v>
      </c>
      <c r="O637" s="86">
        <f t="shared" si="153"/>
        <v>28543.002334098044</v>
      </c>
      <c r="P637" s="50">
        <f t="shared" si="143"/>
        <v>497.92964575807002</v>
      </c>
      <c r="Q637" s="86">
        <f t="shared" si="144"/>
        <v>185.52951517163729</v>
      </c>
      <c r="R637" s="86">
        <f t="shared" si="145"/>
        <v>312.40013058643274</v>
      </c>
      <c r="S637" s="74">
        <f t="shared" si="146"/>
        <v>28230.602203511611</v>
      </c>
      <c r="T637" s="112">
        <f t="shared" si="147"/>
        <v>27697.344799500468</v>
      </c>
      <c r="U637" s="112">
        <f t="shared" si="148"/>
        <v>180.03274119675305</v>
      </c>
      <c r="V637" s="75">
        <f t="shared" si="149"/>
        <v>497.92964575807002</v>
      </c>
      <c r="W637" s="74"/>
      <c r="X637" s="75">
        <f t="shared" si="150"/>
        <v>497.92964575807002</v>
      </c>
      <c r="Y637" s="156">
        <f t="shared" si="151"/>
        <v>93.867338997544849</v>
      </c>
      <c r="Z637" s="46"/>
      <c r="AA637" s="107">
        <f t="shared" si="133"/>
        <v>38.103482250480283</v>
      </c>
      <c r="AB637" s="46"/>
      <c r="AC637" s="46"/>
      <c r="AD637" s="46"/>
      <c r="AE637" s="46"/>
    </row>
    <row r="638" spans="1:31" x14ac:dyDescent="0.2">
      <c r="A638" s="73">
        <v>7</v>
      </c>
      <c r="B638" s="86">
        <f t="shared" si="152"/>
        <v>28187.512294511493</v>
      </c>
      <c r="C638" s="50">
        <f t="shared" si="134"/>
        <v>459.82616350758974</v>
      </c>
      <c r="D638" s="86">
        <f t="shared" si="135"/>
        <v>139.76308179361948</v>
      </c>
      <c r="E638" s="86">
        <f t="shared" si="136"/>
        <v>320.06308171397029</v>
      </c>
      <c r="F638" s="74">
        <f t="shared" si="137"/>
        <v>27867.449212797521</v>
      </c>
      <c r="G638" s="112">
        <f t="shared" si="138"/>
        <v>27215.62510254703</v>
      </c>
      <c r="H638" s="112">
        <f t="shared" si="139"/>
        <v>134.94414113346235</v>
      </c>
      <c r="I638" s="75">
        <f t="shared" si="140"/>
        <v>459.82616350758974</v>
      </c>
      <c r="J638" s="74"/>
      <c r="K638" s="75">
        <f t="shared" si="141"/>
        <v>459.82616350758974</v>
      </c>
      <c r="L638" s="156">
        <f t="shared" si="142"/>
        <v>92.659847756600229</v>
      </c>
      <c r="M638" s="157"/>
      <c r="N638" s="73">
        <v>7</v>
      </c>
      <c r="O638" s="86">
        <f t="shared" si="153"/>
        <v>28230.602203511611</v>
      </c>
      <c r="P638" s="50">
        <f t="shared" si="143"/>
        <v>497.92964575807002</v>
      </c>
      <c r="Q638" s="86">
        <f t="shared" si="144"/>
        <v>183.49891432282547</v>
      </c>
      <c r="R638" s="86">
        <f t="shared" si="145"/>
        <v>314.43073143524452</v>
      </c>
      <c r="S638" s="74">
        <f t="shared" si="146"/>
        <v>27916.171472076367</v>
      </c>
      <c r="T638" s="112">
        <f t="shared" si="147"/>
        <v>27257.229299355786</v>
      </c>
      <c r="U638" s="112">
        <f t="shared" si="148"/>
        <v>177.17199044581261</v>
      </c>
      <c r="V638" s="75">
        <f t="shared" si="149"/>
        <v>497.92964575807002</v>
      </c>
      <c r="W638" s="74"/>
      <c r="X638" s="75">
        <f t="shared" si="150"/>
        <v>497.92964575807002</v>
      </c>
      <c r="Y638" s="156">
        <f t="shared" si="151"/>
        <v>92.821850281218175</v>
      </c>
      <c r="Z638" s="46"/>
      <c r="AA638" s="107">
        <f t="shared" si="133"/>
        <v>38.103482250480283</v>
      </c>
      <c r="AB638" s="46"/>
      <c r="AC638" s="46"/>
      <c r="AD638" s="46"/>
      <c r="AE638" s="46"/>
    </row>
    <row r="639" spans="1:31" x14ac:dyDescent="0.2">
      <c r="A639" s="73">
        <v>8</v>
      </c>
      <c r="B639" s="86">
        <f t="shared" si="152"/>
        <v>27867.449212797521</v>
      </c>
      <c r="C639" s="50">
        <f t="shared" si="134"/>
        <v>459.82616350758974</v>
      </c>
      <c r="D639" s="86">
        <f t="shared" si="135"/>
        <v>138.1761023467877</v>
      </c>
      <c r="E639" s="86">
        <f t="shared" si="136"/>
        <v>321.65006116080201</v>
      </c>
      <c r="F639" s="74">
        <f t="shared" si="137"/>
        <v>27545.799151636718</v>
      </c>
      <c r="G639" s="112">
        <f t="shared" si="138"/>
        <v>26772.064600926366</v>
      </c>
      <c r="H639" s="112">
        <f t="shared" si="139"/>
        <v>132.74482031292655</v>
      </c>
      <c r="I639" s="75">
        <f t="shared" si="140"/>
        <v>459.82616350758974</v>
      </c>
      <c r="J639" s="74"/>
      <c r="K639" s="75">
        <f t="shared" si="141"/>
        <v>459.82616350758974</v>
      </c>
      <c r="L639" s="156">
        <f t="shared" si="142"/>
        <v>91.590354618908449</v>
      </c>
      <c r="M639" s="157"/>
      <c r="N639" s="73">
        <v>8</v>
      </c>
      <c r="O639" s="86">
        <f t="shared" si="153"/>
        <v>27916.171472076367</v>
      </c>
      <c r="P639" s="50">
        <f t="shared" si="143"/>
        <v>497.92964575807002</v>
      </c>
      <c r="Q639" s="86">
        <f t="shared" si="144"/>
        <v>181.45511456849638</v>
      </c>
      <c r="R639" s="86">
        <f t="shared" si="145"/>
        <v>316.47453118957367</v>
      </c>
      <c r="S639" s="74">
        <f t="shared" si="146"/>
        <v>27599.696940886792</v>
      </c>
      <c r="T639" s="112">
        <f t="shared" si="147"/>
        <v>26818.87173648283</v>
      </c>
      <c r="U639" s="112">
        <f t="shared" si="148"/>
        <v>174.32266628713839</v>
      </c>
      <c r="V639" s="75">
        <f t="shared" si="149"/>
        <v>497.92964575807002</v>
      </c>
      <c r="W639" s="74"/>
      <c r="X639" s="75">
        <f t="shared" si="150"/>
        <v>497.92964575807002</v>
      </c>
      <c r="Y639" s="156">
        <f t="shared" si="151"/>
        <v>91.769565888235377</v>
      </c>
      <c r="Z639" s="46"/>
      <c r="AA639" s="107">
        <f t="shared" si="133"/>
        <v>38.103482250480283</v>
      </c>
      <c r="AB639" s="46"/>
      <c r="AC639" s="46"/>
      <c r="AD639" s="46"/>
      <c r="AE639" s="46"/>
    </row>
    <row r="640" spans="1:31" x14ac:dyDescent="0.2">
      <c r="A640" s="73">
        <v>9</v>
      </c>
      <c r="B640" s="86">
        <f t="shared" si="152"/>
        <v>27545.799151636718</v>
      </c>
      <c r="C640" s="50">
        <f t="shared" si="134"/>
        <v>459.82616350758974</v>
      </c>
      <c r="D640" s="86">
        <f t="shared" si="135"/>
        <v>136.58125412686539</v>
      </c>
      <c r="E640" s="86">
        <f t="shared" si="136"/>
        <v>323.24490938072438</v>
      </c>
      <c r="F640" s="74">
        <f t="shared" si="137"/>
        <v>27222.554242255996</v>
      </c>
      <c r="G640" s="112">
        <f t="shared" si="138"/>
        <v>26330.74233658005</v>
      </c>
      <c r="H640" s="112">
        <f t="shared" si="139"/>
        <v>130.55659741887607</v>
      </c>
      <c r="I640" s="75">
        <f t="shared" si="140"/>
        <v>459.82616350758974</v>
      </c>
      <c r="J640" s="74"/>
      <c r="K640" s="75">
        <f t="shared" si="141"/>
        <v>459.82616350758974</v>
      </c>
      <c r="L640" s="156">
        <f t="shared" si="142"/>
        <v>90.515558577742297</v>
      </c>
      <c r="M640" s="157"/>
      <c r="N640" s="73">
        <v>9</v>
      </c>
      <c r="O640" s="86">
        <f t="shared" si="153"/>
        <v>27599.696940886792</v>
      </c>
      <c r="P640" s="50">
        <f t="shared" si="143"/>
        <v>497.92964575807002</v>
      </c>
      <c r="Q640" s="86">
        <f t="shared" si="144"/>
        <v>179.39803011576416</v>
      </c>
      <c r="R640" s="86">
        <f t="shared" si="145"/>
        <v>318.53161564230584</v>
      </c>
      <c r="S640" s="74">
        <f t="shared" si="146"/>
        <v>27281.165325244485</v>
      </c>
      <c r="T640" s="112">
        <f t="shared" si="147"/>
        <v>26382.262671620705</v>
      </c>
      <c r="U640" s="112">
        <f t="shared" si="148"/>
        <v>171.4847073655346</v>
      </c>
      <c r="V640" s="75">
        <f t="shared" si="149"/>
        <v>497.92964575807002</v>
      </c>
      <c r="W640" s="74"/>
      <c r="X640" s="75">
        <f t="shared" si="150"/>
        <v>497.92964575807002</v>
      </c>
      <c r="Y640" s="156">
        <f t="shared" si="151"/>
        <v>90.7104416466982</v>
      </c>
      <c r="Z640" s="46"/>
      <c r="AA640" s="107">
        <f t="shared" si="133"/>
        <v>38.103482250480283</v>
      </c>
      <c r="AB640" s="46"/>
      <c r="AC640" s="46"/>
      <c r="AD640" s="46"/>
      <c r="AE640" s="46"/>
    </row>
    <row r="641" spans="1:31" x14ac:dyDescent="0.2">
      <c r="A641" s="73">
        <v>10</v>
      </c>
      <c r="B641" s="86">
        <f t="shared" si="152"/>
        <v>27222.554242255996</v>
      </c>
      <c r="C641" s="50">
        <f t="shared" si="134"/>
        <v>459.82616350758974</v>
      </c>
      <c r="D641" s="86">
        <f t="shared" si="135"/>
        <v>134.97849811785264</v>
      </c>
      <c r="E641" s="86">
        <f t="shared" si="136"/>
        <v>324.84766538973713</v>
      </c>
      <c r="F641" s="74">
        <f t="shared" si="137"/>
        <v>26897.706576866258</v>
      </c>
      <c r="G641" s="112">
        <f t="shared" si="138"/>
        <v>25891.647116963653</v>
      </c>
      <c r="H641" s="112">
        <f t="shared" si="139"/>
        <v>128.37941695494479</v>
      </c>
      <c r="I641" s="75">
        <f t="shared" si="140"/>
        <v>459.82616350758974</v>
      </c>
      <c r="J641" s="74"/>
      <c r="K641" s="75">
        <f t="shared" si="141"/>
        <v>459.82616350758974</v>
      </c>
      <c r="L641" s="156">
        <f t="shared" si="142"/>
        <v>89.43543333953869</v>
      </c>
      <c r="M641" s="157"/>
      <c r="N641" s="73">
        <v>10</v>
      </c>
      <c r="O641" s="86">
        <f t="shared" si="153"/>
        <v>27281.165325244485</v>
      </c>
      <c r="P641" s="50">
        <f t="shared" si="143"/>
        <v>497.92964575807002</v>
      </c>
      <c r="Q641" s="86">
        <f t="shared" si="144"/>
        <v>177.32757461408914</v>
      </c>
      <c r="R641" s="86">
        <f t="shared" si="145"/>
        <v>320.60207114398088</v>
      </c>
      <c r="S641" s="74">
        <f t="shared" si="146"/>
        <v>26960.563254100503</v>
      </c>
      <c r="T641" s="112">
        <f t="shared" si="147"/>
        <v>25947.392711751578</v>
      </c>
      <c r="U641" s="112">
        <f t="shared" si="148"/>
        <v>168.65805262638526</v>
      </c>
      <c r="V641" s="75">
        <f t="shared" si="149"/>
        <v>497.92964575807002</v>
      </c>
      <c r="W641" s="74"/>
      <c r="X641" s="75">
        <f t="shared" si="150"/>
        <v>497.92964575807002</v>
      </c>
      <c r="Y641" s="156">
        <f t="shared" si="151"/>
        <v>89.644433097591033</v>
      </c>
      <c r="Z641" s="46"/>
      <c r="AA641" s="107">
        <f t="shared" si="133"/>
        <v>38.103482250480283</v>
      </c>
      <c r="AB641" s="46"/>
      <c r="AC641" s="46"/>
      <c r="AD641" s="46"/>
      <c r="AE641" s="46"/>
    </row>
    <row r="642" spans="1:31" x14ac:dyDescent="0.2">
      <c r="A642" s="73">
        <v>11</v>
      </c>
      <c r="B642" s="86">
        <f t="shared" si="152"/>
        <v>26897.706576866258</v>
      </c>
      <c r="C642" s="50">
        <f t="shared" si="134"/>
        <v>459.82616350758974</v>
      </c>
      <c r="D642" s="86">
        <f t="shared" si="135"/>
        <v>133.36779511029519</v>
      </c>
      <c r="E642" s="86">
        <f t="shared" si="136"/>
        <v>326.45836839729452</v>
      </c>
      <c r="F642" s="74">
        <f t="shared" si="137"/>
        <v>26571.248208468962</v>
      </c>
      <c r="G642" s="112">
        <f t="shared" si="138"/>
        <v>25454.76780549555</v>
      </c>
      <c r="H642" s="112">
        <f t="shared" si="139"/>
        <v>126.21322370224875</v>
      </c>
      <c r="I642" s="75">
        <f t="shared" si="140"/>
        <v>459.82616350758974</v>
      </c>
      <c r="J642" s="74"/>
      <c r="K642" s="75">
        <f t="shared" si="141"/>
        <v>459.82616350758974</v>
      </c>
      <c r="L642" s="156">
        <f t="shared" si="142"/>
        <v>88.349952480362305</v>
      </c>
      <c r="M642" s="157"/>
      <c r="N642" s="73">
        <v>11</v>
      </c>
      <c r="O642" s="86">
        <f t="shared" si="153"/>
        <v>26960.563254100503</v>
      </c>
      <c r="P642" s="50">
        <f t="shared" si="143"/>
        <v>497.92964575807002</v>
      </c>
      <c r="Q642" s="86">
        <f t="shared" si="144"/>
        <v>175.2436611516533</v>
      </c>
      <c r="R642" s="86">
        <f t="shared" si="145"/>
        <v>322.6859846064167</v>
      </c>
      <c r="S642" s="74">
        <f t="shared" si="146"/>
        <v>26637.877269494085</v>
      </c>
      <c r="T642" s="112">
        <f t="shared" si="147"/>
        <v>25514.252509868034</v>
      </c>
      <c r="U642" s="112">
        <f t="shared" si="148"/>
        <v>165.84264131414224</v>
      </c>
      <c r="V642" s="75">
        <f t="shared" si="149"/>
        <v>497.92964575807002</v>
      </c>
      <c r="W642" s="74"/>
      <c r="X642" s="75">
        <f t="shared" si="150"/>
        <v>497.92964575807002</v>
      </c>
      <c r="Y642" s="156">
        <f t="shared" si="151"/>
        <v>88.571495492914664</v>
      </c>
      <c r="Z642" s="46"/>
      <c r="AA642" s="107">
        <f t="shared" si="133"/>
        <v>38.103482250480283</v>
      </c>
      <c r="AB642" s="46"/>
      <c r="AC642" s="46"/>
      <c r="AD642" s="46"/>
      <c r="AE642" s="46"/>
    </row>
    <row r="643" spans="1:31" x14ac:dyDescent="0.2">
      <c r="A643" s="73">
        <v>12</v>
      </c>
      <c r="B643" s="86">
        <f t="shared" si="152"/>
        <v>26571.248208468962</v>
      </c>
      <c r="C643" s="50">
        <f t="shared" si="134"/>
        <v>459.82616350758974</v>
      </c>
      <c r="D643" s="86">
        <f t="shared" si="135"/>
        <v>131.74910570032526</v>
      </c>
      <c r="E643" s="86">
        <f t="shared" si="136"/>
        <v>328.07705780726451</v>
      </c>
      <c r="F643" s="74">
        <f t="shared" si="137"/>
        <v>26243.171150661696</v>
      </c>
      <c r="G643" s="112">
        <f t="shared" si="138"/>
        <v>25020.093321277127</v>
      </c>
      <c r="H643" s="112">
        <f t="shared" si="139"/>
        <v>124.05796271799909</v>
      </c>
      <c r="I643" s="75">
        <f t="shared" si="140"/>
        <v>459.82616350758974</v>
      </c>
      <c r="J643" s="74"/>
      <c r="K643" s="75">
        <f t="shared" si="141"/>
        <v>459.82616350758974</v>
      </c>
      <c r="L643" s="156">
        <f t="shared" si="142"/>
        <v>87.259089445259178</v>
      </c>
      <c r="M643" s="157"/>
      <c r="N643" s="73">
        <v>12</v>
      </c>
      <c r="O643" s="86">
        <f t="shared" si="153"/>
        <v>26637.877269494085</v>
      </c>
      <c r="P643" s="50">
        <f t="shared" si="143"/>
        <v>497.92964575807002</v>
      </c>
      <c r="Q643" s="86">
        <f t="shared" si="144"/>
        <v>173.14620225171154</v>
      </c>
      <c r="R643" s="86">
        <f t="shared" si="145"/>
        <v>324.78344350635848</v>
      </c>
      <c r="S643" s="74">
        <f t="shared" si="146"/>
        <v>26313.093825987726</v>
      </c>
      <c r="T643" s="112">
        <f t="shared" si="147"/>
        <v>25082.832764741674</v>
      </c>
      <c r="U643" s="112">
        <f t="shared" si="148"/>
        <v>163.03841297082087</v>
      </c>
      <c r="V643" s="75">
        <f t="shared" si="149"/>
        <v>497.92964575807002</v>
      </c>
      <c r="W643" s="74"/>
      <c r="X643" s="75">
        <f t="shared" si="150"/>
        <v>497.92964575807002</v>
      </c>
      <c r="Y643" s="156">
        <f t="shared" si="151"/>
        <v>87.491583793807905</v>
      </c>
      <c r="Z643" s="46"/>
      <c r="AA643" s="107">
        <f t="shared" si="133"/>
        <v>38.103482250480283</v>
      </c>
      <c r="AB643" s="46"/>
      <c r="AC643" s="46"/>
      <c r="AD643" s="46"/>
      <c r="AE643" s="46"/>
    </row>
    <row r="644" spans="1:31" x14ac:dyDescent="0.2">
      <c r="A644" s="73">
        <v>13</v>
      </c>
      <c r="B644" s="86">
        <f t="shared" si="152"/>
        <v>26243.171150661696</v>
      </c>
      <c r="C644" s="50">
        <f t="shared" si="134"/>
        <v>459.82616350758974</v>
      </c>
      <c r="D644" s="86">
        <f t="shared" si="135"/>
        <v>130.12239028869757</v>
      </c>
      <c r="E644" s="86">
        <f t="shared" si="136"/>
        <v>329.70377321889214</v>
      </c>
      <c r="F644" s="74">
        <f t="shared" si="137"/>
        <v>25913.467377442805</v>
      </c>
      <c r="G644" s="112">
        <f t="shared" si="138"/>
        <v>24587.612638814338</v>
      </c>
      <c r="H644" s="112">
        <f t="shared" si="139"/>
        <v>121.9135793341211</v>
      </c>
      <c r="I644" s="75">
        <f t="shared" si="140"/>
        <v>459.82616350758974</v>
      </c>
      <c r="J644" s="74"/>
      <c r="K644" s="75">
        <f t="shared" si="141"/>
        <v>459.82616350758974</v>
      </c>
      <c r="L644" s="156">
        <f t="shared" si="142"/>
        <v>86.162817547606991</v>
      </c>
      <c r="M644" s="157"/>
      <c r="N644" s="73">
        <v>13</v>
      </c>
      <c r="O644" s="86">
        <f t="shared" si="153"/>
        <v>26313.093825987726</v>
      </c>
      <c r="P644" s="50">
        <f t="shared" si="143"/>
        <v>497.92964575807002</v>
      </c>
      <c r="Q644" s="86">
        <f t="shared" si="144"/>
        <v>171.03510986892022</v>
      </c>
      <c r="R644" s="86">
        <f t="shared" si="145"/>
        <v>326.89453588914978</v>
      </c>
      <c r="S644" s="74">
        <f t="shared" si="146"/>
        <v>25986.199290098575</v>
      </c>
      <c r="T644" s="112">
        <f t="shared" si="147"/>
        <v>24653.12422069276</v>
      </c>
      <c r="U644" s="112">
        <f t="shared" si="148"/>
        <v>160.24530743450293</v>
      </c>
      <c r="V644" s="75">
        <f t="shared" si="149"/>
        <v>497.92964575807002</v>
      </c>
      <c r="W644" s="74"/>
      <c r="X644" s="75">
        <f t="shared" si="150"/>
        <v>497.92964575807002</v>
      </c>
      <c r="Y644" s="156">
        <f t="shared" si="151"/>
        <v>86.404652668656951</v>
      </c>
      <c r="Z644" s="46"/>
      <c r="AA644" s="107">
        <f t="shared" si="133"/>
        <v>38.103482250480283</v>
      </c>
      <c r="AB644" s="46"/>
      <c r="AC644" s="46"/>
      <c r="AD644" s="46"/>
      <c r="AE644" s="46"/>
    </row>
    <row r="645" spans="1:31" x14ac:dyDescent="0.2">
      <c r="A645" s="73">
        <v>14</v>
      </c>
      <c r="B645" s="86">
        <f t="shared" si="152"/>
        <v>25913.467377442805</v>
      </c>
      <c r="C645" s="50">
        <f t="shared" si="134"/>
        <v>459.82616350758974</v>
      </c>
      <c r="D645" s="86">
        <f t="shared" si="135"/>
        <v>128.48760907982057</v>
      </c>
      <c r="E645" s="86">
        <f t="shared" si="136"/>
        <v>331.33855442776917</v>
      </c>
      <c r="F645" s="74">
        <f t="shared" si="137"/>
        <v>25582.128823015035</v>
      </c>
      <c r="G645" s="112">
        <f t="shared" si="138"/>
        <v>24157.31478774071</v>
      </c>
      <c r="H645" s="112">
        <f t="shared" si="139"/>
        <v>119.78001915588101</v>
      </c>
      <c r="I645" s="75">
        <f t="shared" si="140"/>
        <v>459.82616350758974</v>
      </c>
      <c r="J645" s="74"/>
      <c r="K645" s="75">
        <f t="shared" si="141"/>
        <v>459.82616350758974</v>
      </c>
      <c r="L645" s="156">
        <f t="shared" si="142"/>
        <v>85.06110996846229</v>
      </c>
      <c r="M645" s="157"/>
      <c r="N645" s="73">
        <v>14</v>
      </c>
      <c r="O645" s="86">
        <f t="shared" si="153"/>
        <v>25986.199290098575</v>
      </c>
      <c r="P645" s="50">
        <f t="shared" si="143"/>
        <v>497.92964575807002</v>
      </c>
      <c r="Q645" s="86">
        <f t="shared" si="144"/>
        <v>168.91029538564075</v>
      </c>
      <c r="R645" s="86">
        <f t="shared" si="145"/>
        <v>329.01935037242924</v>
      </c>
      <c r="S645" s="74">
        <f t="shared" si="146"/>
        <v>25657.179939726146</v>
      </c>
      <c r="T645" s="112">
        <f t="shared" si="147"/>
        <v>24225.117667361112</v>
      </c>
      <c r="U645" s="112">
        <f t="shared" si="148"/>
        <v>157.46326483784722</v>
      </c>
      <c r="V645" s="75">
        <f t="shared" si="149"/>
        <v>497.92964575807002</v>
      </c>
      <c r="W645" s="74"/>
      <c r="X645" s="75">
        <f t="shared" si="150"/>
        <v>497.92964575807002</v>
      </c>
      <c r="Y645" s="156">
        <f t="shared" si="151"/>
        <v>85.310656491192503</v>
      </c>
      <c r="Z645" s="46"/>
      <c r="AA645" s="107">
        <f t="shared" si="133"/>
        <v>38.103482250480283</v>
      </c>
      <c r="AB645" s="46"/>
      <c r="AC645" s="46"/>
      <c r="AD645" s="46"/>
      <c r="AE645" s="46"/>
    </row>
    <row r="646" spans="1:31" x14ac:dyDescent="0.2">
      <c r="A646" s="73">
        <v>15</v>
      </c>
      <c r="B646" s="86">
        <f t="shared" si="152"/>
        <v>25582.128823015035</v>
      </c>
      <c r="C646" s="50">
        <f t="shared" si="134"/>
        <v>459.82616350758974</v>
      </c>
      <c r="D646" s="86">
        <f t="shared" si="135"/>
        <v>126.84472208078289</v>
      </c>
      <c r="E646" s="86">
        <f t="shared" si="136"/>
        <v>332.98144142680684</v>
      </c>
      <c r="F646" s="74">
        <f t="shared" si="137"/>
        <v>25249.147381588227</v>
      </c>
      <c r="G646" s="112">
        <f t="shared" si="138"/>
        <v>23729.188852541683</v>
      </c>
      <c r="H646" s="112">
        <f t="shared" si="139"/>
        <v>117.65722806051917</v>
      </c>
      <c r="I646" s="75">
        <f t="shared" si="140"/>
        <v>459.82616350758974</v>
      </c>
      <c r="J646" s="74"/>
      <c r="K646" s="75">
        <f t="shared" si="141"/>
        <v>459.82616350758974</v>
      </c>
      <c r="L646" s="156">
        <f t="shared" si="142"/>
        <v>83.953939755904329</v>
      </c>
      <c r="M646" s="157"/>
      <c r="N646" s="73">
        <v>15</v>
      </c>
      <c r="O646" s="86">
        <f t="shared" si="153"/>
        <v>25657.179939726146</v>
      </c>
      <c r="P646" s="50">
        <f t="shared" si="143"/>
        <v>497.92964575807002</v>
      </c>
      <c r="Q646" s="86">
        <f t="shared" si="144"/>
        <v>166.77166960821995</v>
      </c>
      <c r="R646" s="86">
        <f t="shared" si="145"/>
        <v>331.15797614985007</v>
      </c>
      <c r="S646" s="74">
        <f t="shared" si="146"/>
        <v>25326.021963576295</v>
      </c>
      <c r="T646" s="112">
        <f t="shared" si="147"/>
        <v>23798.803939478075</v>
      </c>
      <c r="U646" s="112">
        <f t="shared" si="148"/>
        <v>154.69222560660748</v>
      </c>
      <c r="V646" s="75">
        <f t="shared" si="149"/>
        <v>497.92964575807002</v>
      </c>
      <c r="W646" s="74"/>
      <c r="X646" s="75">
        <f t="shared" si="150"/>
        <v>497.92964575807002</v>
      </c>
      <c r="Y646" s="156">
        <f t="shared" si="151"/>
        <v>84.209549338574547</v>
      </c>
      <c r="Z646" s="46"/>
      <c r="AA646" s="107">
        <f t="shared" si="133"/>
        <v>38.103482250480283</v>
      </c>
      <c r="AB646" s="46"/>
      <c r="AC646" s="46"/>
      <c r="AD646" s="46"/>
      <c r="AE646" s="46"/>
    </row>
    <row r="647" spans="1:31" x14ac:dyDescent="0.2">
      <c r="A647" s="73">
        <v>16</v>
      </c>
      <c r="B647" s="86">
        <f t="shared" si="152"/>
        <v>25249.147381588227</v>
      </c>
      <c r="C647" s="50">
        <f t="shared" si="134"/>
        <v>459.82616350758974</v>
      </c>
      <c r="D647" s="86">
        <f t="shared" si="135"/>
        <v>125.19368910037495</v>
      </c>
      <c r="E647" s="86">
        <f t="shared" si="136"/>
        <v>334.63247440721477</v>
      </c>
      <c r="F647" s="74">
        <f t="shared" si="137"/>
        <v>24914.514907181012</v>
      </c>
      <c r="G647" s="112">
        <f t="shared" si="138"/>
        <v>23303.223972280372</v>
      </c>
      <c r="H647" s="112">
        <f t="shared" si="139"/>
        <v>115.54515219589017</v>
      </c>
      <c r="I647" s="75">
        <f t="shared" si="140"/>
        <v>459.82616350758974</v>
      </c>
      <c r="J647" s="74"/>
      <c r="K647" s="75">
        <f t="shared" si="141"/>
        <v>459.82616350758974</v>
      </c>
      <c r="L647" s="156">
        <f t="shared" si="142"/>
        <v>82.841279824375775</v>
      </c>
      <c r="M647" s="157"/>
      <c r="N647" s="73">
        <v>16</v>
      </c>
      <c r="O647" s="86">
        <f t="shared" si="153"/>
        <v>25326.021963576295</v>
      </c>
      <c r="P647" s="50">
        <f t="shared" si="143"/>
        <v>497.92964575807002</v>
      </c>
      <c r="Q647" s="86">
        <f t="shared" si="144"/>
        <v>164.61914276324592</v>
      </c>
      <c r="R647" s="86">
        <f t="shared" si="145"/>
        <v>333.31050299482411</v>
      </c>
      <c r="S647" s="74">
        <f t="shared" si="146"/>
        <v>24992.711460581471</v>
      </c>
      <c r="T647" s="112">
        <f t="shared" si="147"/>
        <v>23374.173916639666</v>
      </c>
      <c r="U647" s="112">
        <f t="shared" si="148"/>
        <v>151.93213045815784</v>
      </c>
      <c r="V647" s="75">
        <f t="shared" si="149"/>
        <v>497.92964575807002</v>
      </c>
      <c r="W647" s="74"/>
      <c r="X647" s="75">
        <f t="shared" si="150"/>
        <v>497.92964575807002</v>
      </c>
      <c r="Y647" s="156">
        <f t="shared" si="151"/>
        <v>83.101284989464574</v>
      </c>
      <c r="Z647" s="46"/>
      <c r="AA647" s="107">
        <f t="shared" si="133"/>
        <v>38.103482250480283</v>
      </c>
      <c r="AB647" s="46"/>
      <c r="AC647" s="46"/>
      <c r="AD647" s="46"/>
      <c r="AE647" s="46"/>
    </row>
    <row r="648" spans="1:31" x14ac:dyDescent="0.2">
      <c r="A648" s="73">
        <v>17</v>
      </c>
      <c r="B648" s="86">
        <f t="shared" si="152"/>
        <v>24914.514907181012</v>
      </c>
      <c r="C648" s="50">
        <f t="shared" si="134"/>
        <v>459.82616350758974</v>
      </c>
      <c r="D648" s="86">
        <f t="shared" si="135"/>
        <v>123.53446974810585</v>
      </c>
      <c r="E648" s="86">
        <f t="shared" si="136"/>
        <v>336.29169375948391</v>
      </c>
      <c r="F648" s="74">
        <f t="shared" si="137"/>
        <v>24578.223213421526</v>
      </c>
      <c r="G648" s="112">
        <f t="shared" si="138"/>
        <v>22879.409340324652</v>
      </c>
      <c r="H648" s="112">
        <f t="shared" si="139"/>
        <v>113.44373797910971</v>
      </c>
      <c r="I648" s="75">
        <f t="shared" si="140"/>
        <v>459.82616350758974</v>
      </c>
      <c r="J648" s="74"/>
      <c r="K648" s="75">
        <f t="shared" si="141"/>
        <v>459.82616350758974</v>
      </c>
      <c r="L648" s="156">
        <f t="shared" si="142"/>
        <v>81.723102954020035</v>
      </c>
      <c r="M648" s="157"/>
      <c r="N648" s="73">
        <v>17</v>
      </c>
      <c r="O648" s="86">
        <f t="shared" si="153"/>
        <v>24992.711460581471</v>
      </c>
      <c r="P648" s="50">
        <f t="shared" si="143"/>
        <v>497.92964575807002</v>
      </c>
      <c r="Q648" s="86">
        <f t="shared" si="144"/>
        <v>162.45262449377955</v>
      </c>
      <c r="R648" s="86">
        <f t="shared" si="145"/>
        <v>335.47702126429044</v>
      </c>
      <c r="S648" s="74">
        <f t="shared" si="146"/>
        <v>24657.234439317181</v>
      </c>
      <c r="T648" s="112">
        <f t="shared" si="147"/>
        <v>22951.218523080846</v>
      </c>
      <c r="U648" s="112">
        <f t="shared" si="148"/>
        <v>149.18292040002549</v>
      </c>
      <c r="V648" s="75">
        <f t="shared" si="149"/>
        <v>497.92964575807002</v>
      </c>
      <c r="W648" s="74"/>
      <c r="X648" s="75">
        <f t="shared" si="150"/>
        <v>497.92964575807002</v>
      </c>
      <c r="Y648" s="156">
        <f t="shared" si="151"/>
        <v>81.985816922085391</v>
      </c>
      <c r="Z648" s="46"/>
      <c r="AA648" s="107">
        <f t="shared" si="133"/>
        <v>38.103482250480283</v>
      </c>
      <c r="AB648" s="46"/>
      <c r="AC648" s="46"/>
      <c r="AD648" s="46"/>
      <c r="AE648" s="46"/>
    </row>
    <row r="649" spans="1:31" x14ac:dyDescent="0.2">
      <c r="A649" s="73">
        <v>18</v>
      </c>
      <c r="B649" s="86">
        <f t="shared" si="152"/>
        <v>24578.223213421526</v>
      </c>
      <c r="C649" s="50">
        <f t="shared" si="134"/>
        <v>459.82616350758974</v>
      </c>
      <c r="D649" s="86">
        <f t="shared" si="135"/>
        <v>121.86702343321507</v>
      </c>
      <c r="E649" s="86">
        <f t="shared" si="136"/>
        <v>337.95914007437466</v>
      </c>
      <c r="F649" s="74">
        <f t="shared" si="137"/>
        <v>24240.264073347153</v>
      </c>
      <c r="G649" s="112">
        <f t="shared" si="138"/>
        <v>22457.734204075659</v>
      </c>
      <c r="H649" s="112">
        <f t="shared" si="139"/>
        <v>111.35293209520847</v>
      </c>
      <c r="I649" s="75">
        <f t="shared" si="140"/>
        <v>459.82616350758974</v>
      </c>
      <c r="J649" s="74"/>
      <c r="K649" s="75">
        <f t="shared" si="141"/>
        <v>459.82616350758974</v>
      </c>
      <c r="L649" s="156">
        <f t="shared" si="142"/>
        <v>80.599381790015471</v>
      </c>
      <c r="M649" s="157"/>
      <c r="N649" s="73">
        <v>18</v>
      </c>
      <c r="O649" s="86">
        <f t="shared" si="153"/>
        <v>24657.234439317181</v>
      </c>
      <c r="P649" s="50">
        <f t="shared" si="143"/>
        <v>497.92964575807002</v>
      </c>
      <c r="Q649" s="86">
        <f t="shared" si="144"/>
        <v>160.27202385556168</v>
      </c>
      <c r="R649" s="86">
        <f t="shared" si="145"/>
        <v>337.65762190250837</v>
      </c>
      <c r="S649" s="74">
        <f t="shared" si="146"/>
        <v>24319.576817414672</v>
      </c>
      <c r="T649" s="112">
        <f t="shared" si="147"/>
        <v>22529.928727450882</v>
      </c>
      <c r="U649" s="112">
        <f t="shared" si="148"/>
        <v>146.44453672843073</v>
      </c>
      <c r="V649" s="75">
        <f t="shared" si="149"/>
        <v>497.92964575807002</v>
      </c>
      <c r="W649" s="74"/>
      <c r="X649" s="75">
        <f t="shared" si="150"/>
        <v>497.92964575807002</v>
      </c>
      <c r="Y649" s="156">
        <f t="shared" si="151"/>
        <v>80.863098312268235</v>
      </c>
      <c r="Z649" s="46"/>
      <c r="AA649" s="107">
        <f t="shared" si="133"/>
        <v>38.103482250480283</v>
      </c>
      <c r="AB649" s="46"/>
      <c r="AC649" s="46"/>
      <c r="AD649" s="46"/>
      <c r="AE649" s="46"/>
    </row>
    <row r="650" spans="1:31" x14ac:dyDescent="0.2">
      <c r="A650" s="73">
        <v>19</v>
      </c>
      <c r="B650" s="86">
        <f t="shared" si="152"/>
        <v>24240.264073347153</v>
      </c>
      <c r="C650" s="50">
        <f t="shared" si="134"/>
        <v>459.82616350758974</v>
      </c>
      <c r="D650" s="86">
        <f t="shared" si="135"/>
        <v>120.19130936367962</v>
      </c>
      <c r="E650" s="86">
        <f t="shared" si="136"/>
        <v>339.6348541439101</v>
      </c>
      <c r="F650" s="74">
        <f t="shared" si="137"/>
        <v>23900.629219203242</v>
      </c>
      <c r="G650" s="112">
        <f t="shared" si="138"/>
        <v>22038.187864697618</v>
      </c>
      <c r="H650" s="112">
        <f t="shared" si="139"/>
        <v>109.27268149579236</v>
      </c>
      <c r="I650" s="75">
        <f t="shared" si="140"/>
        <v>459.82616350758974</v>
      </c>
      <c r="J650" s="74"/>
      <c r="K650" s="75">
        <f t="shared" si="141"/>
        <v>459.82616350758974</v>
      </c>
      <c r="L650" s="156">
        <f t="shared" si="142"/>
        <v>79.470088841906033</v>
      </c>
      <c r="M650" s="157"/>
      <c r="N650" s="73">
        <v>19</v>
      </c>
      <c r="O650" s="86">
        <f t="shared" si="153"/>
        <v>24319.576817414672</v>
      </c>
      <c r="P650" s="50">
        <f t="shared" si="143"/>
        <v>497.92964575807002</v>
      </c>
      <c r="Q650" s="86">
        <f t="shared" si="144"/>
        <v>158.07724931319538</v>
      </c>
      <c r="R650" s="86">
        <f t="shared" si="145"/>
        <v>339.85239644487467</v>
      </c>
      <c r="S650" s="74">
        <f t="shared" si="146"/>
        <v>23979.724420969796</v>
      </c>
      <c r="T650" s="112">
        <f t="shared" si="147"/>
        <v>22110.295542589894</v>
      </c>
      <c r="U650" s="112">
        <f t="shared" si="148"/>
        <v>143.71692102683431</v>
      </c>
      <c r="V650" s="75">
        <f t="shared" si="149"/>
        <v>497.92964575807002</v>
      </c>
      <c r="W650" s="74"/>
      <c r="X650" s="75">
        <f t="shared" si="150"/>
        <v>497.92964575807002</v>
      </c>
      <c r="Y650" s="156">
        <f t="shared" si="151"/>
        <v>79.733082031487271</v>
      </c>
      <c r="Z650" s="46"/>
      <c r="AA650" s="107">
        <f t="shared" si="133"/>
        <v>38.103482250480283</v>
      </c>
      <c r="AB650" s="46"/>
      <c r="AC650" s="46"/>
      <c r="AD650" s="46"/>
      <c r="AE650" s="46"/>
    </row>
    <row r="651" spans="1:31" x14ac:dyDescent="0.2">
      <c r="A651" s="73">
        <v>20</v>
      </c>
      <c r="B651" s="86">
        <f t="shared" si="152"/>
        <v>23900.629219203242</v>
      </c>
      <c r="C651" s="50">
        <f t="shared" si="134"/>
        <v>459.82616350758974</v>
      </c>
      <c r="D651" s="86">
        <f t="shared" si="135"/>
        <v>118.50728654521606</v>
      </c>
      <c r="E651" s="86">
        <f t="shared" si="136"/>
        <v>341.31887696237368</v>
      </c>
      <c r="F651" s="74">
        <f t="shared" si="137"/>
        <v>23559.310342240868</v>
      </c>
      <c r="G651" s="112">
        <f t="shared" si="138"/>
        <v>21620.759676849008</v>
      </c>
      <c r="H651" s="112">
        <f t="shared" si="139"/>
        <v>107.20293339770966</v>
      </c>
      <c r="I651" s="75">
        <f t="shared" si="140"/>
        <v>459.82616350758974</v>
      </c>
      <c r="J651" s="74"/>
      <c r="K651" s="75">
        <f t="shared" si="141"/>
        <v>459.82616350758974</v>
      </c>
      <c r="L651" s="156">
        <f t="shared" si="142"/>
        <v>78.335196482928907</v>
      </c>
      <c r="M651" s="157"/>
      <c r="N651" s="73">
        <v>20</v>
      </c>
      <c r="O651" s="86">
        <f t="shared" si="153"/>
        <v>23979.724420969796</v>
      </c>
      <c r="P651" s="50">
        <f t="shared" si="143"/>
        <v>497.92964575807002</v>
      </c>
      <c r="Q651" s="86">
        <f t="shared" si="144"/>
        <v>155.86820873630367</v>
      </c>
      <c r="R651" s="86">
        <f t="shared" si="145"/>
        <v>342.06143702176632</v>
      </c>
      <c r="S651" s="74">
        <f t="shared" si="146"/>
        <v>23637.66298394803</v>
      </c>
      <c r="T651" s="112">
        <f t="shared" si="147"/>
        <v>21692.310025306469</v>
      </c>
      <c r="U651" s="112">
        <f t="shared" si="148"/>
        <v>141.00001516449205</v>
      </c>
      <c r="V651" s="75">
        <f t="shared" si="149"/>
        <v>497.92964575807002</v>
      </c>
      <c r="W651" s="74"/>
      <c r="X651" s="75">
        <f t="shared" si="150"/>
        <v>497.92964575807002</v>
      </c>
      <c r="Y651" s="156">
        <f t="shared" si="151"/>
        <v>78.595720644881226</v>
      </c>
      <c r="Z651" s="46"/>
      <c r="AA651" s="107">
        <f t="shared" si="133"/>
        <v>38.103482250480283</v>
      </c>
      <c r="AB651" s="46"/>
      <c r="AC651" s="46"/>
      <c r="AD651" s="46"/>
      <c r="AE651" s="46"/>
    </row>
    <row r="652" spans="1:31" x14ac:dyDescent="0.2">
      <c r="A652" s="73">
        <v>21</v>
      </c>
      <c r="B652" s="86">
        <f t="shared" si="152"/>
        <v>23559.310342240868</v>
      </c>
      <c r="C652" s="50">
        <f t="shared" si="134"/>
        <v>459.82616350758974</v>
      </c>
      <c r="D652" s="86">
        <f t="shared" si="135"/>
        <v>116.81491378027762</v>
      </c>
      <c r="E652" s="86">
        <f t="shared" si="136"/>
        <v>343.01124972731213</v>
      </c>
      <c r="F652" s="74">
        <f t="shared" si="137"/>
        <v>23216.299092513556</v>
      </c>
      <c r="G652" s="112">
        <f t="shared" si="138"/>
        <v>21205.439048415115</v>
      </c>
      <c r="H652" s="112">
        <f t="shared" si="139"/>
        <v>105.14363528172494</v>
      </c>
      <c r="I652" s="75">
        <f t="shared" si="140"/>
        <v>459.82616350758974</v>
      </c>
      <c r="J652" s="74"/>
      <c r="K652" s="75">
        <f t="shared" si="141"/>
        <v>459.82616350758974</v>
      </c>
      <c r="L652" s="156">
        <f t="shared" si="142"/>
        <v>77.194676949338501</v>
      </c>
      <c r="M652" s="157"/>
      <c r="N652" s="73">
        <v>21</v>
      </c>
      <c r="O652" s="86">
        <f t="shared" si="153"/>
        <v>23637.66298394803</v>
      </c>
      <c r="P652" s="50">
        <f t="shared" si="143"/>
        <v>497.92964575807002</v>
      </c>
      <c r="Q652" s="86">
        <f t="shared" si="144"/>
        <v>153.64480939566218</v>
      </c>
      <c r="R652" s="86">
        <f t="shared" si="145"/>
        <v>344.28483636240787</v>
      </c>
      <c r="S652" s="74">
        <f t="shared" si="146"/>
        <v>23293.378147585623</v>
      </c>
      <c r="T652" s="112">
        <f t="shared" si="147"/>
        <v>21275.963276156388</v>
      </c>
      <c r="U652" s="112">
        <f t="shared" si="148"/>
        <v>138.29376129501654</v>
      </c>
      <c r="V652" s="75">
        <f t="shared" si="149"/>
        <v>497.92964575807002</v>
      </c>
      <c r="W652" s="74"/>
      <c r="X652" s="75">
        <f t="shared" si="150"/>
        <v>497.92964575807002</v>
      </c>
      <c r="Y652" s="156">
        <f t="shared" si="151"/>
        <v>77.45096640926225</v>
      </c>
      <c r="Z652" s="46"/>
      <c r="AA652" s="107">
        <f t="shared" si="133"/>
        <v>38.103482250480283</v>
      </c>
      <c r="AB652" s="46"/>
      <c r="AC652" s="46"/>
      <c r="AD652" s="46"/>
      <c r="AE652" s="46"/>
    </row>
    <row r="653" spans="1:31" x14ac:dyDescent="0.2">
      <c r="A653" s="73">
        <v>22</v>
      </c>
      <c r="B653" s="86">
        <f t="shared" si="152"/>
        <v>23216.299092513556</v>
      </c>
      <c r="C653" s="50">
        <f t="shared" si="134"/>
        <v>459.82616350758974</v>
      </c>
      <c r="D653" s="86">
        <f t="shared" si="135"/>
        <v>115.11414966704638</v>
      </c>
      <c r="E653" s="86">
        <f t="shared" si="136"/>
        <v>344.71201384054336</v>
      </c>
      <c r="F653" s="74">
        <f t="shared" si="137"/>
        <v>22871.587078673012</v>
      </c>
      <c r="G653" s="112">
        <f t="shared" si="138"/>
        <v>20792.215440241889</v>
      </c>
      <c r="H653" s="112">
        <f t="shared" si="139"/>
        <v>103.09473489119937</v>
      </c>
      <c r="I653" s="75">
        <f t="shared" si="140"/>
        <v>459.82616350758974</v>
      </c>
      <c r="J653" s="74"/>
      <c r="K653" s="75">
        <f t="shared" si="141"/>
        <v>459.82616350758974</v>
      </c>
      <c r="L653" s="156">
        <f t="shared" si="142"/>
        <v>76.048502339727392</v>
      </c>
      <c r="M653" s="157"/>
      <c r="N653" s="73">
        <v>22</v>
      </c>
      <c r="O653" s="86">
        <f t="shared" si="153"/>
        <v>23293.378147585623</v>
      </c>
      <c r="P653" s="50">
        <f t="shared" si="143"/>
        <v>497.92964575807002</v>
      </c>
      <c r="Q653" s="86">
        <f t="shared" si="144"/>
        <v>151.40695795930654</v>
      </c>
      <c r="R653" s="86">
        <f t="shared" si="145"/>
        <v>346.52268779876351</v>
      </c>
      <c r="S653" s="74">
        <f t="shared" si="146"/>
        <v>22946.855459786861</v>
      </c>
      <c r="T653" s="112">
        <f t="shared" si="147"/>
        <v>20861.246439222494</v>
      </c>
      <c r="U653" s="112">
        <f t="shared" si="148"/>
        <v>135.59810185494621</v>
      </c>
      <c r="V653" s="75">
        <f t="shared" si="149"/>
        <v>497.92964575807002</v>
      </c>
      <c r="W653" s="74"/>
      <c r="X653" s="75">
        <f t="shared" si="150"/>
        <v>497.92964575807002</v>
      </c>
      <c r="Y653" s="156">
        <f t="shared" si="151"/>
        <v>76.298771271111747</v>
      </c>
      <c r="Z653" s="46"/>
      <c r="AA653" s="107">
        <f t="shared" si="133"/>
        <v>38.103482250480283</v>
      </c>
      <c r="AB653" s="46"/>
      <c r="AC653" s="46"/>
      <c r="AD653" s="46"/>
      <c r="AE653" s="46"/>
    </row>
    <row r="654" spans="1:31" x14ac:dyDescent="0.2">
      <c r="A654" s="73">
        <v>23</v>
      </c>
      <c r="B654" s="86">
        <f t="shared" si="152"/>
        <v>22871.587078673012</v>
      </c>
      <c r="C654" s="50">
        <f t="shared" si="134"/>
        <v>459.82616350758974</v>
      </c>
      <c r="D654" s="86">
        <f t="shared" si="135"/>
        <v>113.40495259842034</v>
      </c>
      <c r="E654" s="86">
        <f t="shared" si="136"/>
        <v>346.42121090916942</v>
      </c>
      <c r="F654" s="74">
        <f t="shared" si="137"/>
        <v>22525.165867763844</v>
      </c>
      <c r="G654" s="112">
        <f t="shared" si="138"/>
        <v>20381.078365871137</v>
      </c>
      <c r="H654" s="112">
        <f t="shared" si="139"/>
        <v>101.05618023077771</v>
      </c>
      <c r="I654" s="75">
        <f t="shared" si="140"/>
        <v>459.82616350758974</v>
      </c>
      <c r="J654" s="74"/>
      <c r="K654" s="75">
        <f t="shared" si="141"/>
        <v>459.82616350758974</v>
      </c>
      <c r="L654" s="156">
        <f t="shared" si="142"/>
        <v>74.896644614343614</v>
      </c>
      <c r="M654" s="157"/>
      <c r="N654" s="73">
        <v>23</v>
      </c>
      <c r="O654" s="86">
        <f t="shared" si="153"/>
        <v>22946.855459786861</v>
      </c>
      <c r="P654" s="50">
        <f t="shared" si="143"/>
        <v>497.92964575807002</v>
      </c>
      <c r="Q654" s="86">
        <f t="shared" si="144"/>
        <v>149.15456048861458</v>
      </c>
      <c r="R654" s="86">
        <f t="shared" si="145"/>
        <v>348.77508526945542</v>
      </c>
      <c r="S654" s="74">
        <f t="shared" si="146"/>
        <v>22598.080374517405</v>
      </c>
      <c r="T654" s="112">
        <f t="shared" si="147"/>
        <v>20448.150701895604</v>
      </c>
      <c r="U654" s="112">
        <f t="shared" si="148"/>
        <v>132.91297956232142</v>
      </c>
      <c r="V654" s="75">
        <f t="shared" si="149"/>
        <v>497.92964575807002</v>
      </c>
      <c r="W654" s="74"/>
      <c r="X654" s="75">
        <f t="shared" si="150"/>
        <v>497.92964575807002</v>
      </c>
      <c r="Y654" s="156">
        <f t="shared" si="151"/>
        <v>75.139086864563282</v>
      </c>
      <c r="Z654" s="46"/>
      <c r="AA654" s="107">
        <f t="shared" si="133"/>
        <v>38.103482250480283</v>
      </c>
      <c r="AB654" s="46"/>
      <c r="AC654" s="46"/>
      <c r="AD654" s="46"/>
      <c r="AE654" s="46"/>
    </row>
    <row r="655" spans="1:31" x14ac:dyDescent="0.2">
      <c r="A655" s="73">
        <v>24</v>
      </c>
      <c r="B655" s="86">
        <f t="shared" si="152"/>
        <v>22525.165867763844</v>
      </c>
      <c r="C655" s="50">
        <f t="shared" si="134"/>
        <v>459.82616350758974</v>
      </c>
      <c r="D655" s="86">
        <f t="shared" si="135"/>
        <v>111.68728076099573</v>
      </c>
      <c r="E655" s="86">
        <f t="shared" si="136"/>
        <v>348.13888274659399</v>
      </c>
      <c r="F655" s="74">
        <f t="shared" si="137"/>
        <v>22177.026985017252</v>
      </c>
      <c r="G655" s="112">
        <f t="shared" si="138"/>
        <v>19972.017391277055</v>
      </c>
      <c r="H655" s="112">
        <f t="shared" si="139"/>
        <v>99.027919565082058</v>
      </c>
      <c r="I655" s="75">
        <f t="shared" si="140"/>
        <v>459.82616350758974</v>
      </c>
      <c r="J655" s="74"/>
      <c r="K655" s="75">
        <f t="shared" si="141"/>
        <v>459.82616350758974</v>
      </c>
      <c r="L655" s="156">
        <f t="shared" si="142"/>
        <v>73.739075594404824</v>
      </c>
      <c r="M655" s="157"/>
      <c r="N655" s="73">
        <v>24</v>
      </c>
      <c r="O655" s="86">
        <f t="shared" si="153"/>
        <v>22598.080374517405</v>
      </c>
      <c r="P655" s="50">
        <f t="shared" si="143"/>
        <v>497.92964575807002</v>
      </c>
      <c r="Q655" s="86">
        <f t="shared" si="144"/>
        <v>146.88752243436315</v>
      </c>
      <c r="R655" s="86">
        <f t="shared" si="145"/>
        <v>351.04212332370685</v>
      </c>
      <c r="S655" s="74">
        <f t="shared" si="146"/>
        <v>22247.038251193699</v>
      </c>
      <c r="T655" s="112">
        <f t="shared" si="147"/>
        <v>20036.66729465657</v>
      </c>
      <c r="U655" s="112">
        <f t="shared" si="148"/>
        <v>130.23833741526769</v>
      </c>
      <c r="V655" s="75">
        <f t="shared" si="149"/>
        <v>497.92964575807002</v>
      </c>
      <c r="W655" s="74"/>
      <c r="X655" s="75">
        <f t="shared" si="150"/>
        <v>497.92964575807002</v>
      </c>
      <c r="Y655" s="156">
        <f t="shared" si="151"/>
        <v>73.971864509372239</v>
      </c>
      <c r="Z655" s="46"/>
      <c r="AA655" s="107">
        <f t="shared" si="133"/>
        <v>38.103482250480283</v>
      </c>
      <c r="AB655" s="46"/>
      <c r="AC655" s="46"/>
      <c r="AD655" s="46"/>
      <c r="AE655" s="46"/>
    </row>
    <row r="656" spans="1:31" x14ac:dyDescent="0.2">
      <c r="A656" s="73">
        <v>25</v>
      </c>
      <c r="B656" s="86">
        <f t="shared" si="152"/>
        <v>22177.026985017252</v>
      </c>
      <c r="C656" s="50">
        <f t="shared" si="134"/>
        <v>459.82616350758974</v>
      </c>
      <c r="D656" s="86">
        <f t="shared" si="135"/>
        <v>109.96109213404388</v>
      </c>
      <c r="E656" s="86">
        <f t="shared" si="136"/>
        <v>349.86507137354585</v>
      </c>
      <c r="F656" s="74">
        <f t="shared" si="137"/>
        <v>21827.161913643708</v>
      </c>
      <c r="G656" s="112">
        <f t="shared" si="138"/>
        <v>19565.022134604049</v>
      </c>
      <c r="H656" s="112">
        <f t="shared" si="139"/>
        <v>97.00990141741174</v>
      </c>
      <c r="I656" s="75">
        <f t="shared" si="140"/>
        <v>459.82616350758974</v>
      </c>
      <c r="J656" s="74"/>
      <c r="K656" s="75">
        <f t="shared" si="141"/>
        <v>459.82616350758974</v>
      </c>
      <c r="L656" s="156">
        <f t="shared" si="142"/>
        <v>72.575766961408846</v>
      </c>
      <c r="M656" s="157"/>
      <c r="N656" s="73">
        <v>25</v>
      </c>
      <c r="O656" s="86">
        <f t="shared" si="153"/>
        <v>22247.038251193699</v>
      </c>
      <c r="P656" s="50">
        <f t="shared" si="143"/>
        <v>497.92964575807002</v>
      </c>
      <c r="Q656" s="86">
        <f t="shared" si="144"/>
        <v>144.60574863275903</v>
      </c>
      <c r="R656" s="86">
        <f t="shared" si="145"/>
        <v>353.32389712531096</v>
      </c>
      <c r="S656" s="74">
        <f t="shared" si="146"/>
        <v>21893.714354068386</v>
      </c>
      <c r="T656" s="112">
        <f t="shared" si="147"/>
        <v>19626.787490859384</v>
      </c>
      <c r="U656" s="112">
        <f t="shared" si="148"/>
        <v>127.57411869058599</v>
      </c>
      <c r="V656" s="75">
        <f t="shared" si="149"/>
        <v>497.92964575807002</v>
      </c>
      <c r="W656" s="74"/>
      <c r="X656" s="75">
        <f t="shared" si="150"/>
        <v>497.92964575807002</v>
      </c>
      <c r="Y656" s="156">
        <f t="shared" si="151"/>
        <v>72.797055208872436</v>
      </c>
      <c r="Z656" s="46"/>
      <c r="AA656" s="107">
        <f t="shared" si="133"/>
        <v>38.103482250480283</v>
      </c>
      <c r="AB656" s="46"/>
      <c r="AC656" s="46"/>
      <c r="AD656" s="46"/>
      <c r="AE656" s="46"/>
    </row>
    <row r="657" spans="1:31" x14ac:dyDescent="0.2">
      <c r="A657" s="73">
        <v>26</v>
      </c>
      <c r="B657" s="86">
        <f t="shared" si="152"/>
        <v>21827.161913643708</v>
      </c>
      <c r="C657" s="50">
        <f t="shared" si="134"/>
        <v>459.82616350758974</v>
      </c>
      <c r="D657" s="86">
        <f t="shared" si="135"/>
        <v>108.22634448848338</v>
      </c>
      <c r="E657" s="86">
        <f t="shared" si="136"/>
        <v>351.59981901910635</v>
      </c>
      <c r="F657" s="74">
        <f t="shared" si="137"/>
        <v>21475.562094624602</v>
      </c>
      <c r="G657" s="112">
        <f t="shared" si="138"/>
        <v>19160.08226590589</v>
      </c>
      <c r="H657" s="112">
        <f t="shared" si="139"/>
        <v>95.002074568450041</v>
      </c>
      <c r="I657" s="75">
        <f t="shared" si="140"/>
        <v>459.82616350758974</v>
      </c>
      <c r="J657" s="74"/>
      <c r="K657" s="75">
        <f t="shared" si="141"/>
        <v>459.82616350758974</v>
      </c>
      <c r="L657" s="156">
        <f t="shared" si="142"/>
        <v>71.406690256440911</v>
      </c>
      <c r="M657" s="157"/>
      <c r="N657" s="73">
        <v>26</v>
      </c>
      <c r="O657" s="86">
        <f t="shared" si="153"/>
        <v>21893.714354068386</v>
      </c>
      <c r="P657" s="50">
        <f t="shared" si="143"/>
        <v>497.92964575807002</v>
      </c>
      <c r="Q657" s="86">
        <f t="shared" si="144"/>
        <v>142.30914330144449</v>
      </c>
      <c r="R657" s="86">
        <f t="shared" si="145"/>
        <v>355.62050245662556</v>
      </c>
      <c r="S657" s="74">
        <f t="shared" si="146"/>
        <v>21538.09385161176</v>
      </c>
      <c r="T657" s="112">
        <f t="shared" si="147"/>
        <v>19218.502606515387</v>
      </c>
      <c r="U657" s="112">
        <f t="shared" si="148"/>
        <v>124.92026694235001</v>
      </c>
      <c r="V657" s="75">
        <f t="shared" si="149"/>
        <v>497.92964575807002</v>
      </c>
      <c r="W657" s="74"/>
      <c r="X657" s="75">
        <f t="shared" si="150"/>
        <v>497.92964575807002</v>
      </c>
      <c r="Y657" s="156">
        <f t="shared" si="151"/>
        <v>71.614609647919409</v>
      </c>
      <c r="Z657" s="46"/>
      <c r="AA657" s="107">
        <f t="shared" si="133"/>
        <v>38.103482250480283</v>
      </c>
      <c r="AB657" s="46"/>
      <c r="AC657" s="46"/>
      <c r="AD657" s="46"/>
      <c r="AE657" s="46"/>
    </row>
    <row r="658" spans="1:31" x14ac:dyDescent="0.2">
      <c r="A658" s="73">
        <v>27</v>
      </c>
      <c r="B658" s="86">
        <f t="shared" si="152"/>
        <v>21475.562094624602</v>
      </c>
      <c r="C658" s="50">
        <f t="shared" si="134"/>
        <v>459.82616350758974</v>
      </c>
      <c r="D658" s="86">
        <f t="shared" si="135"/>
        <v>106.48299538584699</v>
      </c>
      <c r="E658" s="86">
        <f t="shared" si="136"/>
        <v>353.34316812174274</v>
      </c>
      <c r="F658" s="74">
        <f t="shared" si="137"/>
        <v>21122.218926502857</v>
      </c>
      <c r="G658" s="112">
        <f t="shared" si="138"/>
        <v>18757.187506886185</v>
      </c>
      <c r="H658" s="112">
        <f t="shared" si="139"/>
        <v>93.004388054977326</v>
      </c>
      <c r="I658" s="75">
        <f t="shared" si="140"/>
        <v>459.82616350758974</v>
      </c>
      <c r="J658" s="74"/>
      <c r="K658" s="75">
        <f t="shared" si="141"/>
        <v>459.82616350758974</v>
      </c>
      <c r="L658" s="156">
        <f t="shared" si="142"/>
        <v>70.231816879477492</v>
      </c>
      <c r="M658" s="157"/>
      <c r="N658" s="73">
        <v>27</v>
      </c>
      <c r="O658" s="86">
        <f t="shared" si="153"/>
        <v>21538.09385161176</v>
      </c>
      <c r="P658" s="50">
        <f t="shared" si="143"/>
        <v>497.92964575807002</v>
      </c>
      <c r="Q658" s="86">
        <f t="shared" si="144"/>
        <v>139.99761003547644</v>
      </c>
      <c r="R658" s="86">
        <f t="shared" si="145"/>
        <v>357.93203572259358</v>
      </c>
      <c r="S658" s="74">
        <f t="shared" si="146"/>
        <v>21180.161815889165</v>
      </c>
      <c r="T658" s="112">
        <f t="shared" si="147"/>
        <v>18811.804000078544</v>
      </c>
      <c r="U658" s="112">
        <f t="shared" si="148"/>
        <v>122.27672600051055</v>
      </c>
      <c r="V658" s="75">
        <f t="shared" si="149"/>
        <v>497.92964575807002</v>
      </c>
      <c r="W658" s="74"/>
      <c r="X658" s="75">
        <f t="shared" si="150"/>
        <v>497.92964575807002</v>
      </c>
      <c r="Y658" s="156">
        <f t="shared" si="151"/>
        <v>70.424478190820167</v>
      </c>
      <c r="Z658" s="46"/>
      <c r="AA658" s="107">
        <f t="shared" si="133"/>
        <v>38.103482250480283</v>
      </c>
      <c r="AB658" s="46"/>
      <c r="AC658" s="46"/>
      <c r="AD658" s="46"/>
      <c r="AE658" s="46"/>
    </row>
    <row r="659" spans="1:31" x14ac:dyDescent="0.2">
      <c r="A659" s="73">
        <v>28</v>
      </c>
      <c r="B659" s="86">
        <f t="shared" si="152"/>
        <v>21122.218926502857</v>
      </c>
      <c r="C659" s="50">
        <f t="shared" si="134"/>
        <v>459.82616350758974</v>
      </c>
      <c r="D659" s="86">
        <f t="shared" si="135"/>
        <v>104.73100217724333</v>
      </c>
      <c r="E659" s="86">
        <f t="shared" si="136"/>
        <v>355.0951613303464</v>
      </c>
      <c r="F659" s="74">
        <f t="shared" si="137"/>
        <v>20767.12376517251</v>
      </c>
      <c r="G659" s="112">
        <f t="shared" si="138"/>
        <v>18356.327630640102</v>
      </c>
      <c r="H659" s="112">
        <f t="shared" si="139"/>
        <v>91.016791168590501</v>
      </c>
      <c r="I659" s="75">
        <f t="shared" si="140"/>
        <v>459.82616350758974</v>
      </c>
      <c r="J659" s="74"/>
      <c r="K659" s="75">
        <f t="shared" si="141"/>
        <v>459.82616350758974</v>
      </c>
      <c r="L659" s="156">
        <f t="shared" si="142"/>
        <v>69.05111808868665</v>
      </c>
      <c r="M659" s="157"/>
      <c r="N659" s="73">
        <v>28</v>
      </c>
      <c r="O659" s="86">
        <f t="shared" si="153"/>
        <v>21180.161815889165</v>
      </c>
      <c r="P659" s="50">
        <f t="shared" si="143"/>
        <v>497.92964575807002</v>
      </c>
      <c r="Q659" s="86">
        <f t="shared" si="144"/>
        <v>137.67105180327957</v>
      </c>
      <c r="R659" s="86">
        <f t="shared" si="145"/>
        <v>360.25859395479046</v>
      </c>
      <c r="S659" s="74">
        <f t="shared" si="146"/>
        <v>20819.903221934375</v>
      </c>
      <c r="T659" s="112">
        <f t="shared" si="147"/>
        <v>18406.683072231819</v>
      </c>
      <c r="U659" s="112">
        <f t="shared" si="148"/>
        <v>119.64343996950682</v>
      </c>
      <c r="V659" s="75">
        <f t="shared" si="149"/>
        <v>497.92964575807002</v>
      </c>
      <c r="W659" s="74"/>
      <c r="X659" s="75">
        <f t="shared" si="150"/>
        <v>497.92964575807002</v>
      </c>
      <c r="Y659" s="156">
        <f t="shared" si="151"/>
        <v>69.22661087924979</v>
      </c>
      <c r="Z659" s="46"/>
      <c r="AA659" s="107">
        <f t="shared" si="133"/>
        <v>38.103482250480283</v>
      </c>
      <c r="AB659" s="46"/>
      <c r="AC659" s="46"/>
      <c r="AD659" s="46"/>
      <c r="AE659" s="46"/>
    </row>
    <row r="660" spans="1:31" x14ac:dyDescent="0.2">
      <c r="A660" s="73">
        <v>29</v>
      </c>
      <c r="B660" s="86">
        <f t="shared" si="152"/>
        <v>20767.12376517251</v>
      </c>
      <c r="C660" s="50">
        <f t="shared" si="134"/>
        <v>459.82616350758974</v>
      </c>
      <c r="D660" s="86">
        <f t="shared" si="135"/>
        <v>102.97032200231369</v>
      </c>
      <c r="E660" s="86">
        <f t="shared" si="136"/>
        <v>356.85584150527603</v>
      </c>
      <c r="F660" s="74">
        <f t="shared" si="137"/>
        <v>20410.267923667234</v>
      </c>
      <c r="G660" s="112">
        <f t="shared" si="138"/>
        <v>17957.492461397425</v>
      </c>
      <c r="H660" s="112">
        <f t="shared" si="139"/>
        <v>89.039233454428896</v>
      </c>
      <c r="I660" s="75">
        <f t="shared" si="140"/>
        <v>459.82616350758974</v>
      </c>
      <c r="J660" s="74"/>
      <c r="K660" s="75">
        <f t="shared" si="141"/>
        <v>459.82616350758974</v>
      </c>
      <c r="L660" s="156">
        <f t="shared" si="142"/>
        <v>67.864564999724792</v>
      </c>
      <c r="M660" s="157"/>
      <c r="N660" s="73">
        <v>29</v>
      </c>
      <c r="O660" s="86">
        <f t="shared" si="153"/>
        <v>20819.903221934375</v>
      </c>
      <c r="P660" s="50">
        <f t="shared" si="143"/>
        <v>497.92964575807002</v>
      </c>
      <c r="Q660" s="86">
        <f t="shared" si="144"/>
        <v>135.32937094257343</v>
      </c>
      <c r="R660" s="86">
        <f t="shared" si="145"/>
        <v>362.60027481549662</v>
      </c>
      <c r="S660" s="74">
        <f t="shared" si="146"/>
        <v>20457.302947118878</v>
      </c>
      <c r="T660" s="112">
        <f t="shared" si="147"/>
        <v>18003.131265674565</v>
      </c>
      <c r="U660" s="112">
        <f t="shared" si="148"/>
        <v>117.02035322688467</v>
      </c>
      <c r="V660" s="75">
        <f t="shared" si="149"/>
        <v>497.92964575807002</v>
      </c>
      <c r="W660" s="74"/>
      <c r="X660" s="75">
        <f t="shared" si="150"/>
        <v>497.92964575807002</v>
      </c>
      <c r="Y660" s="156">
        <f t="shared" si="151"/>
        <v>68.020957430154212</v>
      </c>
      <c r="Z660" s="46"/>
      <c r="AA660" s="107">
        <f t="shared" si="133"/>
        <v>38.103482250480283</v>
      </c>
      <c r="AB660" s="46"/>
      <c r="AC660" s="46"/>
      <c r="AD660" s="46"/>
      <c r="AE660" s="46"/>
    </row>
    <row r="661" spans="1:31" x14ac:dyDescent="0.2">
      <c r="A661" s="73">
        <v>30</v>
      </c>
      <c r="B661" s="86">
        <f t="shared" si="152"/>
        <v>20410.267923667234</v>
      </c>
      <c r="C661" s="50">
        <f t="shared" si="134"/>
        <v>459.82616350758974</v>
      </c>
      <c r="D661" s="86">
        <f t="shared" si="135"/>
        <v>101.20091178818336</v>
      </c>
      <c r="E661" s="86">
        <f t="shared" si="136"/>
        <v>358.62525171940638</v>
      </c>
      <c r="F661" s="74">
        <f t="shared" si="137"/>
        <v>20051.642671947826</v>
      </c>
      <c r="G661" s="112">
        <f t="shared" si="138"/>
        <v>17560.671874266882</v>
      </c>
      <c r="H661" s="112">
        <f t="shared" si="139"/>
        <v>87.071664709906614</v>
      </c>
      <c r="I661" s="75">
        <f t="shared" si="140"/>
        <v>459.82616350758974</v>
      </c>
      <c r="J661" s="74"/>
      <c r="K661" s="75">
        <f t="shared" si="141"/>
        <v>459.82616350758974</v>
      </c>
      <c r="L661" s="156">
        <f t="shared" si="142"/>
        <v>66.67212858503018</v>
      </c>
      <c r="M661" s="157"/>
      <c r="N661" s="73">
        <v>30</v>
      </c>
      <c r="O661" s="86">
        <f t="shared" si="153"/>
        <v>20457.302947118878</v>
      </c>
      <c r="P661" s="50">
        <f t="shared" si="143"/>
        <v>497.92964575807002</v>
      </c>
      <c r="Q661" s="86">
        <f t="shared" si="144"/>
        <v>132.97246915627269</v>
      </c>
      <c r="R661" s="86">
        <f t="shared" si="145"/>
        <v>364.9571766017973</v>
      </c>
      <c r="S661" s="74">
        <f t="shared" si="146"/>
        <v>20092.34577051708</v>
      </c>
      <c r="T661" s="112">
        <f t="shared" si="147"/>
        <v>17601.140064911015</v>
      </c>
      <c r="U661" s="112">
        <f t="shared" si="148"/>
        <v>114.4074104219216</v>
      </c>
      <c r="V661" s="75">
        <f t="shared" si="149"/>
        <v>497.92964575807002</v>
      </c>
      <c r="W661" s="74"/>
      <c r="X661" s="75">
        <f t="shared" si="150"/>
        <v>497.92964575807002</v>
      </c>
      <c r="Y661" s="156">
        <f t="shared" si="151"/>
        <v>66.8074672336395</v>
      </c>
      <c r="Z661" s="46"/>
      <c r="AA661" s="107">
        <f t="shared" si="133"/>
        <v>38.103482250480283</v>
      </c>
      <c r="AB661" s="46"/>
      <c r="AC661" s="46"/>
      <c r="AD661" s="46"/>
      <c r="AE661" s="46"/>
    </row>
    <row r="662" spans="1:31" x14ac:dyDescent="0.2">
      <c r="A662" s="73">
        <v>31</v>
      </c>
      <c r="B662" s="86">
        <f t="shared" si="152"/>
        <v>20051.642671947826</v>
      </c>
      <c r="C662" s="50">
        <f t="shared" si="134"/>
        <v>459.82616350758974</v>
      </c>
      <c r="D662" s="86">
        <f t="shared" si="135"/>
        <v>99.422728248407964</v>
      </c>
      <c r="E662" s="86">
        <f t="shared" si="136"/>
        <v>360.40343525918178</v>
      </c>
      <c r="F662" s="74">
        <f t="shared" si="137"/>
        <v>19691.239236688645</v>
      </c>
      <c r="G662" s="112">
        <f t="shared" si="138"/>
        <v>17165.855794981744</v>
      </c>
      <c r="H662" s="112">
        <f t="shared" si="139"/>
        <v>85.114034983451148</v>
      </c>
      <c r="I662" s="75">
        <f t="shared" si="140"/>
        <v>459.82616350758974</v>
      </c>
      <c r="J662" s="74"/>
      <c r="K662" s="75">
        <f t="shared" si="141"/>
        <v>459.82616350758974</v>
      </c>
      <c r="L662" s="156">
        <f t="shared" si="142"/>
        <v>65.473779673112702</v>
      </c>
      <c r="M662" s="157"/>
      <c r="N662" s="73">
        <v>31</v>
      </c>
      <c r="O662" s="86">
        <f t="shared" si="153"/>
        <v>20092.34577051708</v>
      </c>
      <c r="P662" s="50">
        <f t="shared" si="143"/>
        <v>497.92964575807002</v>
      </c>
      <c r="Q662" s="86">
        <f t="shared" si="144"/>
        <v>130.60024750836104</v>
      </c>
      <c r="R662" s="86">
        <f t="shared" si="145"/>
        <v>367.32939824970902</v>
      </c>
      <c r="S662" s="74">
        <f t="shared" si="146"/>
        <v>19725.016372267371</v>
      </c>
      <c r="T662" s="112">
        <f t="shared" si="147"/>
        <v>17200.700996039821</v>
      </c>
      <c r="U662" s="112">
        <f t="shared" si="148"/>
        <v>111.80455647425883</v>
      </c>
      <c r="V662" s="75">
        <f t="shared" si="149"/>
        <v>497.92964575807002</v>
      </c>
      <c r="W662" s="74"/>
      <c r="X662" s="75">
        <f t="shared" si="150"/>
        <v>497.92964575807002</v>
      </c>
      <c r="Y662" s="156">
        <f t="shared" si="151"/>
        <v>65.586089350847459</v>
      </c>
      <c r="Z662" s="46"/>
      <c r="AA662" s="107">
        <f t="shared" si="133"/>
        <v>38.103482250480283</v>
      </c>
      <c r="AB662" s="46"/>
      <c r="AC662" s="46"/>
      <c r="AD662" s="46"/>
      <c r="AE662" s="46"/>
    </row>
    <row r="663" spans="1:31" x14ac:dyDescent="0.2">
      <c r="A663" s="73">
        <v>32</v>
      </c>
      <c r="B663" s="86">
        <f t="shared" si="152"/>
        <v>19691.239236688645</v>
      </c>
      <c r="C663" s="50">
        <f t="shared" si="134"/>
        <v>459.82616350758974</v>
      </c>
      <c r="D663" s="86">
        <f t="shared" si="135"/>
        <v>97.635727881914534</v>
      </c>
      <c r="E663" s="86">
        <f t="shared" si="136"/>
        <v>362.19043562567521</v>
      </c>
      <c r="F663" s="74">
        <f t="shared" si="137"/>
        <v>19329.048801062971</v>
      </c>
      <c r="G663" s="112">
        <f t="shared" si="138"/>
        <v>16773.03419964671</v>
      </c>
      <c r="H663" s="112">
        <f t="shared" si="139"/>
        <v>83.166294573248265</v>
      </c>
      <c r="I663" s="75">
        <f t="shared" si="140"/>
        <v>459.82616350758974</v>
      </c>
      <c r="J663" s="74"/>
      <c r="K663" s="75">
        <f t="shared" si="141"/>
        <v>459.82616350758974</v>
      </c>
      <c r="L663" s="156">
        <f t="shared" si="142"/>
        <v>64.269488947840301</v>
      </c>
      <c r="M663" s="157"/>
      <c r="N663" s="73">
        <v>32</v>
      </c>
      <c r="O663" s="86">
        <f t="shared" si="153"/>
        <v>19725.016372267371</v>
      </c>
      <c r="P663" s="50">
        <f t="shared" si="143"/>
        <v>497.92964575807002</v>
      </c>
      <c r="Q663" s="86">
        <f t="shared" si="144"/>
        <v>128.21260641973791</v>
      </c>
      <c r="R663" s="86">
        <f t="shared" si="145"/>
        <v>369.71703933833214</v>
      </c>
      <c r="S663" s="74">
        <f t="shared" si="146"/>
        <v>19355.29933292904</v>
      </c>
      <c r="T663" s="112">
        <f t="shared" si="147"/>
        <v>16801.805626544643</v>
      </c>
      <c r="U663" s="112">
        <f t="shared" si="148"/>
        <v>109.21173657254018</v>
      </c>
      <c r="V663" s="75">
        <f t="shared" si="149"/>
        <v>497.92964575807002</v>
      </c>
      <c r="W663" s="74"/>
      <c r="X663" s="75">
        <f t="shared" si="150"/>
        <v>497.92964575807002</v>
      </c>
      <c r="Y663" s="156">
        <f t="shared" si="151"/>
        <v>64.356772511817269</v>
      </c>
      <c r="Z663" s="46"/>
      <c r="AA663" s="107">
        <f t="shared" ref="AA663:AA694" si="154">+V663-I663</f>
        <v>38.103482250480283</v>
      </c>
      <c r="AB663" s="46"/>
      <c r="AC663" s="46"/>
      <c r="AD663" s="46"/>
      <c r="AE663" s="46"/>
    </row>
    <row r="664" spans="1:31" x14ac:dyDescent="0.2">
      <c r="A664" s="73">
        <v>33</v>
      </c>
      <c r="B664" s="86">
        <f t="shared" si="152"/>
        <v>19329.048801062971</v>
      </c>
      <c r="C664" s="50">
        <f t="shared" ref="C664:C695" si="155">(IF(A664&lt;$B$613,PMT($B$614/12,$B$613,-$B$612,$B$617,0),IF(A664=$B$613,PMT($B$614/12,$B$613,-$B$612,$B$617,0)+$B$617,0)))</f>
        <v>459.82616350758974</v>
      </c>
      <c r="D664" s="86">
        <f t="shared" ref="D664:D695" si="156">IF(A664&lt;=$B$613,B664*$B$614/12,0)</f>
        <v>95.839866971937226</v>
      </c>
      <c r="E664" s="86">
        <f t="shared" ref="E664:E695" si="157">C664-D664</f>
        <v>363.98629653565251</v>
      </c>
      <c r="F664" s="74">
        <f t="shared" ref="F664:F695" si="158">(B664-E664)</f>
        <v>18965.062504527319</v>
      </c>
      <c r="G664" s="112">
        <f t="shared" ref="G664:G695" si="159">B664*(1-B$621)^($A664)</f>
        <v>16382.197114486045</v>
      </c>
      <c r="H664" s="112">
        <f t="shared" ref="H664:H695" si="160">IF(A664&lt;=$B$613,G664*$B$614/12,0)</f>
        <v>81.228394025993296</v>
      </c>
      <c r="I664" s="75">
        <f t="shared" ref="I664:I695" si="161">C664</f>
        <v>459.82616350758974</v>
      </c>
      <c r="J664" s="74"/>
      <c r="K664" s="75">
        <f t="shared" ref="K664:K695" si="162">C664</f>
        <v>459.82616350758974</v>
      </c>
      <c r="L664" s="156">
        <f t="shared" ref="L664:L695" si="163">F664/$B$612*100</f>
        <v>63.059226947721761</v>
      </c>
      <c r="M664" s="157"/>
      <c r="N664" s="73">
        <v>33</v>
      </c>
      <c r="O664" s="86">
        <f t="shared" si="153"/>
        <v>19355.29933292904</v>
      </c>
      <c r="P664" s="50">
        <f t="shared" ref="P664:P695" si="164">(IF(N664&lt;$B$613,PMT($B$615/12,$B$613,-$B$612,$B$617,0),IF(N664=$B$613,PMT($B$615/12,$B$613,-$B$612,$B$617,0)+$B$617,0)))</f>
        <v>497.92964575807002</v>
      </c>
      <c r="Q664" s="86">
        <f t="shared" ref="Q664:Q695" si="165">IF(N664&lt;=$B$613,O664*$B$615/12,0)</f>
        <v>125.80944566403876</v>
      </c>
      <c r="R664" s="86">
        <f t="shared" ref="R664:R695" si="166">P664-Q664</f>
        <v>372.12020009403125</v>
      </c>
      <c r="S664" s="74">
        <f t="shared" ref="S664:S695" si="167">(O664-R664)</f>
        <v>18983.179132835008</v>
      </c>
      <c r="T664" s="112">
        <f t="shared" ref="T664:T695" si="168">O664*(1-B$621)^($N664)</f>
        <v>16404.445565085767</v>
      </c>
      <c r="U664" s="112">
        <f t="shared" ref="U664:U695" si="169">IF(N664&lt;=$B$613,T664*$B$615/12,0)</f>
        <v>106.6288961730575</v>
      </c>
      <c r="V664" s="75">
        <f t="shared" ref="V664:V695" si="170">P664</f>
        <v>497.92964575807002</v>
      </c>
      <c r="W664" s="74"/>
      <c r="X664" s="75">
        <f t="shared" ref="X664:X695" si="171">P664</f>
        <v>497.92964575807002</v>
      </c>
      <c r="Y664" s="156">
        <f t="shared" ref="Y664:Y695" si="172">S664/$B$612*100</f>
        <v>63.119465113333362</v>
      </c>
      <c r="Z664" s="46"/>
      <c r="AA664" s="107">
        <f t="shared" si="154"/>
        <v>38.103482250480283</v>
      </c>
      <c r="AB664" s="46"/>
      <c r="AC664" s="46"/>
      <c r="AD664" s="46"/>
      <c r="AE664" s="46"/>
    </row>
    <row r="665" spans="1:31" x14ac:dyDescent="0.2">
      <c r="A665" s="73">
        <v>34</v>
      </c>
      <c r="B665" s="86">
        <f t="shared" ref="B665:B696" si="173">+F664</f>
        <v>18965.062504527319</v>
      </c>
      <c r="C665" s="50">
        <f t="shared" si="155"/>
        <v>459.82616350758974</v>
      </c>
      <c r="D665" s="86">
        <f t="shared" si="156"/>
        <v>94.035101584947952</v>
      </c>
      <c r="E665" s="86">
        <f t="shared" si="157"/>
        <v>365.7910619226418</v>
      </c>
      <c r="F665" s="74">
        <f t="shared" si="158"/>
        <v>18599.271442604677</v>
      </c>
      <c r="G665" s="112">
        <f t="shared" si="159"/>
        <v>15993.334615592978</v>
      </c>
      <c r="H665" s="112">
        <f t="shared" si="160"/>
        <v>79.300284135648511</v>
      </c>
      <c r="I665" s="75">
        <f t="shared" si="161"/>
        <v>459.82616350758974</v>
      </c>
      <c r="J665" s="74"/>
      <c r="K665" s="75">
        <f t="shared" si="162"/>
        <v>459.82616350758974</v>
      </c>
      <c r="L665" s="156">
        <f t="shared" si="163"/>
        <v>61.84296406518596</v>
      </c>
      <c r="M665" s="157"/>
      <c r="N665" s="73">
        <v>34</v>
      </c>
      <c r="O665" s="86">
        <f t="shared" ref="O665:O696" si="174">+S664</f>
        <v>18983.179132835008</v>
      </c>
      <c r="P665" s="50">
        <f t="shared" si="164"/>
        <v>497.92964575807002</v>
      </c>
      <c r="Q665" s="86">
        <f t="shared" si="165"/>
        <v>123.39066436342756</v>
      </c>
      <c r="R665" s="86">
        <f t="shared" si="166"/>
        <v>374.53898139464246</v>
      </c>
      <c r="S665" s="74">
        <f t="shared" si="167"/>
        <v>18608.640151440366</v>
      </c>
      <c r="T665" s="112">
        <f t="shared" si="168"/>
        <v>16008.612461292776</v>
      </c>
      <c r="U665" s="112">
        <f t="shared" si="169"/>
        <v>104.05598099840306</v>
      </c>
      <c r="V665" s="75">
        <f t="shared" si="170"/>
        <v>497.92964575807002</v>
      </c>
      <c r="W665" s="74"/>
      <c r="X665" s="75">
        <f t="shared" si="171"/>
        <v>497.92964575807002</v>
      </c>
      <c r="Y665" s="156">
        <f t="shared" si="172"/>
        <v>61.874115216759321</v>
      </c>
      <c r="Z665" s="46"/>
      <c r="AA665" s="107">
        <f t="shared" si="154"/>
        <v>38.103482250480283</v>
      </c>
      <c r="AB665" s="46"/>
      <c r="AC665" s="46"/>
      <c r="AD665" s="46"/>
      <c r="AE665" s="46"/>
    </row>
    <row r="666" spans="1:31" x14ac:dyDescent="0.2">
      <c r="A666" s="73">
        <v>35</v>
      </c>
      <c r="B666" s="86">
        <f t="shared" si="173"/>
        <v>18599.271442604677</v>
      </c>
      <c r="C666" s="50">
        <f t="shared" si="155"/>
        <v>18691.492830174258</v>
      </c>
      <c r="D666" s="86">
        <f t="shared" si="156"/>
        <v>92.221387569581523</v>
      </c>
      <c r="E666" s="86">
        <f t="shared" si="157"/>
        <v>18599.271442604677</v>
      </c>
      <c r="F666" s="74">
        <f t="shared" si="158"/>
        <v>0</v>
      </c>
      <c r="G666" s="112">
        <f t="shared" si="159"/>
        <v>15606.436828680366</v>
      </c>
      <c r="H666" s="112">
        <f t="shared" si="160"/>
        <v>77.381915942206817</v>
      </c>
      <c r="I666" s="75">
        <f t="shared" si="161"/>
        <v>18691.492830174258</v>
      </c>
      <c r="J666" s="74"/>
      <c r="K666" s="75">
        <f t="shared" si="162"/>
        <v>18691.492830174258</v>
      </c>
      <c r="L666" s="156">
        <f t="shared" si="163"/>
        <v>0</v>
      </c>
      <c r="M666" s="157"/>
      <c r="N666" s="73">
        <v>35</v>
      </c>
      <c r="O666" s="86">
        <f t="shared" si="174"/>
        <v>18608.640151440366</v>
      </c>
      <c r="P666" s="50">
        <f t="shared" si="164"/>
        <v>18729.596312424739</v>
      </c>
      <c r="Q666" s="86">
        <f t="shared" si="165"/>
        <v>120.95616098436238</v>
      </c>
      <c r="R666" s="86">
        <f t="shared" si="166"/>
        <v>18608.640151440377</v>
      </c>
      <c r="S666" s="74">
        <f t="shared" si="167"/>
        <v>-1.0913936421275139E-11</v>
      </c>
      <c r="T666" s="112">
        <f t="shared" si="168"/>
        <v>15614.29800555827</v>
      </c>
      <c r="U666" s="112">
        <f t="shared" si="169"/>
        <v>101.49293703612875</v>
      </c>
      <c r="V666" s="75">
        <f t="shared" si="170"/>
        <v>18729.596312424739</v>
      </c>
      <c r="W666" s="74"/>
      <c r="X666" s="75">
        <f t="shared" si="171"/>
        <v>18729.596312424739</v>
      </c>
      <c r="Y666" s="156">
        <f t="shared" si="172"/>
        <v>-3.6289065407398638E-14</v>
      </c>
      <c r="Z666" s="46"/>
      <c r="AA666" s="107">
        <f t="shared" si="154"/>
        <v>38.103482250480738</v>
      </c>
      <c r="AB666" s="46"/>
      <c r="AC666" s="46"/>
      <c r="AD666" s="46"/>
      <c r="AE666" s="46"/>
    </row>
    <row r="667" spans="1:31" x14ac:dyDescent="0.2">
      <c r="A667" s="73">
        <v>36</v>
      </c>
      <c r="B667" s="86">
        <f t="shared" si="173"/>
        <v>0</v>
      </c>
      <c r="C667" s="50">
        <f t="shared" si="155"/>
        <v>0</v>
      </c>
      <c r="D667" s="86">
        <f t="shared" si="156"/>
        <v>0</v>
      </c>
      <c r="E667" s="86">
        <f t="shared" si="157"/>
        <v>0</v>
      </c>
      <c r="F667" s="74">
        <f t="shared" si="158"/>
        <v>0</v>
      </c>
      <c r="G667" s="112">
        <f t="shared" si="159"/>
        <v>0</v>
      </c>
      <c r="H667" s="112">
        <f t="shared" si="160"/>
        <v>0</v>
      </c>
      <c r="I667" s="75">
        <f t="shared" si="161"/>
        <v>0</v>
      </c>
      <c r="J667" s="74"/>
      <c r="K667" s="75">
        <f t="shared" si="162"/>
        <v>0</v>
      </c>
      <c r="L667" s="156">
        <f t="shared" si="163"/>
        <v>0</v>
      </c>
      <c r="M667" s="157"/>
      <c r="N667" s="73">
        <v>36</v>
      </c>
      <c r="O667" s="86">
        <f t="shared" si="174"/>
        <v>-1.0913936421275139E-11</v>
      </c>
      <c r="P667" s="50">
        <f t="shared" si="164"/>
        <v>0</v>
      </c>
      <c r="Q667" s="86">
        <f t="shared" si="165"/>
        <v>0</v>
      </c>
      <c r="R667" s="86">
        <f t="shared" si="166"/>
        <v>0</v>
      </c>
      <c r="S667" s="74">
        <f t="shared" si="167"/>
        <v>-1.0913936421275139E-11</v>
      </c>
      <c r="T667" s="112">
        <f t="shared" si="168"/>
        <v>-9.1119709466736096E-12</v>
      </c>
      <c r="U667" s="112">
        <f t="shared" si="169"/>
        <v>0</v>
      </c>
      <c r="V667" s="75">
        <f t="shared" si="170"/>
        <v>0</v>
      </c>
      <c r="W667" s="74"/>
      <c r="X667" s="75">
        <f t="shared" si="171"/>
        <v>0</v>
      </c>
      <c r="Y667" s="156">
        <f t="shared" si="172"/>
        <v>-3.6289065407398638E-14</v>
      </c>
      <c r="Z667" s="46"/>
      <c r="AA667" s="107">
        <f t="shared" si="154"/>
        <v>0</v>
      </c>
      <c r="AB667" s="46"/>
      <c r="AC667" s="46"/>
      <c r="AD667" s="46"/>
      <c r="AE667" s="46"/>
    </row>
    <row r="668" spans="1:31" x14ac:dyDescent="0.2">
      <c r="A668" s="73">
        <v>37</v>
      </c>
      <c r="B668" s="86">
        <f t="shared" si="173"/>
        <v>0</v>
      </c>
      <c r="C668" s="50">
        <f t="shared" si="155"/>
        <v>0</v>
      </c>
      <c r="D668" s="86">
        <f t="shared" si="156"/>
        <v>0</v>
      </c>
      <c r="E668" s="86">
        <f t="shared" si="157"/>
        <v>0</v>
      </c>
      <c r="F668" s="74">
        <f t="shared" si="158"/>
        <v>0</v>
      </c>
      <c r="G668" s="112">
        <f t="shared" si="159"/>
        <v>0</v>
      </c>
      <c r="H668" s="112">
        <f t="shared" si="160"/>
        <v>0</v>
      </c>
      <c r="I668" s="75">
        <f t="shared" si="161"/>
        <v>0</v>
      </c>
      <c r="J668" s="74"/>
      <c r="K668" s="75">
        <f t="shared" si="162"/>
        <v>0</v>
      </c>
      <c r="L668" s="156">
        <f t="shared" si="163"/>
        <v>0</v>
      </c>
      <c r="M668" s="157"/>
      <c r="N668" s="73">
        <v>37</v>
      </c>
      <c r="O668" s="86">
        <f t="shared" si="174"/>
        <v>-1.0913936421275139E-11</v>
      </c>
      <c r="P668" s="50">
        <f t="shared" si="164"/>
        <v>0</v>
      </c>
      <c r="Q668" s="86">
        <f t="shared" si="165"/>
        <v>0</v>
      </c>
      <c r="R668" s="86">
        <f t="shared" si="166"/>
        <v>0</v>
      </c>
      <c r="S668" s="74">
        <f t="shared" si="167"/>
        <v>-1.0913936421275139E-11</v>
      </c>
      <c r="T668" s="112">
        <f t="shared" si="168"/>
        <v>-9.0664110919402431E-12</v>
      </c>
      <c r="U668" s="112">
        <f t="shared" si="169"/>
        <v>0</v>
      </c>
      <c r="V668" s="75">
        <f t="shared" si="170"/>
        <v>0</v>
      </c>
      <c r="W668" s="74"/>
      <c r="X668" s="75">
        <f t="shared" si="171"/>
        <v>0</v>
      </c>
      <c r="Y668" s="156">
        <f t="shared" si="172"/>
        <v>-3.6289065407398638E-14</v>
      </c>
      <c r="Z668" s="46"/>
      <c r="AA668" s="107">
        <f t="shared" si="154"/>
        <v>0</v>
      </c>
      <c r="AB668" s="46"/>
      <c r="AC668" s="46"/>
      <c r="AD668" s="46"/>
      <c r="AE668" s="46"/>
    </row>
    <row r="669" spans="1:31" x14ac:dyDescent="0.2">
      <c r="A669" s="73">
        <v>38</v>
      </c>
      <c r="B669" s="86">
        <f t="shared" si="173"/>
        <v>0</v>
      </c>
      <c r="C669" s="50">
        <f t="shared" si="155"/>
        <v>0</v>
      </c>
      <c r="D669" s="86">
        <f t="shared" si="156"/>
        <v>0</v>
      </c>
      <c r="E669" s="86">
        <f t="shared" si="157"/>
        <v>0</v>
      </c>
      <c r="F669" s="74">
        <f t="shared" si="158"/>
        <v>0</v>
      </c>
      <c r="G669" s="112">
        <f t="shared" si="159"/>
        <v>0</v>
      </c>
      <c r="H669" s="112">
        <f t="shared" si="160"/>
        <v>0</v>
      </c>
      <c r="I669" s="75">
        <f t="shared" si="161"/>
        <v>0</v>
      </c>
      <c r="J669" s="74"/>
      <c r="K669" s="75">
        <f t="shared" si="162"/>
        <v>0</v>
      </c>
      <c r="L669" s="156">
        <f t="shared" si="163"/>
        <v>0</v>
      </c>
      <c r="M669" s="157"/>
      <c r="N669" s="73">
        <v>38</v>
      </c>
      <c r="O669" s="86">
        <f t="shared" si="174"/>
        <v>-1.0913936421275139E-11</v>
      </c>
      <c r="P669" s="50">
        <f t="shared" si="164"/>
        <v>0</v>
      </c>
      <c r="Q669" s="86">
        <f t="shared" si="165"/>
        <v>0</v>
      </c>
      <c r="R669" s="86">
        <f t="shared" si="166"/>
        <v>0</v>
      </c>
      <c r="S669" s="74">
        <f t="shared" si="167"/>
        <v>-1.0913936421275139E-11</v>
      </c>
      <c r="T669" s="112">
        <f t="shared" si="168"/>
        <v>-9.0210790364805415E-12</v>
      </c>
      <c r="U669" s="112">
        <f t="shared" si="169"/>
        <v>0</v>
      </c>
      <c r="V669" s="75">
        <f t="shared" si="170"/>
        <v>0</v>
      </c>
      <c r="W669" s="74"/>
      <c r="X669" s="75">
        <f t="shared" si="171"/>
        <v>0</v>
      </c>
      <c r="Y669" s="156">
        <f t="shared" si="172"/>
        <v>-3.6289065407398638E-14</v>
      </c>
      <c r="Z669" s="46"/>
      <c r="AA669" s="107">
        <f t="shared" si="154"/>
        <v>0</v>
      </c>
      <c r="AB669" s="46"/>
      <c r="AC669" s="46"/>
      <c r="AD669" s="46"/>
      <c r="AE669" s="46"/>
    </row>
    <row r="670" spans="1:31" x14ac:dyDescent="0.2">
      <c r="A670" s="73">
        <v>39</v>
      </c>
      <c r="B670" s="86">
        <f t="shared" si="173"/>
        <v>0</v>
      </c>
      <c r="C670" s="50">
        <f t="shared" si="155"/>
        <v>0</v>
      </c>
      <c r="D670" s="86">
        <f t="shared" si="156"/>
        <v>0</v>
      </c>
      <c r="E670" s="86">
        <f t="shared" si="157"/>
        <v>0</v>
      </c>
      <c r="F670" s="74">
        <f t="shared" si="158"/>
        <v>0</v>
      </c>
      <c r="G670" s="112">
        <f t="shared" si="159"/>
        <v>0</v>
      </c>
      <c r="H670" s="112">
        <f t="shared" si="160"/>
        <v>0</v>
      </c>
      <c r="I670" s="75">
        <f t="shared" si="161"/>
        <v>0</v>
      </c>
      <c r="J670" s="74"/>
      <c r="K670" s="75">
        <f t="shared" si="162"/>
        <v>0</v>
      </c>
      <c r="L670" s="156">
        <f t="shared" si="163"/>
        <v>0</v>
      </c>
      <c r="M670" s="157"/>
      <c r="N670" s="73">
        <v>39</v>
      </c>
      <c r="O670" s="86">
        <f t="shared" si="174"/>
        <v>-1.0913936421275139E-11</v>
      </c>
      <c r="P670" s="50">
        <f t="shared" si="164"/>
        <v>0</v>
      </c>
      <c r="Q670" s="86">
        <f t="shared" si="165"/>
        <v>0</v>
      </c>
      <c r="R670" s="86">
        <f t="shared" si="166"/>
        <v>0</v>
      </c>
      <c r="S670" s="74">
        <f t="shared" si="167"/>
        <v>-1.0913936421275139E-11</v>
      </c>
      <c r="T670" s="112">
        <f t="shared" si="168"/>
        <v>-8.975973641298139E-12</v>
      </c>
      <c r="U670" s="112">
        <f t="shared" si="169"/>
        <v>0</v>
      </c>
      <c r="V670" s="75">
        <f t="shared" si="170"/>
        <v>0</v>
      </c>
      <c r="W670" s="74"/>
      <c r="X670" s="75">
        <f t="shared" si="171"/>
        <v>0</v>
      </c>
      <c r="Y670" s="156">
        <f t="shared" si="172"/>
        <v>-3.6289065407398638E-14</v>
      </c>
      <c r="Z670" s="46"/>
      <c r="AA670" s="107">
        <f t="shared" si="154"/>
        <v>0</v>
      </c>
      <c r="AB670" s="46"/>
      <c r="AC670" s="46"/>
      <c r="AD670" s="46"/>
      <c r="AE670" s="46"/>
    </row>
    <row r="671" spans="1:31" x14ac:dyDescent="0.2">
      <c r="A671" s="73">
        <v>40</v>
      </c>
      <c r="B671" s="86">
        <f t="shared" si="173"/>
        <v>0</v>
      </c>
      <c r="C671" s="50">
        <f t="shared" si="155"/>
        <v>0</v>
      </c>
      <c r="D671" s="86">
        <f t="shared" si="156"/>
        <v>0</v>
      </c>
      <c r="E671" s="86">
        <f t="shared" si="157"/>
        <v>0</v>
      </c>
      <c r="F671" s="74">
        <f t="shared" si="158"/>
        <v>0</v>
      </c>
      <c r="G671" s="112">
        <f t="shared" si="159"/>
        <v>0</v>
      </c>
      <c r="H671" s="112">
        <f t="shared" si="160"/>
        <v>0</v>
      </c>
      <c r="I671" s="75">
        <f t="shared" si="161"/>
        <v>0</v>
      </c>
      <c r="J671" s="74"/>
      <c r="K671" s="75">
        <f t="shared" si="162"/>
        <v>0</v>
      </c>
      <c r="L671" s="156">
        <f t="shared" si="163"/>
        <v>0</v>
      </c>
      <c r="M671" s="157"/>
      <c r="N671" s="73">
        <v>40</v>
      </c>
      <c r="O671" s="86">
        <f t="shared" si="174"/>
        <v>-1.0913936421275139E-11</v>
      </c>
      <c r="P671" s="50">
        <f t="shared" si="164"/>
        <v>0</v>
      </c>
      <c r="Q671" s="86">
        <f t="shared" si="165"/>
        <v>0</v>
      </c>
      <c r="R671" s="86">
        <f t="shared" si="166"/>
        <v>0</v>
      </c>
      <c r="S671" s="74">
        <f t="shared" si="167"/>
        <v>-1.0913936421275139E-11</v>
      </c>
      <c r="T671" s="112">
        <f t="shared" si="168"/>
        <v>-8.9310937730916481E-12</v>
      </c>
      <c r="U671" s="112">
        <f t="shared" si="169"/>
        <v>0</v>
      </c>
      <c r="V671" s="75">
        <f t="shared" si="170"/>
        <v>0</v>
      </c>
      <c r="W671" s="74"/>
      <c r="X671" s="75">
        <f t="shared" si="171"/>
        <v>0</v>
      </c>
      <c r="Y671" s="156">
        <f t="shared" si="172"/>
        <v>-3.6289065407398638E-14</v>
      </c>
      <c r="Z671" s="46"/>
      <c r="AA671" s="107">
        <f t="shared" si="154"/>
        <v>0</v>
      </c>
      <c r="AB671" s="46"/>
      <c r="AC671" s="46"/>
      <c r="AD671" s="46"/>
      <c r="AE671" s="46"/>
    </row>
    <row r="672" spans="1:31" x14ac:dyDescent="0.2">
      <c r="A672" s="73">
        <v>41</v>
      </c>
      <c r="B672" s="86">
        <f t="shared" si="173"/>
        <v>0</v>
      </c>
      <c r="C672" s="50">
        <f t="shared" si="155"/>
        <v>0</v>
      </c>
      <c r="D672" s="86">
        <f t="shared" si="156"/>
        <v>0</v>
      </c>
      <c r="E672" s="86">
        <f t="shared" si="157"/>
        <v>0</v>
      </c>
      <c r="F672" s="74">
        <f t="shared" si="158"/>
        <v>0</v>
      </c>
      <c r="G672" s="112">
        <f t="shared" si="159"/>
        <v>0</v>
      </c>
      <c r="H672" s="112">
        <f t="shared" si="160"/>
        <v>0</v>
      </c>
      <c r="I672" s="75">
        <f t="shared" si="161"/>
        <v>0</v>
      </c>
      <c r="J672" s="74"/>
      <c r="K672" s="75">
        <f t="shared" si="162"/>
        <v>0</v>
      </c>
      <c r="L672" s="156">
        <f t="shared" si="163"/>
        <v>0</v>
      </c>
      <c r="M672" s="157"/>
      <c r="N672" s="73">
        <v>41</v>
      </c>
      <c r="O672" s="86">
        <f t="shared" si="174"/>
        <v>-1.0913936421275139E-11</v>
      </c>
      <c r="P672" s="50">
        <f t="shared" si="164"/>
        <v>0</v>
      </c>
      <c r="Q672" s="86">
        <f t="shared" si="165"/>
        <v>0</v>
      </c>
      <c r="R672" s="86">
        <f t="shared" si="166"/>
        <v>0</v>
      </c>
      <c r="S672" s="74">
        <f t="shared" si="167"/>
        <v>-1.0913936421275139E-11</v>
      </c>
      <c r="T672" s="112">
        <f t="shared" si="168"/>
        <v>-8.8864383042261886E-12</v>
      </c>
      <c r="U672" s="112">
        <f t="shared" si="169"/>
        <v>0</v>
      </c>
      <c r="V672" s="75">
        <f t="shared" si="170"/>
        <v>0</v>
      </c>
      <c r="W672" s="74"/>
      <c r="X672" s="75">
        <f t="shared" si="171"/>
        <v>0</v>
      </c>
      <c r="Y672" s="156">
        <f t="shared" si="172"/>
        <v>-3.6289065407398638E-14</v>
      </c>
      <c r="Z672" s="46"/>
      <c r="AA672" s="107">
        <f t="shared" si="154"/>
        <v>0</v>
      </c>
      <c r="AB672" s="46"/>
      <c r="AC672" s="46"/>
      <c r="AD672" s="46"/>
      <c r="AE672" s="46"/>
    </row>
    <row r="673" spans="1:31" x14ac:dyDescent="0.2">
      <c r="A673" s="73">
        <v>42</v>
      </c>
      <c r="B673" s="86">
        <f t="shared" si="173"/>
        <v>0</v>
      </c>
      <c r="C673" s="50">
        <f t="shared" si="155"/>
        <v>0</v>
      </c>
      <c r="D673" s="86">
        <f t="shared" si="156"/>
        <v>0</v>
      </c>
      <c r="E673" s="86">
        <f t="shared" si="157"/>
        <v>0</v>
      </c>
      <c r="F673" s="74">
        <f t="shared" si="158"/>
        <v>0</v>
      </c>
      <c r="G673" s="112">
        <f t="shared" si="159"/>
        <v>0</v>
      </c>
      <c r="H673" s="112">
        <f t="shared" si="160"/>
        <v>0</v>
      </c>
      <c r="I673" s="75">
        <f t="shared" si="161"/>
        <v>0</v>
      </c>
      <c r="J673" s="74"/>
      <c r="K673" s="75">
        <f t="shared" si="162"/>
        <v>0</v>
      </c>
      <c r="L673" s="156">
        <f t="shared" si="163"/>
        <v>0</v>
      </c>
      <c r="M673" s="157"/>
      <c r="N673" s="73">
        <v>42</v>
      </c>
      <c r="O673" s="86">
        <f t="shared" si="174"/>
        <v>-1.0913936421275139E-11</v>
      </c>
      <c r="P673" s="50">
        <f t="shared" si="164"/>
        <v>0</v>
      </c>
      <c r="Q673" s="86">
        <f t="shared" si="165"/>
        <v>0</v>
      </c>
      <c r="R673" s="86">
        <f t="shared" si="166"/>
        <v>0</v>
      </c>
      <c r="S673" s="74">
        <f t="shared" si="167"/>
        <v>-1.0913936421275139E-11</v>
      </c>
      <c r="T673" s="112">
        <f t="shared" si="168"/>
        <v>-8.8420061127050596E-12</v>
      </c>
      <c r="U673" s="112">
        <f t="shared" si="169"/>
        <v>0</v>
      </c>
      <c r="V673" s="75">
        <f t="shared" si="170"/>
        <v>0</v>
      </c>
      <c r="W673" s="74"/>
      <c r="X673" s="75">
        <f t="shared" si="171"/>
        <v>0</v>
      </c>
      <c r="Y673" s="156">
        <f t="shared" si="172"/>
        <v>-3.6289065407398638E-14</v>
      </c>
      <c r="Z673" s="46"/>
      <c r="AA673" s="107">
        <f t="shared" si="154"/>
        <v>0</v>
      </c>
      <c r="AB673" s="46"/>
      <c r="AC673" s="46"/>
      <c r="AD673" s="46"/>
      <c r="AE673" s="46"/>
    </row>
    <row r="674" spans="1:31" x14ac:dyDescent="0.2">
      <c r="A674" s="73">
        <v>43</v>
      </c>
      <c r="B674" s="86">
        <f t="shared" si="173"/>
        <v>0</v>
      </c>
      <c r="C674" s="50">
        <f t="shared" si="155"/>
        <v>0</v>
      </c>
      <c r="D674" s="86">
        <f t="shared" si="156"/>
        <v>0</v>
      </c>
      <c r="E674" s="86">
        <f t="shared" si="157"/>
        <v>0</v>
      </c>
      <c r="F674" s="74">
        <f t="shared" si="158"/>
        <v>0</v>
      </c>
      <c r="G674" s="112">
        <f t="shared" si="159"/>
        <v>0</v>
      </c>
      <c r="H674" s="112">
        <f t="shared" si="160"/>
        <v>0</v>
      </c>
      <c r="I674" s="75">
        <f t="shared" si="161"/>
        <v>0</v>
      </c>
      <c r="J674" s="74"/>
      <c r="K674" s="75">
        <f t="shared" si="162"/>
        <v>0</v>
      </c>
      <c r="L674" s="156">
        <f t="shared" si="163"/>
        <v>0</v>
      </c>
      <c r="M674" s="157"/>
      <c r="N674" s="73">
        <v>43</v>
      </c>
      <c r="O674" s="86">
        <f t="shared" si="174"/>
        <v>-1.0913936421275139E-11</v>
      </c>
      <c r="P674" s="50">
        <f t="shared" si="164"/>
        <v>0</v>
      </c>
      <c r="Q674" s="86">
        <f t="shared" si="165"/>
        <v>0</v>
      </c>
      <c r="R674" s="86">
        <f t="shared" si="166"/>
        <v>0</v>
      </c>
      <c r="S674" s="74">
        <f t="shared" si="167"/>
        <v>-1.0913936421275139E-11</v>
      </c>
      <c r="T674" s="112">
        <f t="shared" si="168"/>
        <v>-8.797796082141533E-12</v>
      </c>
      <c r="U674" s="112">
        <f t="shared" si="169"/>
        <v>0</v>
      </c>
      <c r="V674" s="75">
        <f t="shared" si="170"/>
        <v>0</v>
      </c>
      <c r="W674" s="74"/>
      <c r="X674" s="75">
        <f t="shared" si="171"/>
        <v>0</v>
      </c>
      <c r="Y674" s="156">
        <f t="shared" si="172"/>
        <v>-3.6289065407398638E-14</v>
      </c>
      <c r="Z674" s="46"/>
      <c r="AA674" s="107">
        <f t="shared" si="154"/>
        <v>0</v>
      </c>
      <c r="AB674" s="46"/>
      <c r="AC674" s="46"/>
      <c r="AD674" s="46"/>
      <c r="AE674" s="46"/>
    </row>
    <row r="675" spans="1:31" x14ac:dyDescent="0.2">
      <c r="A675" s="73">
        <v>44</v>
      </c>
      <c r="B675" s="86">
        <f t="shared" si="173"/>
        <v>0</v>
      </c>
      <c r="C675" s="50">
        <f t="shared" si="155"/>
        <v>0</v>
      </c>
      <c r="D675" s="86">
        <f t="shared" si="156"/>
        <v>0</v>
      </c>
      <c r="E675" s="86">
        <f t="shared" si="157"/>
        <v>0</v>
      </c>
      <c r="F675" s="74">
        <f t="shared" si="158"/>
        <v>0</v>
      </c>
      <c r="G675" s="112">
        <f t="shared" si="159"/>
        <v>0</v>
      </c>
      <c r="H675" s="112">
        <f t="shared" si="160"/>
        <v>0</v>
      </c>
      <c r="I675" s="75">
        <f t="shared" si="161"/>
        <v>0</v>
      </c>
      <c r="J675" s="74"/>
      <c r="K675" s="75">
        <f t="shared" si="162"/>
        <v>0</v>
      </c>
      <c r="L675" s="156">
        <f t="shared" si="163"/>
        <v>0</v>
      </c>
      <c r="M675" s="157"/>
      <c r="N675" s="73">
        <v>44</v>
      </c>
      <c r="O675" s="86">
        <f t="shared" si="174"/>
        <v>-1.0913936421275139E-11</v>
      </c>
      <c r="P675" s="50">
        <f t="shared" si="164"/>
        <v>0</v>
      </c>
      <c r="Q675" s="86">
        <f t="shared" si="165"/>
        <v>0</v>
      </c>
      <c r="R675" s="86">
        <f t="shared" si="166"/>
        <v>0</v>
      </c>
      <c r="S675" s="74">
        <f t="shared" si="167"/>
        <v>-1.0913936421275139E-11</v>
      </c>
      <c r="T675" s="112">
        <f t="shared" si="168"/>
        <v>-8.7538071017308263E-12</v>
      </c>
      <c r="U675" s="112">
        <f t="shared" si="169"/>
        <v>0</v>
      </c>
      <c r="V675" s="75">
        <f t="shared" si="170"/>
        <v>0</v>
      </c>
      <c r="W675" s="74"/>
      <c r="X675" s="75">
        <f t="shared" si="171"/>
        <v>0</v>
      </c>
      <c r="Y675" s="156">
        <f t="shared" si="172"/>
        <v>-3.6289065407398638E-14</v>
      </c>
      <c r="Z675" s="46"/>
      <c r="AA675" s="107">
        <f t="shared" si="154"/>
        <v>0</v>
      </c>
      <c r="AB675" s="46"/>
      <c r="AC675" s="46"/>
      <c r="AD675" s="46"/>
      <c r="AE675" s="46"/>
    </row>
    <row r="676" spans="1:31" x14ac:dyDescent="0.2">
      <c r="A676" s="73">
        <v>45</v>
      </c>
      <c r="B676" s="86">
        <f t="shared" si="173"/>
        <v>0</v>
      </c>
      <c r="C676" s="50">
        <f t="shared" si="155"/>
        <v>0</v>
      </c>
      <c r="D676" s="86">
        <f t="shared" si="156"/>
        <v>0</v>
      </c>
      <c r="E676" s="86">
        <f t="shared" si="157"/>
        <v>0</v>
      </c>
      <c r="F676" s="74">
        <f t="shared" si="158"/>
        <v>0</v>
      </c>
      <c r="G676" s="112">
        <f t="shared" si="159"/>
        <v>0</v>
      </c>
      <c r="H676" s="112">
        <f t="shared" si="160"/>
        <v>0</v>
      </c>
      <c r="I676" s="75">
        <f t="shared" si="161"/>
        <v>0</v>
      </c>
      <c r="J676" s="74"/>
      <c r="K676" s="75">
        <f t="shared" si="162"/>
        <v>0</v>
      </c>
      <c r="L676" s="156">
        <f t="shared" si="163"/>
        <v>0</v>
      </c>
      <c r="M676" s="157"/>
      <c r="N676" s="73">
        <v>45</v>
      </c>
      <c r="O676" s="86">
        <f t="shared" si="174"/>
        <v>-1.0913936421275139E-11</v>
      </c>
      <c r="P676" s="50">
        <f t="shared" si="164"/>
        <v>0</v>
      </c>
      <c r="Q676" s="86">
        <f t="shared" si="165"/>
        <v>0</v>
      </c>
      <c r="R676" s="86">
        <f t="shared" si="166"/>
        <v>0</v>
      </c>
      <c r="S676" s="74">
        <f t="shared" si="167"/>
        <v>-1.0913936421275139E-11</v>
      </c>
      <c r="T676" s="112">
        <f t="shared" si="168"/>
        <v>-8.7100380662221726E-12</v>
      </c>
      <c r="U676" s="112">
        <f t="shared" si="169"/>
        <v>0</v>
      </c>
      <c r="V676" s="75">
        <f t="shared" si="170"/>
        <v>0</v>
      </c>
      <c r="W676" s="74"/>
      <c r="X676" s="75">
        <f t="shared" si="171"/>
        <v>0</v>
      </c>
      <c r="Y676" s="156">
        <f t="shared" si="172"/>
        <v>-3.6289065407398638E-14</v>
      </c>
      <c r="Z676" s="46"/>
      <c r="AA676" s="107">
        <f t="shared" si="154"/>
        <v>0</v>
      </c>
      <c r="AB676" s="46"/>
      <c r="AC676" s="46"/>
      <c r="AD676" s="46"/>
      <c r="AE676" s="46"/>
    </row>
    <row r="677" spans="1:31" x14ac:dyDescent="0.2">
      <c r="A677" s="73">
        <v>46</v>
      </c>
      <c r="B677" s="86">
        <f t="shared" si="173"/>
        <v>0</v>
      </c>
      <c r="C677" s="50">
        <f t="shared" si="155"/>
        <v>0</v>
      </c>
      <c r="D677" s="86">
        <f t="shared" si="156"/>
        <v>0</v>
      </c>
      <c r="E677" s="86">
        <f t="shared" si="157"/>
        <v>0</v>
      </c>
      <c r="F677" s="74">
        <f t="shared" si="158"/>
        <v>0</v>
      </c>
      <c r="G677" s="112">
        <f t="shared" si="159"/>
        <v>0</v>
      </c>
      <c r="H677" s="112">
        <f t="shared" si="160"/>
        <v>0</v>
      </c>
      <c r="I677" s="75">
        <f t="shared" si="161"/>
        <v>0</v>
      </c>
      <c r="J677" s="74"/>
      <c r="K677" s="75">
        <f t="shared" si="162"/>
        <v>0</v>
      </c>
      <c r="L677" s="156">
        <f t="shared" si="163"/>
        <v>0</v>
      </c>
      <c r="M677" s="157"/>
      <c r="N677" s="73">
        <v>46</v>
      </c>
      <c r="O677" s="86">
        <f t="shared" si="174"/>
        <v>-1.0913936421275139E-11</v>
      </c>
      <c r="P677" s="50">
        <f t="shared" si="164"/>
        <v>0</v>
      </c>
      <c r="Q677" s="86">
        <f t="shared" si="165"/>
        <v>0</v>
      </c>
      <c r="R677" s="86">
        <f t="shared" si="166"/>
        <v>0</v>
      </c>
      <c r="S677" s="74">
        <f t="shared" si="167"/>
        <v>-1.0913936421275139E-11</v>
      </c>
      <c r="T677" s="112">
        <f t="shared" si="168"/>
        <v>-8.6664878758910627E-12</v>
      </c>
      <c r="U677" s="112">
        <f t="shared" si="169"/>
        <v>0</v>
      </c>
      <c r="V677" s="75">
        <f t="shared" si="170"/>
        <v>0</v>
      </c>
      <c r="W677" s="74"/>
      <c r="X677" s="75">
        <f t="shared" si="171"/>
        <v>0</v>
      </c>
      <c r="Y677" s="156">
        <f t="shared" si="172"/>
        <v>-3.6289065407398638E-14</v>
      </c>
      <c r="Z677" s="46"/>
      <c r="AA677" s="107">
        <f t="shared" si="154"/>
        <v>0</v>
      </c>
      <c r="AB677" s="46"/>
      <c r="AC677" s="46"/>
      <c r="AD677" s="46"/>
      <c r="AE677" s="46"/>
    </row>
    <row r="678" spans="1:31" x14ac:dyDescent="0.2">
      <c r="A678" s="73">
        <v>47</v>
      </c>
      <c r="B678" s="86">
        <f t="shared" si="173"/>
        <v>0</v>
      </c>
      <c r="C678" s="50">
        <f t="shared" si="155"/>
        <v>0</v>
      </c>
      <c r="D678" s="86">
        <f t="shared" si="156"/>
        <v>0</v>
      </c>
      <c r="E678" s="86">
        <f t="shared" si="157"/>
        <v>0</v>
      </c>
      <c r="F678" s="74">
        <f t="shared" si="158"/>
        <v>0</v>
      </c>
      <c r="G678" s="112">
        <f t="shared" si="159"/>
        <v>0</v>
      </c>
      <c r="H678" s="112">
        <f t="shared" si="160"/>
        <v>0</v>
      </c>
      <c r="I678" s="75">
        <f t="shared" si="161"/>
        <v>0</v>
      </c>
      <c r="J678" s="74"/>
      <c r="K678" s="75">
        <f t="shared" si="162"/>
        <v>0</v>
      </c>
      <c r="L678" s="156">
        <f t="shared" si="163"/>
        <v>0</v>
      </c>
      <c r="M678" s="157"/>
      <c r="N678" s="73">
        <v>47</v>
      </c>
      <c r="O678" s="86">
        <f t="shared" si="174"/>
        <v>-1.0913936421275139E-11</v>
      </c>
      <c r="P678" s="50">
        <f t="shared" si="164"/>
        <v>0</v>
      </c>
      <c r="Q678" s="86">
        <f t="shared" si="165"/>
        <v>0</v>
      </c>
      <c r="R678" s="86">
        <f t="shared" si="166"/>
        <v>0</v>
      </c>
      <c r="S678" s="74">
        <f t="shared" si="167"/>
        <v>-1.0913936421275139E-11</v>
      </c>
      <c r="T678" s="112">
        <f t="shared" si="168"/>
        <v>-8.6231554365116076E-12</v>
      </c>
      <c r="U678" s="112">
        <f t="shared" si="169"/>
        <v>0</v>
      </c>
      <c r="V678" s="104">
        <f t="shared" si="170"/>
        <v>0</v>
      </c>
      <c r="W678" s="74"/>
      <c r="X678" s="75">
        <f t="shared" si="171"/>
        <v>0</v>
      </c>
      <c r="Y678" s="156">
        <f t="shared" si="172"/>
        <v>-3.6289065407398638E-14</v>
      </c>
      <c r="Z678" s="46"/>
      <c r="AA678" s="107">
        <f t="shared" si="154"/>
        <v>0</v>
      </c>
      <c r="AB678" s="46"/>
      <c r="AC678" s="46"/>
      <c r="AD678" s="46"/>
      <c r="AE678" s="46"/>
    </row>
    <row r="679" spans="1:31" x14ac:dyDescent="0.2">
      <c r="A679" s="73">
        <v>48</v>
      </c>
      <c r="B679" s="86">
        <f t="shared" si="173"/>
        <v>0</v>
      </c>
      <c r="C679" s="50">
        <f t="shared" si="155"/>
        <v>0</v>
      </c>
      <c r="D679" s="86">
        <f t="shared" si="156"/>
        <v>0</v>
      </c>
      <c r="E679" s="86">
        <f t="shared" si="157"/>
        <v>0</v>
      </c>
      <c r="F679" s="74">
        <f t="shared" si="158"/>
        <v>0</v>
      </c>
      <c r="G679" s="112">
        <f t="shared" si="159"/>
        <v>0</v>
      </c>
      <c r="H679" s="112">
        <f t="shared" si="160"/>
        <v>0</v>
      </c>
      <c r="I679" s="75">
        <f t="shared" si="161"/>
        <v>0</v>
      </c>
      <c r="J679" s="74"/>
      <c r="K679" s="75">
        <f t="shared" si="162"/>
        <v>0</v>
      </c>
      <c r="L679" s="156">
        <f t="shared" si="163"/>
        <v>0</v>
      </c>
      <c r="M679" s="157"/>
      <c r="N679" s="73">
        <v>48</v>
      </c>
      <c r="O679" s="86">
        <f t="shared" si="174"/>
        <v>-1.0913936421275139E-11</v>
      </c>
      <c r="P679" s="50">
        <f t="shared" si="164"/>
        <v>0</v>
      </c>
      <c r="Q679" s="86">
        <f t="shared" si="165"/>
        <v>0</v>
      </c>
      <c r="R679" s="86">
        <f t="shared" si="166"/>
        <v>0</v>
      </c>
      <c r="S679" s="74">
        <f t="shared" si="167"/>
        <v>-1.0913936421275139E-11</v>
      </c>
      <c r="T679" s="112">
        <f t="shared" si="168"/>
        <v>-8.5800396593290492E-12</v>
      </c>
      <c r="U679" s="112">
        <f t="shared" si="169"/>
        <v>0</v>
      </c>
      <c r="V679" s="75">
        <f t="shared" si="170"/>
        <v>0</v>
      </c>
      <c r="W679" s="74"/>
      <c r="X679" s="75">
        <f t="shared" si="171"/>
        <v>0</v>
      </c>
      <c r="Y679" s="156">
        <f t="shared" si="172"/>
        <v>-3.6289065407398638E-14</v>
      </c>
      <c r="Z679" s="46"/>
      <c r="AA679" s="107">
        <f t="shared" si="154"/>
        <v>0</v>
      </c>
      <c r="AB679" s="46"/>
      <c r="AC679" s="46"/>
      <c r="AD679" s="46"/>
      <c r="AE679" s="46"/>
    </row>
    <row r="680" spans="1:31" x14ac:dyDescent="0.2">
      <c r="A680" s="73">
        <v>49</v>
      </c>
      <c r="B680" s="86">
        <f t="shared" si="173"/>
        <v>0</v>
      </c>
      <c r="C680" s="50">
        <f t="shared" si="155"/>
        <v>0</v>
      </c>
      <c r="D680" s="86">
        <f t="shared" si="156"/>
        <v>0</v>
      </c>
      <c r="E680" s="86">
        <f t="shared" si="157"/>
        <v>0</v>
      </c>
      <c r="F680" s="74">
        <f t="shared" si="158"/>
        <v>0</v>
      </c>
      <c r="G680" s="112">
        <f t="shared" si="159"/>
        <v>0</v>
      </c>
      <c r="H680" s="112">
        <f t="shared" si="160"/>
        <v>0</v>
      </c>
      <c r="I680" s="75">
        <f t="shared" si="161"/>
        <v>0</v>
      </c>
      <c r="J680" s="74"/>
      <c r="K680" s="75">
        <f t="shared" si="162"/>
        <v>0</v>
      </c>
      <c r="L680" s="156">
        <f t="shared" si="163"/>
        <v>0</v>
      </c>
      <c r="M680" s="157"/>
      <c r="N680" s="73">
        <v>49</v>
      </c>
      <c r="O680" s="86">
        <f t="shared" si="174"/>
        <v>-1.0913936421275139E-11</v>
      </c>
      <c r="P680" s="50">
        <f t="shared" si="164"/>
        <v>0</v>
      </c>
      <c r="Q680" s="86">
        <f t="shared" si="165"/>
        <v>0</v>
      </c>
      <c r="R680" s="86">
        <f t="shared" si="166"/>
        <v>0</v>
      </c>
      <c r="S680" s="74">
        <f t="shared" si="167"/>
        <v>-1.0913936421275139E-11</v>
      </c>
      <c r="T680" s="112">
        <f t="shared" si="168"/>
        <v>-8.5371394610324021E-12</v>
      </c>
      <c r="U680" s="112">
        <f t="shared" si="169"/>
        <v>0</v>
      </c>
      <c r="V680" s="75">
        <f t="shared" si="170"/>
        <v>0</v>
      </c>
      <c r="W680" s="74"/>
      <c r="X680" s="75">
        <f t="shared" si="171"/>
        <v>0</v>
      </c>
      <c r="Y680" s="156">
        <f t="shared" si="172"/>
        <v>-3.6289065407398638E-14</v>
      </c>
      <c r="Z680" s="46"/>
      <c r="AA680" s="107">
        <f t="shared" si="154"/>
        <v>0</v>
      </c>
      <c r="AB680" s="46"/>
      <c r="AC680" s="46"/>
      <c r="AD680" s="46"/>
      <c r="AE680" s="46"/>
    </row>
    <row r="681" spans="1:31" x14ac:dyDescent="0.2">
      <c r="A681" s="73">
        <v>50</v>
      </c>
      <c r="B681" s="86">
        <f t="shared" si="173"/>
        <v>0</v>
      </c>
      <c r="C681" s="50">
        <f t="shared" si="155"/>
        <v>0</v>
      </c>
      <c r="D681" s="86">
        <f t="shared" si="156"/>
        <v>0</v>
      </c>
      <c r="E681" s="86">
        <f t="shared" si="157"/>
        <v>0</v>
      </c>
      <c r="F681" s="74">
        <f t="shared" si="158"/>
        <v>0</v>
      </c>
      <c r="G681" s="112">
        <f t="shared" si="159"/>
        <v>0</v>
      </c>
      <c r="H681" s="112">
        <f t="shared" si="160"/>
        <v>0</v>
      </c>
      <c r="I681" s="75">
        <f t="shared" si="161"/>
        <v>0</v>
      </c>
      <c r="J681" s="74"/>
      <c r="K681" s="75">
        <f t="shared" si="162"/>
        <v>0</v>
      </c>
      <c r="L681" s="156">
        <f t="shared" si="163"/>
        <v>0</v>
      </c>
      <c r="M681" s="157"/>
      <c r="N681" s="73">
        <v>50</v>
      </c>
      <c r="O681" s="86">
        <f t="shared" si="174"/>
        <v>-1.0913936421275139E-11</v>
      </c>
      <c r="P681" s="50">
        <f t="shared" si="164"/>
        <v>0</v>
      </c>
      <c r="Q681" s="86">
        <f t="shared" si="165"/>
        <v>0</v>
      </c>
      <c r="R681" s="86">
        <f t="shared" si="166"/>
        <v>0</v>
      </c>
      <c r="S681" s="74">
        <f t="shared" si="167"/>
        <v>-1.0913936421275139E-11</v>
      </c>
      <c r="T681" s="112">
        <f t="shared" si="168"/>
        <v>-8.4944537637272401E-12</v>
      </c>
      <c r="U681" s="112">
        <f t="shared" si="169"/>
        <v>0</v>
      </c>
      <c r="V681" s="75">
        <f t="shared" si="170"/>
        <v>0</v>
      </c>
      <c r="W681" s="74"/>
      <c r="X681" s="75">
        <f t="shared" si="171"/>
        <v>0</v>
      </c>
      <c r="Y681" s="156">
        <f t="shared" si="172"/>
        <v>-3.6289065407398638E-14</v>
      </c>
      <c r="Z681" s="46"/>
      <c r="AA681" s="107">
        <f t="shared" si="154"/>
        <v>0</v>
      </c>
      <c r="AB681" s="46"/>
      <c r="AC681" s="46"/>
      <c r="AD681" s="46"/>
      <c r="AE681" s="46"/>
    </row>
    <row r="682" spans="1:31" x14ac:dyDescent="0.2">
      <c r="A682" s="73">
        <v>51</v>
      </c>
      <c r="B682" s="86">
        <f t="shared" si="173"/>
        <v>0</v>
      </c>
      <c r="C682" s="50">
        <f t="shared" si="155"/>
        <v>0</v>
      </c>
      <c r="D682" s="86">
        <f t="shared" si="156"/>
        <v>0</v>
      </c>
      <c r="E682" s="86">
        <f t="shared" si="157"/>
        <v>0</v>
      </c>
      <c r="F682" s="74">
        <f t="shared" si="158"/>
        <v>0</v>
      </c>
      <c r="G682" s="112">
        <f t="shared" si="159"/>
        <v>0</v>
      </c>
      <c r="H682" s="112">
        <f t="shared" si="160"/>
        <v>0</v>
      </c>
      <c r="I682" s="75">
        <f t="shared" si="161"/>
        <v>0</v>
      </c>
      <c r="J682" s="74"/>
      <c r="K682" s="75">
        <f t="shared" si="162"/>
        <v>0</v>
      </c>
      <c r="L682" s="156">
        <f t="shared" si="163"/>
        <v>0</v>
      </c>
      <c r="M682" s="157"/>
      <c r="N682" s="73">
        <v>51</v>
      </c>
      <c r="O682" s="86">
        <f t="shared" si="174"/>
        <v>-1.0913936421275139E-11</v>
      </c>
      <c r="P682" s="50">
        <f t="shared" si="164"/>
        <v>0</v>
      </c>
      <c r="Q682" s="86">
        <f t="shared" si="165"/>
        <v>0</v>
      </c>
      <c r="R682" s="86">
        <f t="shared" si="166"/>
        <v>0</v>
      </c>
      <c r="S682" s="74">
        <f t="shared" si="167"/>
        <v>-1.0913936421275139E-11</v>
      </c>
      <c r="T682" s="112">
        <f t="shared" si="168"/>
        <v>-8.4519814949086037E-12</v>
      </c>
      <c r="U682" s="112">
        <f t="shared" si="169"/>
        <v>0</v>
      </c>
      <c r="V682" s="75">
        <f t="shared" si="170"/>
        <v>0</v>
      </c>
      <c r="W682" s="74"/>
      <c r="X682" s="75">
        <f t="shared" si="171"/>
        <v>0</v>
      </c>
      <c r="Y682" s="156">
        <f t="shared" si="172"/>
        <v>-3.6289065407398638E-14</v>
      </c>
      <c r="Z682" s="46"/>
      <c r="AA682" s="107">
        <f t="shared" si="154"/>
        <v>0</v>
      </c>
      <c r="AB682" s="46"/>
      <c r="AC682" s="46"/>
      <c r="AD682" s="46"/>
      <c r="AE682" s="46"/>
    </row>
    <row r="683" spans="1:31" x14ac:dyDescent="0.2">
      <c r="A683" s="73">
        <v>52</v>
      </c>
      <c r="B683" s="86">
        <f t="shared" si="173"/>
        <v>0</v>
      </c>
      <c r="C683" s="50">
        <f t="shared" si="155"/>
        <v>0</v>
      </c>
      <c r="D683" s="86">
        <f t="shared" si="156"/>
        <v>0</v>
      </c>
      <c r="E683" s="86">
        <f t="shared" si="157"/>
        <v>0</v>
      </c>
      <c r="F683" s="74">
        <f t="shared" si="158"/>
        <v>0</v>
      </c>
      <c r="G683" s="112">
        <f t="shared" si="159"/>
        <v>0</v>
      </c>
      <c r="H683" s="112">
        <f t="shared" si="160"/>
        <v>0</v>
      </c>
      <c r="I683" s="75">
        <f t="shared" si="161"/>
        <v>0</v>
      </c>
      <c r="J683" s="74"/>
      <c r="K683" s="75">
        <f t="shared" si="162"/>
        <v>0</v>
      </c>
      <c r="L683" s="156">
        <f t="shared" si="163"/>
        <v>0</v>
      </c>
      <c r="M683" s="157"/>
      <c r="N683" s="73">
        <v>52</v>
      </c>
      <c r="O683" s="86">
        <f t="shared" si="174"/>
        <v>-1.0913936421275139E-11</v>
      </c>
      <c r="P683" s="50">
        <f t="shared" si="164"/>
        <v>0</v>
      </c>
      <c r="Q683" s="86">
        <f t="shared" si="165"/>
        <v>0</v>
      </c>
      <c r="R683" s="86">
        <f t="shared" si="166"/>
        <v>0</v>
      </c>
      <c r="S683" s="74">
        <f t="shared" si="167"/>
        <v>-1.0913936421275139E-11</v>
      </c>
      <c r="T683" s="112">
        <f t="shared" si="168"/>
        <v>-8.4097215874340626E-12</v>
      </c>
      <c r="U683" s="112">
        <f t="shared" si="169"/>
        <v>0</v>
      </c>
      <c r="V683" s="75">
        <f t="shared" si="170"/>
        <v>0</v>
      </c>
      <c r="W683" s="74"/>
      <c r="X683" s="75">
        <f t="shared" si="171"/>
        <v>0</v>
      </c>
      <c r="Y683" s="156">
        <f t="shared" si="172"/>
        <v>-3.6289065407398638E-14</v>
      </c>
      <c r="Z683" s="46"/>
      <c r="AA683" s="107">
        <f t="shared" si="154"/>
        <v>0</v>
      </c>
      <c r="AB683" s="46"/>
      <c r="AC683" s="46"/>
      <c r="AD683" s="46"/>
      <c r="AE683" s="46"/>
    </row>
    <row r="684" spans="1:31" x14ac:dyDescent="0.2">
      <c r="A684" s="73">
        <v>53</v>
      </c>
      <c r="B684" s="86">
        <f t="shared" si="173"/>
        <v>0</v>
      </c>
      <c r="C684" s="50">
        <f t="shared" si="155"/>
        <v>0</v>
      </c>
      <c r="D684" s="86">
        <f t="shared" si="156"/>
        <v>0</v>
      </c>
      <c r="E684" s="86">
        <f t="shared" si="157"/>
        <v>0</v>
      </c>
      <c r="F684" s="74">
        <f t="shared" si="158"/>
        <v>0</v>
      </c>
      <c r="G684" s="112">
        <f t="shared" si="159"/>
        <v>0</v>
      </c>
      <c r="H684" s="112">
        <f t="shared" si="160"/>
        <v>0</v>
      </c>
      <c r="I684" s="75">
        <f t="shared" si="161"/>
        <v>0</v>
      </c>
      <c r="J684" s="74"/>
      <c r="K684" s="75">
        <f t="shared" si="162"/>
        <v>0</v>
      </c>
      <c r="L684" s="156">
        <f t="shared" si="163"/>
        <v>0</v>
      </c>
      <c r="M684" s="157"/>
      <c r="N684" s="73">
        <v>53</v>
      </c>
      <c r="O684" s="86">
        <f t="shared" si="174"/>
        <v>-1.0913936421275139E-11</v>
      </c>
      <c r="P684" s="50">
        <f t="shared" si="164"/>
        <v>0</v>
      </c>
      <c r="Q684" s="86">
        <f t="shared" si="165"/>
        <v>0</v>
      </c>
      <c r="R684" s="86">
        <f t="shared" si="166"/>
        <v>0</v>
      </c>
      <c r="S684" s="74">
        <f t="shared" si="167"/>
        <v>-1.0913936421275139E-11</v>
      </c>
      <c r="T684" s="112">
        <f t="shared" si="168"/>
        <v>-8.3676729794968908E-12</v>
      </c>
      <c r="U684" s="112">
        <f t="shared" si="169"/>
        <v>0</v>
      </c>
      <c r="V684" s="75">
        <f t="shared" si="170"/>
        <v>0</v>
      </c>
      <c r="W684" s="74"/>
      <c r="X684" s="75">
        <f t="shared" si="171"/>
        <v>0</v>
      </c>
      <c r="Y684" s="156">
        <f t="shared" si="172"/>
        <v>-3.6289065407398638E-14</v>
      </c>
      <c r="Z684" s="46"/>
      <c r="AA684" s="107">
        <f t="shared" si="154"/>
        <v>0</v>
      </c>
      <c r="AB684" s="46"/>
      <c r="AC684" s="46"/>
      <c r="AD684" s="46"/>
      <c r="AE684" s="46"/>
    </row>
    <row r="685" spans="1:31" x14ac:dyDescent="0.2">
      <c r="A685" s="73">
        <v>54</v>
      </c>
      <c r="B685" s="86">
        <f t="shared" si="173"/>
        <v>0</v>
      </c>
      <c r="C685" s="50">
        <f t="shared" si="155"/>
        <v>0</v>
      </c>
      <c r="D685" s="86">
        <f t="shared" si="156"/>
        <v>0</v>
      </c>
      <c r="E685" s="86">
        <f t="shared" si="157"/>
        <v>0</v>
      </c>
      <c r="F685" s="74">
        <f t="shared" si="158"/>
        <v>0</v>
      </c>
      <c r="G685" s="112">
        <f t="shared" si="159"/>
        <v>0</v>
      </c>
      <c r="H685" s="112">
        <f t="shared" si="160"/>
        <v>0</v>
      </c>
      <c r="I685" s="75">
        <f t="shared" si="161"/>
        <v>0</v>
      </c>
      <c r="J685" s="74"/>
      <c r="K685" s="75">
        <f t="shared" si="162"/>
        <v>0</v>
      </c>
      <c r="L685" s="156">
        <f t="shared" si="163"/>
        <v>0</v>
      </c>
      <c r="M685" s="157"/>
      <c r="N685" s="73">
        <v>54</v>
      </c>
      <c r="O685" s="86">
        <f t="shared" si="174"/>
        <v>-1.0913936421275139E-11</v>
      </c>
      <c r="P685" s="50">
        <f t="shared" si="164"/>
        <v>0</v>
      </c>
      <c r="Q685" s="86">
        <f t="shared" si="165"/>
        <v>0</v>
      </c>
      <c r="R685" s="86">
        <f t="shared" si="166"/>
        <v>0</v>
      </c>
      <c r="S685" s="74">
        <f t="shared" si="167"/>
        <v>-1.0913936421275139E-11</v>
      </c>
      <c r="T685" s="112">
        <f t="shared" si="168"/>
        <v>-8.3258346145994079E-12</v>
      </c>
      <c r="U685" s="112">
        <f t="shared" si="169"/>
        <v>0</v>
      </c>
      <c r="V685" s="75">
        <f t="shared" si="170"/>
        <v>0</v>
      </c>
      <c r="W685" s="74"/>
      <c r="X685" s="75">
        <f t="shared" si="171"/>
        <v>0</v>
      </c>
      <c r="Y685" s="156">
        <f t="shared" si="172"/>
        <v>-3.6289065407398638E-14</v>
      </c>
      <c r="Z685" s="46"/>
      <c r="AA685" s="107">
        <f t="shared" si="154"/>
        <v>0</v>
      </c>
      <c r="AB685" s="46"/>
      <c r="AC685" s="46"/>
      <c r="AD685" s="46"/>
      <c r="AE685" s="46"/>
    </row>
    <row r="686" spans="1:31" x14ac:dyDescent="0.2">
      <c r="A686" s="73">
        <v>55</v>
      </c>
      <c r="B686" s="86">
        <f t="shared" si="173"/>
        <v>0</v>
      </c>
      <c r="C686" s="50">
        <f t="shared" si="155"/>
        <v>0</v>
      </c>
      <c r="D686" s="86">
        <f t="shared" si="156"/>
        <v>0</v>
      </c>
      <c r="E686" s="86">
        <f t="shared" si="157"/>
        <v>0</v>
      </c>
      <c r="F686" s="74">
        <f t="shared" si="158"/>
        <v>0</v>
      </c>
      <c r="G686" s="112">
        <f t="shared" si="159"/>
        <v>0</v>
      </c>
      <c r="H686" s="112">
        <f t="shared" si="160"/>
        <v>0</v>
      </c>
      <c r="I686" s="75">
        <f t="shared" si="161"/>
        <v>0</v>
      </c>
      <c r="J686" s="74"/>
      <c r="K686" s="75">
        <f t="shared" si="162"/>
        <v>0</v>
      </c>
      <c r="L686" s="156">
        <f t="shared" si="163"/>
        <v>0</v>
      </c>
      <c r="M686" s="157"/>
      <c r="N686" s="73">
        <v>55</v>
      </c>
      <c r="O686" s="86">
        <f t="shared" si="174"/>
        <v>-1.0913936421275139E-11</v>
      </c>
      <c r="P686" s="50">
        <f t="shared" si="164"/>
        <v>0</v>
      </c>
      <c r="Q686" s="86">
        <f t="shared" si="165"/>
        <v>0</v>
      </c>
      <c r="R686" s="86">
        <f t="shared" si="166"/>
        <v>0</v>
      </c>
      <c r="S686" s="74">
        <f t="shared" si="167"/>
        <v>-1.0913936421275139E-11</v>
      </c>
      <c r="T686" s="112">
        <f t="shared" si="168"/>
        <v>-8.2842054415264092E-12</v>
      </c>
      <c r="U686" s="112">
        <f t="shared" si="169"/>
        <v>0</v>
      </c>
      <c r="V686" s="75">
        <f t="shared" si="170"/>
        <v>0</v>
      </c>
      <c r="W686" s="74"/>
      <c r="X686" s="75">
        <f t="shared" si="171"/>
        <v>0</v>
      </c>
      <c r="Y686" s="156">
        <f t="shared" si="172"/>
        <v>-3.6289065407398638E-14</v>
      </c>
      <c r="Z686" s="46"/>
      <c r="AA686" s="107">
        <f t="shared" si="154"/>
        <v>0</v>
      </c>
      <c r="AB686" s="46"/>
      <c r="AC686" s="46"/>
      <c r="AD686" s="46"/>
      <c r="AE686" s="46"/>
    </row>
    <row r="687" spans="1:31" x14ac:dyDescent="0.2">
      <c r="A687" s="73">
        <v>56</v>
      </c>
      <c r="B687" s="86">
        <f t="shared" si="173"/>
        <v>0</v>
      </c>
      <c r="C687" s="50">
        <f t="shared" si="155"/>
        <v>0</v>
      </c>
      <c r="D687" s="86">
        <f t="shared" si="156"/>
        <v>0</v>
      </c>
      <c r="E687" s="86">
        <f t="shared" si="157"/>
        <v>0</v>
      </c>
      <c r="F687" s="74">
        <f t="shared" si="158"/>
        <v>0</v>
      </c>
      <c r="G687" s="112">
        <f t="shared" si="159"/>
        <v>0</v>
      </c>
      <c r="H687" s="112">
        <f t="shared" si="160"/>
        <v>0</v>
      </c>
      <c r="I687" s="75">
        <f t="shared" si="161"/>
        <v>0</v>
      </c>
      <c r="J687" s="74"/>
      <c r="K687" s="75">
        <f t="shared" si="162"/>
        <v>0</v>
      </c>
      <c r="L687" s="156">
        <f t="shared" si="163"/>
        <v>0</v>
      </c>
      <c r="M687" s="157"/>
      <c r="N687" s="73">
        <v>56</v>
      </c>
      <c r="O687" s="86">
        <f t="shared" si="174"/>
        <v>-1.0913936421275139E-11</v>
      </c>
      <c r="P687" s="50">
        <f t="shared" si="164"/>
        <v>0</v>
      </c>
      <c r="Q687" s="86">
        <f t="shared" si="165"/>
        <v>0</v>
      </c>
      <c r="R687" s="86">
        <f t="shared" si="166"/>
        <v>0</v>
      </c>
      <c r="S687" s="74">
        <f t="shared" si="167"/>
        <v>-1.0913936421275139E-11</v>
      </c>
      <c r="T687" s="112">
        <f t="shared" si="168"/>
        <v>-8.2427844143187778E-12</v>
      </c>
      <c r="U687" s="112">
        <f t="shared" si="169"/>
        <v>0</v>
      </c>
      <c r="V687" s="75">
        <f t="shared" si="170"/>
        <v>0</v>
      </c>
      <c r="W687" s="74"/>
      <c r="X687" s="75">
        <f t="shared" si="171"/>
        <v>0</v>
      </c>
      <c r="Y687" s="156">
        <f t="shared" si="172"/>
        <v>-3.6289065407398638E-14</v>
      </c>
      <c r="Z687" s="46"/>
      <c r="AA687" s="107">
        <f t="shared" si="154"/>
        <v>0</v>
      </c>
      <c r="AB687" s="46"/>
      <c r="AC687" s="46"/>
      <c r="AD687" s="46"/>
      <c r="AE687" s="46"/>
    </row>
    <row r="688" spans="1:31" x14ac:dyDescent="0.2">
      <c r="A688" s="73">
        <v>57</v>
      </c>
      <c r="B688" s="86">
        <f t="shared" si="173"/>
        <v>0</v>
      </c>
      <c r="C688" s="50">
        <f t="shared" si="155"/>
        <v>0</v>
      </c>
      <c r="D688" s="86">
        <f t="shared" si="156"/>
        <v>0</v>
      </c>
      <c r="E688" s="86">
        <f t="shared" si="157"/>
        <v>0</v>
      </c>
      <c r="F688" s="74">
        <f t="shared" si="158"/>
        <v>0</v>
      </c>
      <c r="G688" s="112">
        <f t="shared" si="159"/>
        <v>0</v>
      </c>
      <c r="H688" s="112">
        <f t="shared" si="160"/>
        <v>0</v>
      </c>
      <c r="I688" s="75">
        <f t="shared" si="161"/>
        <v>0</v>
      </c>
      <c r="J688" s="74"/>
      <c r="K688" s="75">
        <f t="shared" si="162"/>
        <v>0</v>
      </c>
      <c r="L688" s="156">
        <f t="shared" si="163"/>
        <v>0</v>
      </c>
      <c r="M688" s="157"/>
      <c r="N688" s="73">
        <v>57</v>
      </c>
      <c r="O688" s="86">
        <f t="shared" si="174"/>
        <v>-1.0913936421275139E-11</v>
      </c>
      <c r="P688" s="50">
        <f t="shared" si="164"/>
        <v>0</v>
      </c>
      <c r="Q688" s="86">
        <f t="shared" si="165"/>
        <v>0</v>
      </c>
      <c r="R688" s="86">
        <f t="shared" si="166"/>
        <v>0</v>
      </c>
      <c r="S688" s="74">
        <f t="shared" si="167"/>
        <v>-1.0913936421275139E-11</v>
      </c>
      <c r="T688" s="112">
        <f t="shared" si="168"/>
        <v>-8.2015704922471851E-12</v>
      </c>
      <c r="U688" s="112">
        <f t="shared" si="169"/>
        <v>0</v>
      </c>
      <c r="V688" s="75">
        <f t="shared" si="170"/>
        <v>0</v>
      </c>
      <c r="W688" s="74"/>
      <c r="X688" s="75">
        <f t="shared" si="171"/>
        <v>0</v>
      </c>
      <c r="Y688" s="156">
        <f t="shared" si="172"/>
        <v>-3.6289065407398638E-14</v>
      </c>
      <c r="Z688" s="46"/>
      <c r="AA688" s="107">
        <f t="shared" si="154"/>
        <v>0</v>
      </c>
      <c r="AB688" s="46"/>
      <c r="AC688" s="46"/>
      <c r="AD688" s="46"/>
      <c r="AE688" s="46"/>
    </row>
    <row r="689" spans="1:31" x14ac:dyDescent="0.2">
      <c r="A689" s="73">
        <v>58</v>
      </c>
      <c r="B689" s="86">
        <f t="shared" si="173"/>
        <v>0</v>
      </c>
      <c r="C689" s="50">
        <f t="shared" si="155"/>
        <v>0</v>
      </c>
      <c r="D689" s="86">
        <f t="shared" si="156"/>
        <v>0</v>
      </c>
      <c r="E689" s="86">
        <f t="shared" si="157"/>
        <v>0</v>
      </c>
      <c r="F689" s="74">
        <f t="shared" si="158"/>
        <v>0</v>
      </c>
      <c r="G689" s="112">
        <f t="shared" si="159"/>
        <v>0</v>
      </c>
      <c r="H689" s="112">
        <f t="shared" si="160"/>
        <v>0</v>
      </c>
      <c r="I689" s="75">
        <f t="shared" si="161"/>
        <v>0</v>
      </c>
      <c r="J689" s="74"/>
      <c r="K689" s="75">
        <f t="shared" si="162"/>
        <v>0</v>
      </c>
      <c r="L689" s="156">
        <f t="shared" si="163"/>
        <v>0</v>
      </c>
      <c r="M689" s="157"/>
      <c r="N689" s="73">
        <v>58</v>
      </c>
      <c r="O689" s="86">
        <f t="shared" si="174"/>
        <v>-1.0913936421275139E-11</v>
      </c>
      <c r="P689" s="50">
        <f t="shared" si="164"/>
        <v>0</v>
      </c>
      <c r="Q689" s="86">
        <f t="shared" si="165"/>
        <v>0</v>
      </c>
      <c r="R689" s="86">
        <f t="shared" si="166"/>
        <v>0</v>
      </c>
      <c r="S689" s="74">
        <f t="shared" si="167"/>
        <v>-1.0913936421275139E-11</v>
      </c>
      <c r="T689" s="112">
        <f t="shared" si="168"/>
        <v>-8.1605626397859488E-12</v>
      </c>
      <c r="U689" s="112">
        <f t="shared" si="169"/>
        <v>0</v>
      </c>
      <c r="V689" s="75">
        <f t="shared" si="170"/>
        <v>0</v>
      </c>
      <c r="W689" s="74"/>
      <c r="X689" s="75">
        <f t="shared" si="171"/>
        <v>0</v>
      </c>
      <c r="Y689" s="156">
        <f t="shared" si="172"/>
        <v>-3.6289065407398638E-14</v>
      </c>
      <c r="Z689" s="46"/>
      <c r="AA689" s="107">
        <f t="shared" si="154"/>
        <v>0</v>
      </c>
      <c r="AB689" s="46"/>
      <c r="AC689" s="46"/>
      <c r="AD689" s="46"/>
      <c r="AE689" s="46"/>
    </row>
    <row r="690" spans="1:31" x14ac:dyDescent="0.2">
      <c r="A690" s="73">
        <v>59</v>
      </c>
      <c r="B690" s="86">
        <f t="shared" si="173"/>
        <v>0</v>
      </c>
      <c r="C690" s="50">
        <f t="shared" si="155"/>
        <v>0</v>
      </c>
      <c r="D690" s="86">
        <f t="shared" si="156"/>
        <v>0</v>
      </c>
      <c r="E690" s="86">
        <f t="shared" si="157"/>
        <v>0</v>
      </c>
      <c r="F690" s="74">
        <f t="shared" si="158"/>
        <v>0</v>
      </c>
      <c r="G690" s="112">
        <f t="shared" si="159"/>
        <v>0</v>
      </c>
      <c r="H690" s="112">
        <f t="shared" si="160"/>
        <v>0</v>
      </c>
      <c r="I690" s="75">
        <f t="shared" si="161"/>
        <v>0</v>
      </c>
      <c r="J690" s="74"/>
      <c r="K690" s="75">
        <f t="shared" si="162"/>
        <v>0</v>
      </c>
      <c r="L690" s="156">
        <f t="shared" si="163"/>
        <v>0</v>
      </c>
      <c r="M690" s="157"/>
      <c r="N690" s="73">
        <v>59</v>
      </c>
      <c r="O690" s="86">
        <f t="shared" si="174"/>
        <v>-1.0913936421275139E-11</v>
      </c>
      <c r="P690" s="50">
        <f t="shared" si="164"/>
        <v>0</v>
      </c>
      <c r="Q690" s="86">
        <f t="shared" si="165"/>
        <v>0</v>
      </c>
      <c r="R690" s="86">
        <f t="shared" si="166"/>
        <v>0</v>
      </c>
      <c r="S690" s="74">
        <f t="shared" si="167"/>
        <v>-1.0913936421275139E-11</v>
      </c>
      <c r="T690" s="112">
        <f t="shared" si="168"/>
        <v>-8.1197598265870183E-12</v>
      </c>
      <c r="U690" s="112">
        <f t="shared" si="169"/>
        <v>0</v>
      </c>
      <c r="V690" s="75">
        <f t="shared" si="170"/>
        <v>0</v>
      </c>
      <c r="W690" s="74"/>
      <c r="X690" s="75">
        <f t="shared" si="171"/>
        <v>0</v>
      </c>
      <c r="Y690" s="156">
        <f t="shared" si="172"/>
        <v>-3.6289065407398638E-14</v>
      </c>
      <c r="Z690" s="46"/>
      <c r="AA690" s="107">
        <f t="shared" si="154"/>
        <v>0</v>
      </c>
      <c r="AB690" s="46"/>
      <c r="AC690" s="46"/>
      <c r="AD690" s="46"/>
      <c r="AE690" s="46"/>
    </row>
    <row r="691" spans="1:31" x14ac:dyDescent="0.2">
      <c r="A691" s="73">
        <v>60</v>
      </c>
      <c r="B691" s="86">
        <f t="shared" si="173"/>
        <v>0</v>
      </c>
      <c r="C691" s="50">
        <f t="shared" si="155"/>
        <v>0</v>
      </c>
      <c r="D691" s="86">
        <f t="shared" si="156"/>
        <v>0</v>
      </c>
      <c r="E691" s="86">
        <f t="shared" si="157"/>
        <v>0</v>
      </c>
      <c r="F691" s="74">
        <f t="shared" si="158"/>
        <v>0</v>
      </c>
      <c r="G691" s="112">
        <f t="shared" si="159"/>
        <v>0</v>
      </c>
      <c r="H691" s="112">
        <f t="shared" si="160"/>
        <v>0</v>
      </c>
      <c r="I691" s="75">
        <f t="shared" si="161"/>
        <v>0</v>
      </c>
      <c r="J691" s="74"/>
      <c r="K691" s="75">
        <f t="shared" si="162"/>
        <v>0</v>
      </c>
      <c r="L691" s="156">
        <f t="shared" si="163"/>
        <v>0</v>
      </c>
      <c r="M691" s="157"/>
      <c r="N691" s="73">
        <v>60</v>
      </c>
      <c r="O691" s="86">
        <f t="shared" si="174"/>
        <v>-1.0913936421275139E-11</v>
      </c>
      <c r="P691" s="50">
        <f t="shared" si="164"/>
        <v>0</v>
      </c>
      <c r="Q691" s="86">
        <f t="shared" si="165"/>
        <v>0</v>
      </c>
      <c r="R691" s="86">
        <f t="shared" si="166"/>
        <v>0</v>
      </c>
      <c r="S691" s="74">
        <f t="shared" si="167"/>
        <v>-1.0913936421275139E-11</v>
      </c>
      <c r="T691" s="112">
        <f t="shared" si="168"/>
        <v>-8.079161027454084E-12</v>
      </c>
      <c r="U691" s="112">
        <f t="shared" si="169"/>
        <v>0</v>
      </c>
      <c r="V691" s="75">
        <f t="shared" si="170"/>
        <v>0</v>
      </c>
      <c r="W691" s="74"/>
      <c r="X691" s="75">
        <f t="shared" si="171"/>
        <v>0</v>
      </c>
      <c r="Y691" s="156">
        <f t="shared" si="172"/>
        <v>-3.6289065407398638E-14</v>
      </c>
      <c r="Z691" s="46"/>
      <c r="AA691" s="107">
        <f t="shared" si="154"/>
        <v>0</v>
      </c>
      <c r="AB691" s="46"/>
      <c r="AC691" s="46"/>
      <c r="AD691" s="46"/>
      <c r="AE691" s="46"/>
    </row>
    <row r="692" spans="1:31" x14ac:dyDescent="0.2">
      <c r="A692" s="73">
        <v>61</v>
      </c>
      <c r="B692" s="86">
        <f t="shared" si="173"/>
        <v>0</v>
      </c>
      <c r="C692" s="50">
        <f t="shared" si="155"/>
        <v>0</v>
      </c>
      <c r="D692" s="86">
        <f t="shared" si="156"/>
        <v>0</v>
      </c>
      <c r="E692" s="86">
        <f t="shared" si="157"/>
        <v>0</v>
      </c>
      <c r="F692" s="74">
        <f t="shared" si="158"/>
        <v>0</v>
      </c>
      <c r="G692" s="112">
        <f t="shared" si="159"/>
        <v>0</v>
      </c>
      <c r="H692" s="112">
        <f t="shared" si="160"/>
        <v>0</v>
      </c>
      <c r="I692" s="75">
        <f t="shared" si="161"/>
        <v>0</v>
      </c>
      <c r="J692" s="74"/>
      <c r="K692" s="75">
        <f t="shared" si="162"/>
        <v>0</v>
      </c>
      <c r="L692" s="156">
        <f t="shared" si="163"/>
        <v>0</v>
      </c>
      <c r="M692" s="157"/>
      <c r="N692" s="73">
        <v>61</v>
      </c>
      <c r="O692" s="86">
        <f t="shared" si="174"/>
        <v>-1.0913936421275139E-11</v>
      </c>
      <c r="P692" s="50">
        <f t="shared" si="164"/>
        <v>0</v>
      </c>
      <c r="Q692" s="86">
        <f t="shared" si="165"/>
        <v>0</v>
      </c>
      <c r="R692" s="86">
        <f t="shared" si="166"/>
        <v>0</v>
      </c>
      <c r="S692" s="74">
        <f t="shared" si="167"/>
        <v>-1.0913936421275139E-11</v>
      </c>
      <c r="T692" s="112">
        <f t="shared" si="168"/>
        <v>-8.0387652223168161E-12</v>
      </c>
      <c r="U692" s="112">
        <f t="shared" si="169"/>
        <v>0</v>
      </c>
      <c r="V692" s="75">
        <f t="shared" si="170"/>
        <v>0</v>
      </c>
      <c r="W692" s="74"/>
      <c r="X692" s="75">
        <f t="shared" si="171"/>
        <v>0</v>
      </c>
      <c r="Y692" s="156">
        <f t="shared" si="172"/>
        <v>-3.6289065407398638E-14</v>
      </c>
      <c r="Z692" s="46"/>
      <c r="AA692" s="107">
        <f t="shared" si="154"/>
        <v>0</v>
      </c>
      <c r="AB692" s="46"/>
      <c r="AC692" s="46"/>
      <c r="AD692" s="46"/>
      <c r="AE692" s="46"/>
    </row>
    <row r="693" spans="1:31" x14ac:dyDescent="0.2">
      <c r="A693" s="73">
        <v>62</v>
      </c>
      <c r="B693" s="86">
        <f t="shared" si="173"/>
        <v>0</v>
      </c>
      <c r="C693" s="50">
        <f t="shared" si="155"/>
        <v>0</v>
      </c>
      <c r="D693" s="86">
        <f t="shared" si="156"/>
        <v>0</v>
      </c>
      <c r="E693" s="86">
        <f t="shared" si="157"/>
        <v>0</v>
      </c>
      <c r="F693" s="74">
        <f t="shared" si="158"/>
        <v>0</v>
      </c>
      <c r="G693" s="112">
        <f t="shared" si="159"/>
        <v>0</v>
      </c>
      <c r="H693" s="112">
        <f t="shared" si="160"/>
        <v>0</v>
      </c>
      <c r="I693" s="75">
        <f t="shared" si="161"/>
        <v>0</v>
      </c>
      <c r="J693" s="74"/>
      <c r="K693" s="75">
        <f t="shared" si="162"/>
        <v>0</v>
      </c>
      <c r="L693" s="156">
        <f t="shared" si="163"/>
        <v>0</v>
      </c>
      <c r="M693" s="157"/>
      <c r="N693" s="73">
        <v>62</v>
      </c>
      <c r="O693" s="86">
        <f t="shared" si="174"/>
        <v>-1.0913936421275139E-11</v>
      </c>
      <c r="P693" s="50">
        <f t="shared" si="164"/>
        <v>0</v>
      </c>
      <c r="Q693" s="86">
        <f t="shared" si="165"/>
        <v>0</v>
      </c>
      <c r="R693" s="86">
        <f t="shared" si="166"/>
        <v>0</v>
      </c>
      <c r="S693" s="74">
        <f t="shared" si="167"/>
        <v>-1.0913936421275139E-11</v>
      </c>
      <c r="T693" s="112">
        <f t="shared" si="168"/>
        <v>-7.9985713962052305E-12</v>
      </c>
      <c r="U693" s="112">
        <f t="shared" si="169"/>
        <v>0</v>
      </c>
      <c r="V693" s="75">
        <f t="shared" si="170"/>
        <v>0</v>
      </c>
      <c r="W693" s="74"/>
      <c r="X693" s="75">
        <f t="shared" si="171"/>
        <v>0</v>
      </c>
      <c r="Y693" s="156">
        <f t="shared" si="172"/>
        <v>-3.6289065407398638E-14</v>
      </c>
      <c r="Z693" s="46"/>
      <c r="AA693" s="107">
        <f t="shared" si="154"/>
        <v>0</v>
      </c>
      <c r="AB693" s="46"/>
      <c r="AC693" s="46"/>
      <c r="AD693" s="46"/>
      <c r="AE693" s="46"/>
    </row>
    <row r="694" spans="1:31" x14ac:dyDescent="0.2">
      <c r="A694" s="73">
        <v>63</v>
      </c>
      <c r="B694" s="86">
        <f t="shared" si="173"/>
        <v>0</v>
      </c>
      <c r="C694" s="50">
        <f t="shared" si="155"/>
        <v>0</v>
      </c>
      <c r="D694" s="86">
        <f t="shared" si="156"/>
        <v>0</v>
      </c>
      <c r="E694" s="86">
        <f t="shared" si="157"/>
        <v>0</v>
      </c>
      <c r="F694" s="74">
        <f t="shared" si="158"/>
        <v>0</v>
      </c>
      <c r="G694" s="112">
        <f t="shared" si="159"/>
        <v>0</v>
      </c>
      <c r="H694" s="112">
        <f t="shared" si="160"/>
        <v>0</v>
      </c>
      <c r="I694" s="75">
        <f t="shared" si="161"/>
        <v>0</v>
      </c>
      <c r="J694" s="74"/>
      <c r="K694" s="75">
        <f t="shared" si="162"/>
        <v>0</v>
      </c>
      <c r="L694" s="156">
        <f t="shared" si="163"/>
        <v>0</v>
      </c>
      <c r="M694" s="157"/>
      <c r="N694" s="73">
        <v>63</v>
      </c>
      <c r="O694" s="86">
        <f t="shared" si="174"/>
        <v>-1.0913936421275139E-11</v>
      </c>
      <c r="P694" s="50">
        <f t="shared" si="164"/>
        <v>0</v>
      </c>
      <c r="Q694" s="86">
        <f t="shared" si="165"/>
        <v>0</v>
      </c>
      <c r="R694" s="86">
        <f t="shared" si="166"/>
        <v>0</v>
      </c>
      <c r="S694" s="74">
        <f t="shared" si="167"/>
        <v>-1.0913936421275139E-11</v>
      </c>
      <c r="T694" s="112">
        <f t="shared" si="168"/>
        <v>-7.9585785392242028E-12</v>
      </c>
      <c r="U694" s="112">
        <f t="shared" si="169"/>
        <v>0</v>
      </c>
      <c r="V694" s="75">
        <f t="shared" si="170"/>
        <v>0</v>
      </c>
      <c r="W694" s="74"/>
      <c r="X694" s="75">
        <f t="shared" si="171"/>
        <v>0</v>
      </c>
      <c r="Y694" s="156">
        <f t="shared" si="172"/>
        <v>-3.6289065407398638E-14</v>
      </c>
      <c r="Z694" s="46"/>
      <c r="AA694" s="107">
        <f t="shared" si="154"/>
        <v>0</v>
      </c>
      <c r="AB694" s="46"/>
      <c r="AC694" s="46"/>
      <c r="AD694" s="46"/>
      <c r="AE694" s="46"/>
    </row>
    <row r="695" spans="1:31" x14ac:dyDescent="0.2">
      <c r="A695" s="73">
        <v>64</v>
      </c>
      <c r="B695" s="86">
        <f t="shared" si="173"/>
        <v>0</v>
      </c>
      <c r="C695" s="50">
        <f t="shared" si="155"/>
        <v>0</v>
      </c>
      <c r="D695" s="86">
        <f t="shared" si="156"/>
        <v>0</v>
      </c>
      <c r="E695" s="86">
        <f t="shared" si="157"/>
        <v>0</v>
      </c>
      <c r="F695" s="74">
        <f t="shared" si="158"/>
        <v>0</v>
      </c>
      <c r="G695" s="112">
        <f t="shared" si="159"/>
        <v>0</v>
      </c>
      <c r="H695" s="112">
        <f t="shared" si="160"/>
        <v>0</v>
      </c>
      <c r="I695" s="75">
        <f t="shared" si="161"/>
        <v>0</v>
      </c>
      <c r="J695" s="74"/>
      <c r="K695" s="75">
        <f t="shared" si="162"/>
        <v>0</v>
      </c>
      <c r="L695" s="156">
        <f t="shared" si="163"/>
        <v>0</v>
      </c>
      <c r="M695" s="157"/>
      <c r="N695" s="73">
        <v>64</v>
      </c>
      <c r="O695" s="86">
        <f t="shared" si="174"/>
        <v>-1.0913936421275139E-11</v>
      </c>
      <c r="P695" s="50">
        <f t="shared" si="164"/>
        <v>0</v>
      </c>
      <c r="Q695" s="86">
        <f t="shared" si="165"/>
        <v>0</v>
      </c>
      <c r="R695" s="86">
        <f t="shared" si="166"/>
        <v>0</v>
      </c>
      <c r="S695" s="74">
        <f t="shared" si="167"/>
        <v>-1.0913936421275139E-11</v>
      </c>
      <c r="T695" s="112">
        <f t="shared" si="168"/>
        <v>-7.9187856465280826E-12</v>
      </c>
      <c r="U695" s="112">
        <f t="shared" si="169"/>
        <v>0</v>
      </c>
      <c r="V695" s="75">
        <f t="shared" si="170"/>
        <v>0</v>
      </c>
      <c r="W695" s="74"/>
      <c r="X695" s="75">
        <f t="shared" si="171"/>
        <v>0</v>
      </c>
      <c r="Y695" s="156">
        <f t="shared" si="172"/>
        <v>-3.6289065407398638E-14</v>
      </c>
      <c r="Z695" s="46"/>
      <c r="AA695" s="107">
        <f t="shared" ref="AA695:AA726" si="175">+V695-I695</f>
        <v>0</v>
      </c>
      <c r="AB695" s="46"/>
      <c r="AC695" s="46"/>
      <c r="AD695" s="46"/>
      <c r="AE695" s="46"/>
    </row>
    <row r="696" spans="1:31" x14ac:dyDescent="0.2">
      <c r="A696" s="73">
        <v>65</v>
      </c>
      <c r="B696" s="86">
        <f t="shared" si="173"/>
        <v>0</v>
      </c>
      <c r="C696" s="50">
        <f t="shared" ref="C696:C727" si="176">(IF(A696&lt;$B$613,PMT($B$614/12,$B$613,-$B$612,$B$617,0),IF(A696=$B$613,PMT($B$614/12,$B$613,-$B$612,$B$617,0)+$B$617,0)))</f>
        <v>0</v>
      </c>
      <c r="D696" s="86">
        <f t="shared" ref="D696:D727" si="177">IF(A696&lt;=$B$613,B696*$B$614/12,0)</f>
        <v>0</v>
      </c>
      <c r="E696" s="86">
        <f t="shared" ref="E696:E727" si="178">C696-D696</f>
        <v>0</v>
      </c>
      <c r="F696" s="74">
        <f t="shared" ref="F696:F727" si="179">(B696-E696)</f>
        <v>0</v>
      </c>
      <c r="G696" s="112">
        <f t="shared" ref="G696:G727" si="180">B696*(1-B$621)^($A696)</f>
        <v>0</v>
      </c>
      <c r="H696" s="112">
        <f t="shared" ref="H696:H727" si="181">IF(A696&lt;=$B$613,G696*$B$614/12,0)</f>
        <v>0</v>
      </c>
      <c r="I696" s="75">
        <f t="shared" ref="I696:I727" si="182">C696</f>
        <v>0</v>
      </c>
      <c r="J696" s="74"/>
      <c r="K696" s="75">
        <f t="shared" ref="K696:K727" si="183">C696</f>
        <v>0</v>
      </c>
      <c r="L696" s="156">
        <f t="shared" ref="L696:L727" si="184">F696/$B$612*100</f>
        <v>0</v>
      </c>
      <c r="M696" s="157"/>
      <c r="N696" s="73">
        <v>65</v>
      </c>
      <c r="O696" s="86">
        <f t="shared" si="174"/>
        <v>-1.0913936421275139E-11</v>
      </c>
      <c r="P696" s="50">
        <f t="shared" ref="P696:P727" si="185">(IF(N696&lt;$B$613,PMT($B$615/12,$B$613,-$B$612,$B$617,0),IF(N696=$B$613,PMT($B$615/12,$B$613,-$B$612,$B$617,0)+$B$617,0)))</f>
        <v>0</v>
      </c>
      <c r="Q696" s="86">
        <f t="shared" ref="Q696:Q727" si="186">IF(N696&lt;=$B$613,O696*$B$615/12,0)</f>
        <v>0</v>
      </c>
      <c r="R696" s="86">
        <f t="shared" ref="R696:R727" si="187">P696-Q696</f>
        <v>0</v>
      </c>
      <c r="S696" s="74">
        <f t="shared" ref="S696:S727" si="188">(O696-R696)</f>
        <v>-1.0913936421275139E-11</v>
      </c>
      <c r="T696" s="112">
        <f t="shared" ref="T696:T727" si="189">O696*(1-B$621)^($N696)</f>
        <v>-7.8791917182954417E-12</v>
      </c>
      <c r="U696" s="112">
        <f t="shared" ref="U696:U727" si="190">IF(N696&lt;=$B$613,T696*$B$615/12,0)</f>
        <v>0</v>
      </c>
      <c r="V696" s="75">
        <f t="shared" ref="V696:V727" si="191">P696</f>
        <v>0</v>
      </c>
      <c r="W696" s="74"/>
      <c r="X696" s="75">
        <f t="shared" ref="X696:X727" si="192">P696</f>
        <v>0</v>
      </c>
      <c r="Y696" s="156">
        <f t="shared" ref="Y696:Y727" si="193">S696/$B$612*100</f>
        <v>-3.6289065407398638E-14</v>
      </c>
      <c r="Z696" s="46"/>
      <c r="AA696" s="107">
        <f t="shared" si="175"/>
        <v>0</v>
      </c>
      <c r="AB696" s="46"/>
      <c r="AC696" s="46"/>
      <c r="AD696" s="46"/>
      <c r="AE696" s="46"/>
    </row>
    <row r="697" spans="1:31" x14ac:dyDescent="0.2">
      <c r="A697" s="73">
        <v>66</v>
      </c>
      <c r="B697" s="86">
        <f t="shared" ref="B697:B728" si="194">+F696</f>
        <v>0</v>
      </c>
      <c r="C697" s="50">
        <f t="shared" si="176"/>
        <v>0</v>
      </c>
      <c r="D697" s="86">
        <f t="shared" si="177"/>
        <v>0</v>
      </c>
      <c r="E697" s="86">
        <f t="shared" si="178"/>
        <v>0</v>
      </c>
      <c r="F697" s="74">
        <f t="shared" si="179"/>
        <v>0</v>
      </c>
      <c r="G697" s="112">
        <f t="shared" si="180"/>
        <v>0</v>
      </c>
      <c r="H697" s="112">
        <f t="shared" si="181"/>
        <v>0</v>
      </c>
      <c r="I697" s="75">
        <f t="shared" si="182"/>
        <v>0</v>
      </c>
      <c r="J697" s="74"/>
      <c r="K697" s="75">
        <f t="shared" si="183"/>
        <v>0</v>
      </c>
      <c r="L697" s="156">
        <f t="shared" si="184"/>
        <v>0</v>
      </c>
      <c r="M697" s="157"/>
      <c r="N697" s="73">
        <v>66</v>
      </c>
      <c r="O697" s="86">
        <f t="shared" ref="O697:O728" si="195">+S696</f>
        <v>-1.0913936421275139E-11</v>
      </c>
      <c r="P697" s="50">
        <f t="shared" si="185"/>
        <v>0</v>
      </c>
      <c r="Q697" s="86">
        <f t="shared" si="186"/>
        <v>0</v>
      </c>
      <c r="R697" s="86">
        <f t="shared" si="187"/>
        <v>0</v>
      </c>
      <c r="S697" s="74">
        <f t="shared" si="188"/>
        <v>-1.0913936421275139E-11</v>
      </c>
      <c r="T697" s="112">
        <f t="shared" si="189"/>
        <v>-7.8397957597039649E-12</v>
      </c>
      <c r="U697" s="112">
        <f t="shared" si="190"/>
        <v>0</v>
      </c>
      <c r="V697" s="75">
        <f t="shared" si="191"/>
        <v>0</v>
      </c>
      <c r="W697" s="74"/>
      <c r="X697" s="75">
        <f t="shared" si="192"/>
        <v>0</v>
      </c>
      <c r="Y697" s="156">
        <f t="shared" si="193"/>
        <v>-3.6289065407398638E-14</v>
      </c>
      <c r="Z697" s="46"/>
      <c r="AA697" s="107">
        <f t="shared" si="175"/>
        <v>0</v>
      </c>
      <c r="AB697" s="46"/>
      <c r="AC697" s="46"/>
      <c r="AD697" s="46"/>
      <c r="AE697" s="46"/>
    </row>
    <row r="698" spans="1:31" x14ac:dyDescent="0.2">
      <c r="A698" s="73">
        <v>67</v>
      </c>
      <c r="B698" s="86">
        <f t="shared" si="194"/>
        <v>0</v>
      </c>
      <c r="C698" s="50">
        <f t="shared" si="176"/>
        <v>0</v>
      </c>
      <c r="D698" s="86">
        <f t="shared" si="177"/>
        <v>0</v>
      </c>
      <c r="E698" s="86">
        <f t="shared" si="178"/>
        <v>0</v>
      </c>
      <c r="F698" s="74">
        <f t="shared" si="179"/>
        <v>0</v>
      </c>
      <c r="G698" s="112">
        <f t="shared" si="180"/>
        <v>0</v>
      </c>
      <c r="H698" s="112">
        <f t="shared" si="181"/>
        <v>0</v>
      </c>
      <c r="I698" s="75">
        <f t="shared" si="182"/>
        <v>0</v>
      </c>
      <c r="J698" s="74"/>
      <c r="K698" s="75">
        <f t="shared" si="183"/>
        <v>0</v>
      </c>
      <c r="L698" s="156">
        <f t="shared" si="184"/>
        <v>0</v>
      </c>
      <c r="M698" s="157"/>
      <c r="N698" s="73">
        <v>67</v>
      </c>
      <c r="O698" s="86">
        <f t="shared" si="195"/>
        <v>-1.0913936421275139E-11</v>
      </c>
      <c r="P698" s="50">
        <f t="shared" si="185"/>
        <v>0</v>
      </c>
      <c r="Q698" s="86">
        <f t="shared" si="186"/>
        <v>0</v>
      </c>
      <c r="R698" s="86">
        <f t="shared" si="187"/>
        <v>0</v>
      </c>
      <c r="S698" s="74">
        <f t="shared" si="188"/>
        <v>-1.0913936421275139E-11</v>
      </c>
      <c r="T698" s="112">
        <f t="shared" si="189"/>
        <v>-7.8005967809054454E-12</v>
      </c>
      <c r="U698" s="112">
        <f t="shared" si="190"/>
        <v>0</v>
      </c>
      <c r="V698" s="75">
        <f t="shared" si="191"/>
        <v>0</v>
      </c>
      <c r="W698" s="74"/>
      <c r="X698" s="75">
        <f t="shared" si="192"/>
        <v>0</v>
      </c>
      <c r="Y698" s="156">
        <f t="shared" si="193"/>
        <v>-3.6289065407398638E-14</v>
      </c>
      <c r="Z698" s="46"/>
      <c r="AA698" s="107">
        <f t="shared" si="175"/>
        <v>0</v>
      </c>
      <c r="AB698" s="46"/>
      <c r="AC698" s="46"/>
      <c r="AD698" s="46"/>
      <c r="AE698" s="46"/>
    </row>
    <row r="699" spans="1:31" x14ac:dyDescent="0.2">
      <c r="A699" s="73">
        <v>68</v>
      </c>
      <c r="B699" s="86">
        <f t="shared" si="194"/>
        <v>0</v>
      </c>
      <c r="C699" s="50">
        <f t="shared" si="176"/>
        <v>0</v>
      </c>
      <c r="D699" s="86">
        <f t="shared" si="177"/>
        <v>0</v>
      </c>
      <c r="E699" s="86">
        <f t="shared" si="178"/>
        <v>0</v>
      </c>
      <c r="F699" s="74">
        <f t="shared" si="179"/>
        <v>0</v>
      </c>
      <c r="G699" s="112">
        <f t="shared" si="180"/>
        <v>0</v>
      </c>
      <c r="H699" s="112">
        <f t="shared" si="181"/>
        <v>0</v>
      </c>
      <c r="I699" s="75">
        <f t="shared" si="182"/>
        <v>0</v>
      </c>
      <c r="J699" s="74"/>
      <c r="K699" s="75">
        <f t="shared" si="183"/>
        <v>0</v>
      </c>
      <c r="L699" s="156">
        <f t="shared" si="184"/>
        <v>0</v>
      </c>
      <c r="M699" s="157"/>
      <c r="N699" s="73">
        <v>68</v>
      </c>
      <c r="O699" s="86">
        <f t="shared" si="195"/>
        <v>-1.0913936421275139E-11</v>
      </c>
      <c r="P699" s="50">
        <f t="shared" si="185"/>
        <v>0</v>
      </c>
      <c r="Q699" s="86">
        <f t="shared" si="186"/>
        <v>0</v>
      </c>
      <c r="R699" s="86">
        <f t="shared" si="187"/>
        <v>0</v>
      </c>
      <c r="S699" s="74">
        <f t="shared" si="188"/>
        <v>-1.0913936421275139E-11</v>
      </c>
      <c r="T699" s="112">
        <f t="shared" si="189"/>
        <v>-7.7615937970009194E-12</v>
      </c>
      <c r="U699" s="112">
        <f t="shared" si="190"/>
        <v>0</v>
      </c>
      <c r="V699" s="75">
        <f t="shared" si="191"/>
        <v>0</v>
      </c>
      <c r="W699" s="74"/>
      <c r="X699" s="75">
        <f t="shared" si="192"/>
        <v>0</v>
      </c>
      <c r="Y699" s="156">
        <f t="shared" si="193"/>
        <v>-3.6289065407398638E-14</v>
      </c>
      <c r="Z699" s="46"/>
      <c r="AA699" s="107">
        <f t="shared" si="175"/>
        <v>0</v>
      </c>
      <c r="AB699" s="46"/>
      <c r="AC699" s="46"/>
      <c r="AD699" s="46"/>
      <c r="AE699" s="46"/>
    </row>
    <row r="700" spans="1:31" x14ac:dyDescent="0.2">
      <c r="A700" s="73">
        <v>69</v>
      </c>
      <c r="B700" s="86">
        <f t="shared" si="194"/>
        <v>0</v>
      </c>
      <c r="C700" s="50">
        <f t="shared" si="176"/>
        <v>0</v>
      </c>
      <c r="D700" s="86">
        <f t="shared" si="177"/>
        <v>0</v>
      </c>
      <c r="E700" s="86">
        <f t="shared" si="178"/>
        <v>0</v>
      </c>
      <c r="F700" s="74">
        <f t="shared" si="179"/>
        <v>0</v>
      </c>
      <c r="G700" s="112">
        <f t="shared" si="180"/>
        <v>0</v>
      </c>
      <c r="H700" s="112">
        <f t="shared" si="181"/>
        <v>0</v>
      </c>
      <c r="I700" s="75">
        <f t="shared" si="182"/>
        <v>0</v>
      </c>
      <c r="J700" s="74"/>
      <c r="K700" s="75">
        <f t="shared" si="183"/>
        <v>0</v>
      </c>
      <c r="L700" s="156">
        <f t="shared" si="184"/>
        <v>0</v>
      </c>
      <c r="M700" s="157"/>
      <c r="N700" s="73">
        <v>69</v>
      </c>
      <c r="O700" s="86">
        <f t="shared" si="195"/>
        <v>-1.0913936421275139E-11</v>
      </c>
      <c r="P700" s="50">
        <f t="shared" si="185"/>
        <v>0</v>
      </c>
      <c r="Q700" s="86">
        <f t="shared" si="186"/>
        <v>0</v>
      </c>
      <c r="R700" s="86">
        <f t="shared" si="187"/>
        <v>0</v>
      </c>
      <c r="S700" s="74">
        <f t="shared" si="188"/>
        <v>-1.0913936421275139E-11</v>
      </c>
      <c r="T700" s="112">
        <f t="shared" si="189"/>
        <v>-7.7227858280159135E-12</v>
      </c>
      <c r="U700" s="112">
        <f t="shared" si="190"/>
        <v>0</v>
      </c>
      <c r="V700" s="75">
        <f t="shared" si="191"/>
        <v>0</v>
      </c>
      <c r="W700" s="74"/>
      <c r="X700" s="75">
        <f t="shared" si="192"/>
        <v>0</v>
      </c>
      <c r="Y700" s="156">
        <f t="shared" si="193"/>
        <v>-3.6289065407398638E-14</v>
      </c>
      <c r="Z700" s="46"/>
      <c r="AA700" s="107">
        <f t="shared" si="175"/>
        <v>0</v>
      </c>
      <c r="AB700" s="46"/>
      <c r="AC700" s="46"/>
      <c r="AD700" s="46"/>
      <c r="AE700" s="46"/>
    </row>
    <row r="701" spans="1:31" x14ac:dyDescent="0.2">
      <c r="A701" s="73">
        <v>70</v>
      </c>
      <c r="B701" s="86">
        <f t="shared" si="194"/>
        <v>0</v>
      </c>
      <c r="C701" s="50">
        <f t="shared" si="176"/>
        <v>0</v>
      </c>
      <c r="D701" s="86">
        <f t="shared" si="177"/>
        <v>0</v>
      </c>
      <c r="E701" s="86">
        <f t="shared" si="178"/>
        <v>0</v>
      </c>
      <c r="F701" s="74">
        <f t="shared" si="179"/>
        <v>0</v>
      </c>
      <c r="G701" s="112">
        <f t="shared" si="180"/>
        <v>0</v>
      </c>
      <c r="H701" s="112">
        <f t="shared" si="181"/>
        <v>0</v>
      </c>
      <c r="I701" s="75">
        <f t="shared" si="182"/>
        <v>0</v>
      </c>
      <c r="J701" s="74"/>
      <c r="K701" s="75">
        <f t="shared" si="183"/>
        <v>0</v>
      </c>
      <c r="L701" s="156">
        <f t="shared" si="184"/>
        <v>0</v>
      </c>
      <c r="M701" s="157"/>
      <c r="N701" s="73">
        <v>70</v>
      </c>
      <c r="O701" s="86">
        <f t="shared" si="195"/>
        <v>-1.0913936421275139E-11</v>
      </c>
      <c r="P701" s="50">
        <f t="shared" si="185"/>
        <v>0</v>
      </c>
      <c r="Q701" s="86">
        <f t="shared" si="186"/>
        <v>0</v>
      </c>
      <c r="R701" s="86">
        <f t="shared" si="187"/>
        <v>0</v>
      </c>
      <c r="S701" s="74">
        <f t="shared" si="188"/>
        <v>-1.0913936421275139E-11</v>
      </c>
      <c r="T701" s="112">
        <f t="shared" si="189"/>
        <v>-7.6841718988758347E-12</v>
      </c>
      <c r="U701" s="112">
        <f t="shared" si="190"/>
        <v>0</v>
      </c>
      <c r="V701" s="75">
        <f t="shared" si="191"/>
        <v>0</v>
      </c>
      <c r="W701" s="74"/>
      <c r="X701" s="75">
        <f t="shared" si="192"/>
        <v>0</v>
      </c>
      <c r="Y701" s="156">
        <f t="shared" si="193"/>
        <v>-3.6289065407398638E-14</v>
      </c>
      <c r="Z701" s="46"/>
      <c r="AA701" s="107">
        <f t="shared" si="175"/>
        <v>0</v>
      </c>
      <c r="AB701" s="46"/>
      <c r="AC701" s="46"/>
      <c r="AD701" s="46"/>
      <c r="AE701" s="46"/>
    </row>
    <row r="702" spans="1:31" x14ac:dyDescent="0.2">
      <c r="A702" s="73">
        <v>71</v>
      </c>
      <c r="B702" s="86">
        <f t="shared" si="194"/>
        <v>0</v>
      </c>
      <c r="C702" s="50">
        <f t="shared" si="176"/>
        <v>0</v>
      </c>
      <c r="D702" s="86">
        <f t="shared" si="177"/>
        <v>0</v>
      </c>
      <c r="E702" s="86">
        <f t="shared" si="178"/>
        <v>0</v>
      </c>
      <c r="F702" s="74">
        <f t="shared" si="179"/>
        <v>0</v>
      </c>
      <c r="G702" s="112">
        <f t="shared" si="180"/>
        <v>0</v>
      </c>
      <c r="H702" s="112">
        <f t="shared" si="181"/>
        <v>0</v>
      </c>
      <c r="I702" s="75">
        <f t="shared" si="182"/>
        <v>0</v>
      </c>
      <c r="J702" s="74"/>
      <c r="K702" s="75">
        <f t="shared" si="183"/>
        <v>0</v>
      </c>
      <c r="L702" s="156">
        <f t="shared" si="184"/>
        <v>0</v>
      </c>
      <c r="M702" s="157"/>
      <c r="N702" s="73">
        <v>71</v>
      </c>
      <c r="O702" s="86">
        <f t="shared" si="195"/>
        <v>-1.0913936421275139E-11</v>
      </c>
      <c r="P702" s="50">
        <f t="shared" si="185"/>
        <v>0</v>
      </c>
      <c r="Q702" s="86">
        <f t="shared" si="186"/>
        <v>0</v>
      </c>
      <c r="R702" s="86">
        <f t="shared" si="187"/>
        <v>0</v>
      </c>
      <c r="S702" s="74">
        <f t="shared" si="188"/>
        <v>-1.0913936421275139E-11</v>
      </c>
      <c r="T702" s="112">
        <f t="shared" si="189"/>
        <v>-7.6457510393814554E-12</v>
      </c>
      <c r="U702" s="112">
        <f t="shared" si="190"/>
        <v>0</v>
      </c>
      <c r="V702" s="75">
        <f t="shared" si="191"/>
        <v>0</v>
      </c>
      <c r="W702" s="74"/>
      <c r="X702" s="75">
        <f t="shared" si="192"/>
        <v>0</v>
      </c>
      <c r="Y702" s="156">
        <f t="shared" si="193"/>
        <v>-3.6289065407398638E-14</v>
      </c>
      <c r="Z702" s="46"/>
      <c r="AA702" s="107">
        <f t="shared" si="175"/>
        <v>0</v>
      </c>
      <c r="AB702" s="46"/>
      <c r="AC702" s="46"/>
      <c r="AD702" s="46"/>
      <c r="AE702" s="46"/>
    </row>
    <row r="703" spans="1:31" x14ac:dyDescent="0.2">
      <c r="A703" s="73">
        <v>72</v>
      </c>
      <c r="B703" s="86">
        <f t="shared" si="194"/>
        <v>0</v>
      </c>
      <c r="C703" s="50">
        <f t="shared" si="176"/>
        <v>0</v>
      </c>
      <c r="D703" s="86">
        <f t="shared" si="177"/>
        <v>0</v>
      </c>
      <c r="E703" s="86">
        <f t="shared" si="178"/>
        <v>0</v>
      </c>
      <c r="F703" s="74">
        <f t="shared" si="179"/>
        <v>0</v>
      </c>
      <c r="G703" s="112">
        <f t="shared" si="180"/>
        <v>0</v>
      </c>
      <c r="H703" s="112">
        <f t="shared" si="181"/>
        <v>0</v>
      </c>
      <c r="I703" s="75">
        <f t="shared" si="182"/>
        <v>0</v>
      </c>
      <c r="J703" s="74"/>
      <c r="K703" s="75">
        <f t="shared" si="183"/>
        <v>0</v>
      </c>
      <c r="L703" s="156">
        <f t="shared" si="184"/>
        <v>0</v>
      </c>
      <c r="M703" s="157"/>
      <c r="N703" s="73">
        <v>72</v>
      </c>
      <c r="O703" s="86">
        <f t="shared" si="195"/>
        <v>-1.0913936421275139E-11</v>
      </c>
      <c r="P703" s="50">
        <f t="shared" si="185"/>
        <v>0</v>
      </c>
      <c r="Q703" s="86">
        <f t="shared" si="186"/>
        <v>0</v>
      </c>
      <c r="R703" s="86">
        <f t="shared" si="187"/>
        <v>0</v>
      </c>
      <c r="S703" s="74">
        <f t="shared" si="188"/>
        <v>-1.0913936421275139E-11</v>
      </c>
      <c r="T703" s="112">
        <f t="shared" si="189"/>
        <v>-7.6075222841845486E-12</v>
      </c>
      <c r="U703" s="112">
        <f t="shared" si="190"/>
        <v>0</v>
      </c>
      <c r="V703" s="75">
        <f t="shared" si="191"/>
        <v>0</v>
      </c>
      <c r="W703" s="74"/>
      <c r="X703" s="75">
        <f t="shared" si="192"/>
        <v>0</v>
      </c>
      <c r="Y703" s="156">
        <f t="shared" si="193"/>
        <v>-3.6289065407398638E-14</v>
      </c>
      <c r="Z703" s="46"/>
      <c r="AA703" s="107">
        <f t="shared" si="175"/>
        <v>0</v>
      </c>
      <c r="AB703" s="46"/>
      <c r="AC703" s="46"/>
      <c r="AD703" s="46"/>
      <c r="AE703" s="46"/>
    </row>
    <row r="704" spans="1:31" x14ac:dyDescent="0.2">
      <c r="A704" s="73">
        <v>73</v>
      </c>
      <c r="B704" s="86">
        <f t="shared" si="194"/>
        <v>0</v>
      </c>
      <c r="C704" s="50">
        <f t="shared" si="176"/>
        <v>0</v>
      </c>
      <c r="D704" s="86">
        <f t="shared" si="177"/>
        <v>0</v>
      </c>
      <c r="E704" s="86">
        <f t="shared" si="178"/>
        <v>0</v>
      </c>
      <c r="F704" s="74">
        <f t="shared" si="179"/>
        <v>0</v>
      </c>
      <c r="G704" s="112">
        <f t="shared" si="180"/>
        <v>0</v>
      </c>
      <c r="H704" s="112">
        <f t="shared" si="181"/>
        <v>0</v>
      </c>
      <c r="I704" s="75">
        <f t="shared" si="182"/>
        <v>0</v>
      </c>
      <c r="J704" s="74"/>
      <c r="K704" s="75">
        <f t="shared" si="183"/>
        <v>0</v>
      </c>
      <c r="L704" s="156">
        <f t="shared" si="184"/>
        <v>0</v>
      </c>
      <c r="M704" s="157"/>
      <c r="N704" s="73">
        <v>73</v>
      </c>
      <c r="O704" s="86">
        <f t="shared" si="195"/>
        <v>-1.0913936421275139E-11</v>
      </c>
      <c r="P704" s="50">
        <f t="shared" si="185"/>
        <v>0</v>
      </c>
      <c r="Q704" s="86">
        <f t="shared" si="186"/>
        <v>0</v>
      </c>
      <c r="R704" s="86">
        <f t="shared" si="187"/>
        <v>0</v>
      </c>
      <c r="S704" s="74">
        <f t="shared" si="188"/>
        <v>-1.0913936421275139E-11</v>
      </c>
      <c r="T704" s="112">
        <f t="shared" si="189"/>
        <v>-7.5694846727636236E-12</v>
      </c>
      <c r="U704" s="112">
        <f t="shared" si="190"/>
        <v>0</v>
      </c>
      <c r="V704" s="75">
        <f t="shared" si="191"/>
        <v>0</v>
      </c>
      <c r="W704" s="74"/>
      <c r="X704" s="75">
        <f t="shared" si="192"/>
        <v>0</v>
      </c>
      <c r="Y704" s="156">
        <f t="shared" si="193"/>
        <v>-3.6289065407398638E-14</v>
      </c>
      <c r="Z704" s="46"/>
      <c r="AA704" s="107">
        <f t="shared" si="175"/>
        <v>0</v>
      </c>
      <c r="AB704" s="46"/>
      <c r="AC704" s="46"/>
      <c r="AD704" s="46"/>
      <c r="AE704" s="46"/>
    </row>
    <row r="705" spans="1:31" x14ac:dyDescent="0.2">
      <c r="A705" s="73">
        <v>74</v>
      </c>
      <c r="B705" s="86">
        <f t="shared" si="194"/>
        <v>0</v>
      </c>
      <c r="C705" s="50">
        <f t="shared" si="176"/>
        <v>0</v>
      </c>
      <c r="D705" s="86">
        <f t="shared" si="177"/>
        <v>0</v>
      </c>
      <c r="E705" s="86">
        <f t="shared" si="178"/>
        <v>0</v>
      </c>
      <c r="F705" s="74">
        <f t="shared" si="179"/>
        <v>0</v>
      </c>
      <c r="G705" s="112">
        <f t="shared" si="180"/>
        <v>0</v>
      </c>
      <c r="H705" s="112">
        <f t="shared" si="181"/>
        <v>0</v>
      </c>
      <c r="I705" s="75">
        <f t="shared" si="182"/>
        <v>0</v>
      </c>
      <c r="J705" s="74"/>
      <c r="K705" s="75">
        <f t="shared" si="183"/>
        <v>0</v>
      </c>
      <c r="L705" s="156">
        <f t="shared" si="184"/>
        <v>0</v>
      </c>
      <c r="M705" s="157"/>
      <c r="N705" s="73">
        <v>74</v>
      </c>
      <c r="O705" s="86">
        <f t="shared" si="195"/>
        <v>-1.0913936421275139E-11</v>
      </c>
      <c r="P705" s="50">
        <f t="shared" si="185"/>
        <v>0</v>
      </c>
      <c r="Q705" s="86">
        <f t="shared" si="186"/>
        <v>0</v>
      </c>
      <c r="R705" s="86">
        <f t="shared" si="187"/>
        <v>0</v>
      </c>
      <c r="S705" s="74">
        <f t="shared" si="188"/>
        <v>-1.0913936421275139E-11</v>
      </c>
      <c r="T705" s="112">
        <f t="shared" si="189"/>
        <v>-7.5316372493998082E-12</v>
      </c>
      <c r="U705" s="112">
        <f t="shared" si="190"/>
        <v>0</v>
      </c>
      <c r="V705" s="75">
        <f t="shared" si="191"/>
        <v>0</v>
      </c>
      <c r="W705" s="74"/>
      <c r="X705" s="75">
        <f t="shared" si="192"/>
        <v>0</v>
      </c>
      <c r="Y705" s="156">
        <f t="shared" si="193"/>
        <v>-3.6289065407398638E-14</v>
      </c>
      <c r="Z705" s="46"/>
      <c r="AA705" s="107">
        <f t="shared" si="175"/>
        <v>0</v>
      </c>
      <c r="AB705" s="46"/>
      <c r="AC705" s="46"/>
      <c r="AD705" s="46"/>
      <c r="AE705" s="46"/>
    </row>
    <row r="706" spans="1:31" x14ac:dyDescent="0.2">
      <c r="A706" s="73">
        <v>75</v>
      </c>
      <c r="B706" s="86">
        <f t="shared" si="194"/>
        <v>0</v>
      </c>
      <c r="C706" s="50">
        <f t="shared" si="176"/>
        <v>0</v>
      </c>
      <c r="D706" s="86">
        <f t="shared" si="177"/>
        <v>0</v>
      </c>
      <c r="E706" s="86">
        <f t="shared" si="178"/>
        <v>0</v>
      </c>
      <c r="F706" s="74">
        <f t="shared" si="179"/>
        <v>0</v>
      </c>
      <c r="G706" s="112">
        <f t="shared" si="180"/>
        <v>0</v>
      </c>
      <c r="H706" s="112">
        <f t="shared" si="181"/>
        <v>0</v>
      </c>
      <c r="I706" s="75">
        <f t="shared" si="182"/>
        <v>0</v>
      </c>
      <c r="J706" s="74"/>
      <c r="K706" s="75">
        <f t="shared" si="183"/>
        <v>0</v>
      </c>
      <c r="L706" s="156">
        <f t="shared" si="184"/>
        <v>0</v>
      </c>
      <c r="M706" s="157"/>
      <c r="N706" s="73">
        <v>75</v>
      </c>
      <c r="O706" s="86">
        <f t="shared" si="195"/>
        <v>-1.0913936421275139E-11</v>
      </c>
      <c r="P706" s="50">
        <f t="shared" si="185"/>
        <v>0</v>
      </c>
      <c r="Q706" s="86">
        <f t="shared" si="186"/>
        <v>0</v>
      </c>
      <c r="R706" s="86">
        <f t="shared" si="187"/>
        <v>0</v>
      </c>
      <c r="S706" s="74">
        <f t="shared" si="188"/>
        <v>-1.0913936421275139E-11</v>
      </c>
      <c r="T706" s="112">
        <f t="shared" si="189"/>
        <v>-7.4939790631528077E-12</v>
      </c>
      <c r="U706" s="112">
        <f t="shared" si="190"/>
        <v>0</v>
      </c>
      <c r="V706" s="75">
        <f t="shared" si="191"/>
        <v>0</v>
      </c>
      <c r="W706" s="74"/>
      <c r="X706" s="75">
        <f t="shared" si="192"/>
        <v>0</v>
      </c>
      <c r="Y706" s="156">
        <f t="shared" si="193"/>
        <v>-3.6289065407398638E-14</v>
      </c>
      <c r="Z706" s="46"/>
      <c r="AA706" s="107">
        <f t="shared" si="175"/>
        <v>0</v>
      </c>
      <c r="AB706" s="46"/>
      <c r="AC706" s="46"/>
      <c r="AD706" s="46"/>
      <c r="AE706" s="46"/>
    </row>
    <row r="707" spans="1:31" x14ac:dyDescent="0.2">
      <c r="A707" s="73">
        <v>76</v>
      </c>
      <c r="B707" s="86">
        <f t="shared" si="194"/>
        <v>0</v>
      </c>
      <c r="C707" s="50">
        <f t="shared" si="176"/>
        <v>0</v>
      </c>
      <c r="D707" s="86">
        <f t="shared" si="177"/>
        <v>0</v>
      </c>
      <c r="E707" s="86">
        <f t="shared" si="178"/>
        <v>0</v>
      </c>
      <c r="F707" s="74">
        <f t="shared" si="179"/>
        <v>0</v>
      </c>
      <c r="G707" s="112">
        <f t="shared" si="180"/>
        <v>0</v>
      </c>
      <c r="H707" s="112">
        <f t="shared" si="181"/>
        <v>0</v>
      </c>
      <c r="I707" s="75">
        <f t="shared" si="182"/>
        <v>0</v>
      </c>
      <c r="J707" s="74"/>
      <c r="K707" s="75">
        <f t="shared" si="183"/>
        <v>0</v>
      </c>
      <c r="L707" s="156">
        <f t="shared" si="184"/>
        <v>0</v>
      </c>
      <c r="M707" s="157"/>
      <c r="N707" s="73">
        <v>76</v>
      </c>
      <c r="O707" s="86">
        <f t="shared" si="195"/>
        <v>-1.0913936421275139E-11</v>
      </c>
      <c r="P707" s="50">
        <f t="shared" si="185"/>
        <v>0</v>
      </c>
      <c r="Q707" s="86">
        <f t="shared" si="186"/>
        <v>0</v>
      </c>
      <c r="R707" s="86">
        <f t="shared" si="187"/>
        <v>0</v>
      </c>
      <c r="S707" s="74">
        <f t="shared" si="188"/>
        <v>-1.0913936421275139E-11</v>
      </c>
      <c r="T707" s="112">
        <f t="shared" si="189"/>
        <v>-7.4565091678370437E-12</v>
      </c>
      <c r="U707" s="112">
        <f t="shared" si="190"/>
        <v>0</v>
      </c>
      <c r="V707" s="75">
        <f t="shared" si="191"/>
        <v>0</v>
      </c>
      <c r="W707" s="74"/>
      <c r="X707" s="75">
        <f t="shared" si="192"/>
        <v>0</v>
      </c>
      <c r="Y707" s="156">
        <f t="shared" si="193"/>
        <v>-3.6289065407398638E-14</v>
      </c>
      <c r="Z707" s="46"/>
      <c r="AA707" s="107">
        <f t="shared" si="175"/>
        <v>0</v>
      </c>
      <c r="AB707" s="46"/>
      <c r="AC707" s="46"/>
      <c r="AD707" s="46"/>
      <c r="AE707" s="46"/>
    </row>
    <row r="708" spans="1:31" x14ac:dyDescent="0.2">
      <c r="A708" s="73">
        <v>77</v>
      </c>
      <c r="B708" s="86">
        <f t="shared" si="194"/>
        <v>0</v>
      </c>
      <c r="C708" s="50">
        <f t="shared" si="176"/>
        <v>0</v>
      </c>
      <c r="D708" s="86">
        <f t="shared" si="177"/>
        <v>0</v>
      </c>
      <c r="E708" s="86">
        <f t="shared" si="178"/>
        <v>0</v>
      </c>
      <c r="F708" s="74">
        <f t="shared" si="179"/>
        <v>0</v>
      </c>
      <c r="G708" s="112">
        <f t="shared" si="180"/>
        <v>0</v>
      </c>
      <c r="H708" s="112">
        <f t="shared" si="181"/>
        <v>0</v>
      </c>
      <c r="I708" s="75">
        <f t="shared" si="182"/>
        <v>0</v>
      </c>
      <c r="J708" s="74"/>
      <c r="K708" s="75">
        <f t="shared" si="183"/>
        <v>0</v>
      </c>
      <c r="L708" s="156">
        <f t="shared" si="184"/>
        <v>0</v>
      </c>
      <c r="M708" s="157"/>
      <c r="N708" s="73">
        <v>77</v>
      </c>
      <c r="O708" s="86">
        <f t="shared" si="195"/>
        <v>-1.0913936421275139E-11</v>
      </c>
      <c r="P708" s="50">
        <f t="shared" si="185"/>
        <v>0</v>
      </c>
      <c r="Q708" s="86">
        <f t="shared" si="186"/>
        <v>0</v>
      </c>
      <c r="R708" s="86">
        <f t="shared" si="187"/>
        <v>0</v>
      </c>
      <c r="S708" s="74">
        <f t="shared" si="188"/>
        <v>-1.0913936421275139E-11</v>
      </c>
      <c r="T708" s="112">
        <f t="shared" si="189"/>
        <v>-7.4192266219978584E-12</v>
      </c>
      <c r="U708" s="112">
        <f t="shared" si="190"/>
        <v>0</v>
      </c>
      <c r="V708" s="75">
        <f t="shared" si="191"/>
        <v>0</v>
      </c>
      <c r="W708" s="74"/>
      <c r="X708" s="75">
        <f t="shared" si="192"/>
        <v>0</v>
      </c>
      <c r="Y708" s="156">
        <f t="shared" si="193"/>
        <v>-3.6289065407398638E-14</v>
      </c>
      <c r="Z708" s="46"/>
      <c r="AA708" s="107">
        <f t="shared" si="175"/>
        <v>0</v>
      </c>
      <c r="AB708" s="46"/>
      <c r="AC708" s="46"/>
      <c r="AD708" s="46"/>
      <c r="AE708" s="46"/>
    </row>
    <row r="709" spans="1:31" x14ac:dyDescent="0.2">
      <c r="A709" s="73">
        <v>78</v>
      </c>
      <c r="B709" s="86">
        <f t="shared" si="194"/>
        <v>0</v>
      </c>
      <c r="C709" s="50">
        <f t="shared" si="176"/>
        <v>0</v>
      </c>
      <c r="D709" s="86">
        <f t="shared" si="177"/>
        <v>0</v>
      </c>
      <c r="E709" s="86">
        <f t="shared" si="178"/>
        <v>0</v>
      </c>
      <c r="F709" s="74">
        <f t="shared" si="179"/>
        <v>0</v>
      </c>
      <c r="G709" s="112">
        <f t="shared" si="180"/>
        <v>0</v>
      </c>
      <c r="H709" s="112">
        <f t="shared" si="181"/>
        <v>0</v>
      </c>
      <c r="I709" s="75">
        <f t="shared" si="182"/>
        <v>0</v>
      </c>
      <c r="J709" s="74"/>
      <c r="K709" s="75">
        <f t="shared" si="183"/>
        <v>0</v>
      </c>
      <c r="L709" s="156">
        <f t="shared" si="184"/>
        <v>0</v>
      </c>
      <c r="M709" s="157"/>
      <c r="N709" s="73">
        <v>78</v>
      </c>
      <c r="O709" s="86">
        <f t="shared" si="195"/>
        <v>-1.0913936421275139E-11</v>
      </c>
      <c r="P709" s="50">
        <f t="shared" si="185"/>
        <v>0</v>
      </c>
      <c r="Q709" s="86">
        <f t="shared" si="186"/>
        <v>0</v>
      </c>
      <c r="R709" s="86">
        <f t="shared" si="187"/>
        <v>0</v>
      </c>
      <c r="S709" s="74">
        <f t="shared" si="188"/>
        <v>-1.0913936421275139E-11</v>
      </c>
      <c r="T709" s="112">
        <f t="shared" si="189"/>
        <v>-7.3821304888878706E-12</v>
      </c>
      <c r="U709" s="112">
        <f t="shared" si="190"/>
        <v>0</v>
      </c>
      <c r="V709" s="75">
        <f t="shared" si="191"/>
        <v>0</v>
      </c>
      <c r="W709" s="74"/>
      <c r="X709" s="75">
        <f t="shared" si="192"/>
        <v>0</v>
      </c>
      <c r="Y709" s="156">
        <f t="shared" si="193"/>
        <v>-3.6289065407398638E-14</v>
      </c>
      <c r="Z709" s="46"/>
      <c r="AA709" s="107">
        <f t="shared" si="175"/>
        <v>0</v>
      </c>
      <c r="AB709" s="46"/>
      <c r="AC709" s="46"/>
      <c r="AD709" s="46"/>
      <c r="AE709" s="46"/>
    </row>
    <row r="710" spans="1:31" x14ac:dyDescent="0.2">
      <c r="A710" s="73">
        <v>79</v>
      </c>
      <c r="B710" s="86">
        <f t="shared" si="194"/>
        <v>0</v>
      </c>
      <c r="C710" s="50">
        <f t="shared" si="176"/>
        <v>0</v>
      </c>
      <c r="D710" s="86">
        <f t="shared" si="177"/>
        <v>0</v>
      </c>
      <c r="E710" s="86">
        <f t="shared" si="178"/>
        <v>0</v>
      </c>
      <c r="F710" s="74">
        <f t="shared" si="179"/>
        <v>0</v>
      </c>
      <c r="G710" s="112">
        <f t="shared" si="180"/>
        <v>0</v>
      </c>
      <c r="H710" s="112">
        <f t="shared" si="181"/>
        <v>0</v>
      </c>
      <c r="I710" s="75">
        <f t="shared" si="182"/>
        <v>0</v>
      </c>
      <c r="J710" s="74"/>
      <c r="K710" s="75">
        <f t="shared" si="183"/>
        <v>0</v>
      </c>
      <c r="L710" s="156">
        <f t="shared" si="184"/>
        <v>0</v>
      </c>
      <c r="M710" s="157"/>
      <c r="N710" s="73">
        <v>79</v>
      </c>
      <c r="O710" s="86">
        <f t="shared" si="195"/>
        <v>-1.0913936421275139E-11</v>
      </c>
      <c r="P710" s="50">
        <f t="shared" si="185"/>
        <v>0</v>
      </c>
      <c r="Q710" s="86">
        <f t="shared" si="186"/>
        <v>0</v>
      </c>
      <c r="R710" s="86">
        <f t="shared" si="187"/>
        <v>0</v>
      </c>
      <c r="S710" s="74">
        <f t="shared" si="188"/>
        <v>-1.0913936421275139E-11</v>
      </c>
      <c r="T710" s="112">
        <f t="shared" si="189"/>
        <v>-7.3452198364434314E-12</v>
      </c>
      <c r="U710" s="112">
        <f t="shared" si="190"/>
        <v>0</v>
      </c>
      <c r="V710" s="75">
        <f t="shared" si="191"/>
        <v>0</v>
      </c>
      <c r="W710" s="74"/>
      <c r="X710" s="75">
        <f t="shared" si="192"/>
        <v>0</v>
      </c>
      <c r="Y710" s="156">
        <f t="shared" si="193"/>
        <v>-3.6289065407398638E-14</v>
      </c>
      <c r="Z710" s="46"/>
      <c r="AA710" s="107">
        <f t="shared" si="175"/>
        <v>0</v>
      </c>
      <c r="AB710" s="46"/>
      <c r="AC710" s="46"/>
      <c r="AD710" s="46"/>
      <c r="AE710" s="46"/>
    </row>
    <row r="711" spans="1:31" x14ac:dyDescent="0.2">
      <c r="A711" s="73">
        <v>80</v>
      </c>
      <c r="B711" s="86">
        <f t="shared" si="194"/>
        <v>0</v>
      </c>
      <c r="C711" s="50">
        <f t="shared" si="176"/>
        <v>0</v>
      </c>
      <c r="D711" s="86">
        <f t="shared" si="177"/>
        <v>0</v>
      </c>
      <c r="E711" s="86">
        <f t="shared" si="178"/>
        <v>0</v>
      </c>
      <c r="F711" s="74">
        <f t="shared" si="179"/>
        <v>0</v>
      </c>
      <c r="G711" s="112">
        <f t="shared" si="180"/>
        <v>0</v>
      </c>
      <c r="H711" s="112">
        <f t="shared" si="181"/>
        <v>0</v>
      </c>
      <c r="I711" s="75">
        <f t="shared" si="182"/>
        <v>0</v>
      </c>
      <c r="J711" s="74"/>
      <c r="K711" s="75">
        <f t="shared" si="183"/>
        <v>0</v>
      </c>
      <c r="L711" s="156">
        <f t="shared" si="184"/>
        <v>0</v>
      </c>
      <c r="M711" s="157"/>
      <c r="N711" s="73">
        <v>80</v>
      </c>
      <c r="O711" s="86">
        <f t="shared" si="195"/>
        <v>-1.0913936421275139E-11</v>
      </c>
      <c r="P711" s="50">
        <f t="shared" si="185"/>
        <v>0</v>
      </c>
      <c r="Q711" s="86">
        <f t="shared" si="186"/>
        <v>0</v>
      </c>
      <c r="R711" s="86">
        <f t="shared" si="187"/>
        <v>0</v>
      </c>
      <c r="S711" s="74">
        <f t="shared" si="188"/>
        <v>-1.0913936421275139E-11</v>
      </c>
      <c r="T711" s="112">
        <f t="shared" si="189"/>
        <v>-7.3084937372612132E-12</v>
      </c>
      <c r="U711" s="112">
        <f t="shared" si="190"/>
        <v>0</v>
      </c>
      <c r="V711" s="75">
        <f t="shared" si="191"/>
        <v>0</v>
      </c>
      <c r="W711" s="74"/>
      <c r="X711" s="75">
        <f t="shared" si="192"/>
        <v>0</v>
      </c>
      <c r="Y711" s="156">
        <f t="shared" si="193"/>
        <v>-3.6289065407398638E-14</v>
      </c>
      <c r="Z711" s="46"/>
      <c r="AA711" s="107">
        <f t="shared" si="175"/>
        <v>0</v>
      </c>
      <c r="AB711" s="46"/>
      <c r="AC711" s="46"/>
      <c r="AD711" s="46"/>
      <c r="AE711" s="46"/>
    </row>
    <row r="712" spans="1:31" x14ac:dyDescent="0.2">
      <c r="A712" s="73">
        <v>81</v>
      </c>
      <c r="B712" s="86">
        <f t="shared" si="194"/>
        <v>0</v>
      </c>
      <c r="C712" s="50">
        <f t="shared" si="176"/>
        <v>0</v>
      </c>
      <c r="D712" s="86">
        <f t="shared" si="177"/>
        <v>0</v>
      </c>
      <c r="E712" s="86">
        <f t="shared" si="178"/>
        <v>0</v>
      </c>
      <c r="F712" s="74">
        <f t="shared" si="179"/>
        <v>0</v>
      </c>
      <c r="G712" s="112">
        <f t="shared" si="180"/>
        <v>0</v>
      </c>
      <c r="H712" s="112">
        <f t="shared" si="181"/>
        <v>0</v>
      </c>
      <c r="I712" s="75">
        <f t="shared" si="182"/>
        <v>0</v>
      </c>
      <c r="J712" s="74"/>
      <c r="K712" s="75">
        <f t="shared" si="183"/>
        <v>0</v>
      </c>
      <c r="L712" s="156">
        <f t="shared" si="184"/>
        <v>0</v>
      </c>
      <c r="M712" s="157"/>
      <c r="N712" s="73">
        <v>81</v>
      </c>
      <c r="O712" s="86">
        <f t="shared" si="195"/>
        <v>-1.0913936421275139E-11</v>
      </c>
      <c r="P712" s="50">
        <f t="shared" si="185"/>
        <v>0</v>
      </c>
      <c r="Q712" s="86">
        <f t="shared" si="186"/>
        <v>0</v>
      </c>
      <c r="R712" s="86">
        <f t="shared" si="187"/>
        <v>0</v>
      </c>
      <c r="S712" s="74">
        <f t="shared" si="188"/>
        <v>-1.0913936421275139E-11</v>
      </c>
      <c r="T712" s="112">
        <f t="shared" si="189"/>
        <v>-7.2719512685749068E-12</v>
      </c>
      <c r="U712" s="112">
        <f t="shared" si="190"/>
        <v>0</v>
      </c>
      <c r="V712" s="75">
        <f t="shared" si="191"/>
        <v>0</v>
      </c>
      <c r="W712" s="74"/>
      <c r="X712" s="75">
        <f t="shared" si="192"/>
        <v>0</v>
      </c>
      <c r="Y712" s="156">
        <f t="shared" si="193"/>
        <v>-3.6289065407398638E-14</v>
      </c>
      <c r="Z712" s="46"/>
      <c r="AA712" s="107">
        <f t="shared" si="175"/>
        <v>0</v>
      </c>
      <c r="AB712" s="46"/>
      <c r="AC712" s="46"/>
      <c r="AD712" s="46"/>
      <c r="AE712" s="46"/>
    </row>
    <row r="713" spans="1:31" x14ac:dyDescent="0.2">
      <c r="A713" s="73">
        <v>82</v>
      </c>
      <c r="B713" s="86">
        <f t="shared" si="194"/>
        <v>0</v>
      </c>
      <c r="C713" s="50">
        <f t="shared" si="176"/>
        <v>0</v>
      </c>
      <c r="D713" s="86">
        <f t="shared" si="177"/>
        <v>0</v>
      </c>
      <c r="E713" s="86">
        <f t="shared" si="178"/>
        <v>0</v>
      </c>
      <c r="F713" s="74">
        <f t="shared" si="179"/>
        <v>0</v>
      </c>
      <c r="G713" s="112">
        <f t="shared" si="180"/>
        <v>0</v>
      </c>
      <c r="H713" s="112">
        <f t="shared" si="181"/>
        <v>0</v>
      </c>
      <c r="I713" s="75">
        <f t="shared" si="182"/>
        <v>0</v>
      </c>
      <c r="J713" s="74"/>
      <c r="K713" s="75">
        <f t="shared" si="183"/>
        <v>0</v>
      </c>
      <c r="L713" s="156">
        <f t="shared" si="184"/>
        <v>0</v>
      </c>
      <c r="M713" s="157"/>
      <c r="N713" s="73">
        <v>82</v>
      </c>
      <c r="O713" s="86">
        <f t="shared" si="195"/>
        <v>-1.0913936421275139E-11</v>
      </c>
      <c r="P713" s="50">
        <f t="shared" si="185"/>
        <v>0</v>
      </c>
      <c r="Q713" s="86">
        <f t="shared" si="186"/>
        <v>0</v>
      </c>
      <c r="R713" s="86">
        <f t="shared" si="187"/>
        <v>0</v>
      </c>
      <c r="S713" s="74">
        <f t="shared" si="188"/>
        <v>-1.0913936421275139E-11</v>
      </c>
      <c r="T713" s="112">
        <f t="shared" si="189"/>
        <v>-7.2355915122320338E-12</v>
      </c>
      <c r="U713" s="112">
        <f t="shared" si="190"/>
        <v>0</v>
      </c>
      <c r="V713" s="75">
        <f t="shared" si="191"/>
        <v>0</v>
      </c>
      <c r="W713" s="74"/>
      <c r="X713" s="75">
        <f t="shared" si="192"/>
        <v>0</v>
      </c>
      <c r="Y713" s="156">
        <f t="shared" si="193"/>
        <v>-3.6289065407398638E-14</v>
      </c>
      <c r="Z713" s="46"/>
      <c r="AA713" s="107">
        <f t="shared" si="175"/>
        <v>0</v>
      </c>
      <c r="AB713" s="46"/>
      <c r="AC713" s="46"/>
      <c r="AD713" s="46"/>
      <c r="AE713" s="46"/>
    </row>
    <row r="714" spans="1:31" x14ac:dyDescent="0.2">
      <c r="A714" s="73">
        <v>83</v>
      </c>
      <c r="B714" s="86">
        <f t="shared" si="194"/>
        <v>0</v>
      </c>
      <c r="C714" s="50">
        <f t="shared" si="176"/>
        <v>0</v>
      </c>
      <c r="D714" s="86">
        <f t="shared" si="177"/>
        <v>0</v>
      </c>
      <c r="E714" s="86">
        <f t="shared" si="178"/>
        <v>0</v>
      </c>
      <c r="F714" s="74">
        <f t="shared" si="179"/>
        <v>0</v>
      </c>
      <c r="G714" s="112">
        <f t="shared" si="180"/>
        <v>0</v>
      </c>
      <c r="H714" s="112">
        <f t="shared" si="181"/>
        <v>0</v>
      </c>
      <c r="I714" s="75">
        <f t="shared" si="182"/>
        <v>0</v>
      </c>
      <c r="J714" s="74"/>
      <c r="K714" s="75">
        <f t="shared" si="183"/>
        <v>0</v>
      </c>
      <c r="L714" s="156">
        <f t="shared" si="184"/>
        <v>0</v>
      </c>
      <c r="M714" s="157"/>
      <c r="N714" s="73">
        <v>83</v>
      </c>
      <c r="O714" s="86">
        <f t="shared" si="195"/>
        <v>-1.0913936421275139E-11</v>
      </c>
      <c r="P714" s="50">
        <f t="shared" si="185"/>
        <v>0</v>
      </c>
      <c r="Q714" s="86">
        <f t="shared" si="186"/>
        <v>0</v>
      </c>
      <c r="R714" s="86">
        <f t="shared" si="187"/>
        <v>0</v>
      </c>
      <c r="S714" s="74">
        <f t="shared" si="188"/>
        <v>-1.0913936421275139E-11</v>
      </c>
      <c r="T714" s="112">
        <f t="shared" si="189"/>
        <v>-7.1994135546708732E-12</v>
      </c>
      <c r="U714" s="112">
        <f t="shared" si="190"/>
        <v>0</v>
      </c>
      <c r="V714" s="75">
        <f t="shared" si="191"/>
        <v>0</v>
      </c>
      <c r="W714" s="74"/>
      <c r="X714" s="75">
        <f t="shared" si="192"/>
        <v>0</v>
      </c>
      <c r="Y714" s="156">
        <f t="shared" si="193"/>
        <v>-3.6289065407398638E-14</v>
      </c>
      <c r="Z714" s="46"/>
      <c r="AA714" s="107">
        <f t="shared" si="175"/>
        <v>0</v>
      </c>
      <c r="AB714" s="46"/>
      <c r="AC714" s="46"/>
      <c r="AD714" s="46"/>
      <c r="AE714" s="46"/>
    </row>
    <row r="715" spans="1:31" x14ac:dyDescent="0.2">
      <c r="A715" s="73">
        <v>84</v>
      </c>
      <c r="B715" s="86">
        <f t="shared" si="194"/>
        <v>0</v>
      </c>
      <c r="C715" s="50">
        <f t="shared" si="176"/>
        <v>0</v>
      </c>
      <c r="D715" s="86">
        <f t="shared" si="177"/>
        <v>0</v>
      </c>
      <c r="E715" s="86">
        <f t="shared" si="178"/>
        <v>0</v>
      </c>
      <c r="F715" s="74">
        <f t="shared" si="179"/>
        <v>0</v>
      </c>
      <c r="G715" s="112">
        <f t="shared" si="180"/>
        <v>0</v>
      </c>
      <c r="H715" s="112">
        <f t="shared" si="181"/>
        <v>0</v>
      </c>
      <c r="I715" s="75">
        <f t="shared" si="182"/>
        <v>0</v>
      </c>
      <c r="J715" s="74"/>
      <c r="K715" s="75">
        <f t="shared" si="183"/>
        <v>0</v>
      </c>
      <c r="L715" s="156">
        <f t="shared" si="184"/>
        <v>0</v>
      </c>
      <c r="M715" s="157"/>
      <c r="N715" s="73">
        <v>84</v>
      </c>
      <c r="O715" s="86">
        <f t="shared" si="195"/>
        <v>-1.0913936421275139E-11</v>
      </c>
      <c r="P715" s="50">
        <f t="shared" si="185"/>
        <v>0</v>
      </c>
      <c r="Q715" s="86">
        <f t="shared" si="186"/>
        <v>0</v>
      </c>
      <c r="R715" s="86">
        <f t="shared" si="187"/>
        <v>0</v>
      </c>
      <c r="S715" s="74">
        <f t="shared" si="188"/>
        <v>-1.0913936421275139E-11</v>
      </c>
      <c r="T715" s="112">
        <f t="shared" si="189"/>
        <v>-7.1634164868975178E-12</v>
      </c>
      <c r="U715" s="112">
        <f t="shared" si="190"/>
        <v>0</v>
      </c>
      <c r="V715" s="75">
        <f t="shared" si="191"/>
        <v>0</v>
      </c>
      <c r="W715" s="74"/>
      <c r="X715" s="75">
        <f t="shared" si="192"/>
        <v>0</v>
      </c>
      <c r="Y715" s="156">
        <f t="shared" si="193"/>
        <v>-3.6289065407398638E-14</v>
      </c>
      <c r="Z715" s="46"/>
      <c r="AA715" s="107">
        <f t="shared" si="175"/>
        <v>0</v>
      </c>
      <c r="AB715" s="46"/>
      <c r="AC715" s="46"/>
      <c r="AD715" s="46"/>
      <c r="AE715" s="46"/>
    </row>
    <row r="716" spans="1:31" x14ac:dyDescent="0.2">
      <c r="A716" s="73">
        <v>85</v>
      </c>
      <c r="B716" s="86">
        <f t="shared" si="194"/>
        <v>0</v>
      </c>
      <c r="C716" s="50">
        <f t="shared" si="176"/>
        <v>0</v>
      </c>
      <c r="D716" s="86">
        <f t="shared" si="177"/>
        <v>0</v>
      </c>
      <c r="E716" s="86">
        <f t="shared" si="178"/>
        <v>0</v>
      </c>
      <c r="F716" s="74">
        <f t="shared" si="179"/>
        <v>0</v>
      </c>
      <c r="G716" s="112">
        <f t="shared" si="180"/>
        <v>0</v>
      </c>
      <c r="H716" s="112">
        <f t="shared" si="181"/>
        <v>0</v>
      </c>
      <c r="I716" s="75">
        <f t="shared" si="182"/>
        <v>0</v>
      </c>
      <c r="J716" s="74"/>
      <c r="K716" s="75">
        <f t="shared" si="183"/>
        <v>0</v>
      </c>
      <c r="L716" s="156">
        <f t="shared" si="184"/>
        <v>0</v>
      </c>
      <c r="M716" s="157"/>
      <c r="N716" s="73">
        <v>85</v>
      </c>
      <c r="O716" s="86">
        <f t="shared" si="195"/>
        <v>-1.0913936421275139E-11</v>
      </c>
      <c r="P716" s="50">
        <f t="shared" si="185"/>
        <v>0</v>
      </c>
      <c r="Q716" s="86">
        <f t="shared" si="186"/>
        <v>0</v>
      </c>
      <c r="R716" s="86">
        <f t="shared" si="187"/>
        <v>0</v>
      </c>
      <c r="S716" s="74">
        <f t="shared" si="188"/>
        <v>-1.0913936421275139E-11</v>
      </c>
      <c r="T716" s="112">
        <f t="shared" si="189"/>
        <v>-7.1275994044630313E-12</v>
      </c>
      <c r="U716" s="112">
        <f t="shared" si="190"/>
        <v>0</v>
      </c>
      <c r="V716" s="75">
        <f t="shared" si="191"/>
        <v>0</v>
      </c>
      <c r="W716" s="74"/>
      <c r="X716" s="75">
        <f t="shared" si="192"/>
        <v>0</v>
      </c>
      <c r="Y716" s="156">
        <f t="shared" si="193"/>
        <v>-3.6289065407398638E-14</v>
      </c>
      <c r="Z716" s="46"/>
      <c r="AA716" s="107">
        <f t="shared" si="175"/>
        <v>0</v>
      </c>
      <c r="AB716" s="46"/>
      <c r="AC716" s="46"/>
      <c r="AD716" s="46"/>
      <c r="AE716" s="46"/>
    </row>
    <row r="717" spans="1:31" x14ac:dyDescent="0.2">
      <c r="A717" s="73">
        <v>86</v>
      </c>
      <c r="B717" s="86">
        <f t="shared" si="194"/>
        <v>0</v>
      </c>
      <c r="C717" s="50">
        <f t="shared" si="176"/>
        <v>0</v>
      </c>
      <c r="D717" s="86">
        <f t="shared" si="177"/>
        <v>0</v>
      </c>
      <c r="E717" s="86">
        <f t="shared" si="178"/>
        <v>0</v>
      </c>
      <c r="F717" s="74">
        <f t="shared" si="179"/>
        <v>0</v>
      </c>
      <c r="G717" s="112">
        <f t="shared" si="180"/>
        <v>0</v>
      </c>
      <c r="H717" s="112">
        <f t="shared" si="181"/>
        <v>0</v>
      </c>
      <c r="I717" s="75">
        <f t="shared" si="182"/>
        <v>0</v>
      </c>
      <c r="J717" s="74"/>
      <c r="K717" s="75">
        <f t="shared" si="183"/>
        <v>0</v>
      </c>
      <c r="L717" s="156">
        <f t="shared" si="184"/>
        <v>0</v>
      </c>
      <c r="M717" s="157"/>
      <c r="N717" s="73">
        <v>86</v>
      </c>
      <c r="O717" s="86">
        <f t="shared" si="195"/>
        <v>-1.0913936421275139E-11</v>
      </c>
      <c r="P717" s="50">
        <f t="shared" si="185"/>
        <v>0</v>
      </c>
      <c r="Q717" s="86">
        <f t="shared" si="186"/>
        <v>0</v>
      </c>
      <c r="R717" s="86">
        <f t="shared" si="187"/>
        <v>0</v>
      </c>
      <c r="S717" s="74">
        <f t="shared" si="188"/>
        <v>-1.0913936421275139E-11</v>
      </c>
      <c r="T717" s="112">
        <f t="shared" si="189"/>
        <v>-7.0919614074407162E-12</v>
      </c>
      <c r="U717" s="112">
        <f t="shared" si="190"/>
        <v>0</v>
      </c>
      <c r="V717" s="75">
        <f t="shared" si="191"/>
        <v>0</v>
      </c>
      <c r="W717" s="74"/>
      <c r="X717" s="75">
        <f t="shared" si="192"/>
        <v>0</v>
      </c>
      <c r="Y717" s="156">
        <f t="shared" si="193"/>
        <v>-3.6289065407398638E-14</v>
      </c>
      <c r="Z717" s="46"/>
      <c r="AA717" s="107">
        <f t="shared" si="175"/>
        <v>0</v>
      </c>
      <c r="AB717" s="46"/>
      <c r="AC717" s="46"/>
      <c r="AD717" s="46"/>
      <c r="AE717" s="46"/>
    </row>
    <row r="718" spans="1:31" x14ac:dyDescent="0.2">
      <c r="A718" s="73">
        <v>87</v>
      </c>
      <c r="B718" s="86">
        <f t="shared" si="194"/>
        <v>0</v>
      </c>
      <c r="C718" s="50">
        <f t="shared" si="176"/>
        <v>0</v>
      </c>
      <c r="D718" s="86">
        <f t="shared" si="177"/>
        <v>0</v>
      </c>
      <c r="E718" s="86">
        <f t="shared" si="178"/>
        <v>0</v>
      </c>
      <c r="F718" s="74">
        <f t="shared" si="179"/>
        <v>0</v>
      </c>
      <c r="G718" s="112">
        <f t="shared" si="180"/>
        <v>0</v>
      </c>
      <c r="H718" s="112">
        <f t="shared" si="181"/>
        <v>0</v>
      </c>
      <c r="I718" s="75">
        <f t="shared" si="182"/>
        <v>0</v>
      </c>
      <c r="J718" s="74"/>
      <c r="K718" s="75">
        <f t="shared" si="183"/>
        <v>0</v>
      </c>
      <c r="L718" s="156">
        <f t="shared" si="184"/>
        <v>0</v>
      </c>
      <c r="M718" s="157"/>
      <c r="N718" s="73">
        <v>87</v>
      </c>
      <c r="O718" s="86">
        <f t="shared" si="195"/>
        <v>-1.0913936421275139E-11</v>
      </c>
      <c r="P718" s="50">
        <f t="shared" si="185"/>
        <v>0</v>
      </c>
      <c r="Q718" s="86">
        <f t="shared" si="186"/>
        <v>0</v>
      </c>
      <c r="R718" s="86">
        <f t="shared" si="187"/>
        <v>0</v>
      </c>
      <c r="S718" s="74">
        <f t="shared" si="188"/>
        <v>-1.0913936421275139E-11</v>
      </c>
      <c r="T718" s="112">
        <f t="shared" si="189"/>
        <v>-7.0565016004035125E-12</v>
      </c>
      <c r="U718" s="112">
        <f t="shared" si="190"/>
        <v>0</v>
      </c>
      <c r="V718" s="75">
        <f t="shared" si="191"/>
        <v>0</v>
      </c>
      <c r="W718" s="74"/>
      <c r="X718" s="75">
        <f t="shared" si="192"/>
        <v>0</v>
      </c>
      <c r="Y718" s="156">
        <f t="shared" si="193"/>
        <v>-3.6289065407398638E-14</v>
      </c>
      <c r="Z718" s="46"/>
      <c r="AA718" s="107">
        <f t="shared" si="175"/>
        <v>0</v>
      </c>
      <c r="AB718" s="46"/>
      <c r="AC718" s="46"/>
      <c r="AD718" s="46"/>
      <c r="AE718" s="46"/>
    </row>
    <row r="719" spans="1:31" x14ac:dyDescent="0.2">
      <c r="A719" s="73">
        <v>88</v>
      </c>
      <c r="B719" s="86">
        <f t="shared" si="194"/>
        <v>0</v>
      </c>
      <c r="C719" s="50">
        <f t="shared" si="176"/>
        <v>0</v>
      </c>
      <c r="D719" s="86">
        <f t="shared" si="177"/>
        <v>0</v>
      </c>
      <c r="E719" s="86">
        <f t="shared" si="178"/>
        <v>0</v>
      </c>
      <c r="F719" s="74">
        <f t="shared" si="179"/>
        <v>0</v>
      </c>
      <c r="G719" s="112">
        <f t="shared" si="180"/>
        <v>0</v>
      </c>
      <c r="H719" s="112">
        <f t="shared" si="181"/>
        <v>0</v>
      </c>
      <c r="I719" s="75">
        <f t="shared" si="182"/>
        <v>0</v>
      </c>
      <c r="J719" s="74"/>
      <c r="K719" s="75">
        <f t="shared" si="183"/>
        <v>0</v>
      </c>
      <c r="L719" s="156">
        <f t="shared" si="184"/>
        <v>0</v>
      </c>
      <c r="M719" s="157"/>
      <c r="N719" s="73">
        <v>88</v>
      </c>
      <c r="O719" s="86">
        <f t="shared" si="195"/>
        <v>-1.0913936421275139E-11</v>
      </c>
      <c r="P719" s="50">
        <f t="shared" si="185"/>
        <v>0</v>
      </c>
      <c r="Q719" s="86">
        <f t="shared" si="186"/>
        <v>0</v>
      </c>
      <c r="R719" s="86">
        <f t="shared" si="187"/>
        <v>0</v>
      </c>
      <c r="S719" s="74">
        <f t="shared" si="188"/>
        <v>-1.0913936421275139E-11</v>
      </c>
      <c r="T719" s="112">
        <f t="shared" si="189"/>
        <v>-7.0212190924014944E-12</v>
      </c>
      <c r="U719" s="112">
        <f t="shared" si="190"/>
        <v>0</v>
      </c>
      <c r="V719" s="75">
        <f t="shared" si="191"/>
        <v>0</v>
      </c>
      <c r="W719" s="74"/>
      <c r="X719" s="75">
        <f t="shared" si="192"/>
        <v>0</v>
      </c>
      <c r="Y719" s="156">
        <f t="shared" si="193"/>
        <v>-3.6289065407398638E-14</v>
      </c>
      <c r="Z719" s="46"/>
      <c r="AA719" s="107">
        <f t="shared" si="175"/>
        <v>0</v>
      </c>
      <c r="AB719" s="46"/>
      <c r="AC719" s="46"/>
      <c r="AD719" s="46"/>
      <c r="AE719" s="46"/>
    </row>
    <row r="720" spans="1:31" x14ac:dyDescent="0.2">
      <c r="A720" s="73">
        <v>89</v>
      </c>
      <c r="B720" s="86">
        <f t="shared" si="194"/>
        <v>0</v>
      </c>
      <c r="C720" s="50">
        <f t="shared" si="176"/>
        <v>0</v>
      </c>
      <c r="D720" s="86">
        <f t="shared" si="177"/>
        <v>0</v>
      </c>
      <c r="E720" s="86">
        <f t="shared" si="178"/>
        <v>0</v>
      </c>
      <c r="F720" s="74">
        <f t="shared" si="179"/>
        <v>0</v>
      </c>
      <c r="G720" s="112">
        <f t="shared" si="180"/>
        <v>0</v>
      </c>
      <c r="H720" s="112">
        <f t="shared" si="181"/>
        <v>0</v>
      </c>
      <c r="I720" s="75">
        <f t="shared" si="182"/>
        <v>0</v>
      </c>
      <c r="J720" s="74"/>
      <c r="K720" s="75">
        <f t="shared" si="183"/>
        <v>0</v>
      </c>
      <c r="L720" s="156">
        <f t="shared" si="184"/>
        <v>0</v>
      </c>
      <c r="M720" s="157"/>
      <c r="N720" s="73">
        <v>89</v>
      </c>
      <c r="O720" s="86">
        <f t="shared" si="195"/>
        <v>-1.0913936421275139E-11</v>
      </c>
      <c r="P720" s="50">
        <f t="shared" si="185"/>
        <v>0</v>
      </c>
      <c r="Q720" s="86">
        <f t="shared" si="186"/>
        <v>0</v>
      </c>
      <c r="R720" s="86">
        <f t="shared" si="187"/>
        <v>0</v>
      </c>
      <c r="S720" s="74">
        <f t="shared" si="188"/>
        <v>-1.0913936421275139E-11</v>
      </c>
      <c r="T720" s="112">
        <f t="shared" si="189"/>
        <v>-6.9861129969394868E-12</v>
      </c>
      <c r="U720" s="112">
        <f t="shared" si="190"/>
        <v>0</v>
      </c>
      <c r="V720" s="75">
        <f t="shared" si="191"/>
        <v>0</v>
      </c>
      <c r="W720" s="74"/>
      <c r="X720" s="75">
        <f t="shared" si="192"/>
        <v>0</v>
      </c>
      <c r="Y720" s="156">
        <f t="shared" si="193"/>
        <v>-3.6289065407398638E-14</v>
      </c>
      <c r="Z720" s="46"/>
      <c r="AA720" s="107">
        <f t="shared" si="175"/>
        <v>0</v>
      </c>
      <c r="AB720" s="46"/>
      <c r="AC720" s="46"/>
      <c r="AD720" s="46"/>
      <c r="AE720" s="46"/>
    </row>
    <row r="721" spans="1:31" x14ac:dyDescent="0.2">
      <c r="A721" s="73">
        <v>90</v>
      </c>
      <c r="B721" s="86">
        <f t="shared" si="194"/>
        <v>0</v>
      </c>
      <c r="C721" s="50">
        <f t="shared" si="176"/>
        <v>0</v>
      </c>
      <c r="D721" s="86">
        <f t="shared" si="177"/>
        <v>0</v>
      </c>
      <c r="E721" s="86">
        <f t="shared" si="178"/>
        <v>0</v>
      </c>
      <c r="F721" s="74">
        <f t="shared" si="179"/>
        <v>0</v>
      </c>
      <c r="G721" s="112">
        <f t="shared" si="180"/>
        <v>0</v>
      </c>
      <c r="H721" s="112">
        <f t="shared" si="181"/>
        <v>0</v>
      </c>
      <c r="I721" s="75">
        <f t="shared" si="182"/>
        <v>0</v>
      </c>
      <c r="J721" s="74"/>
      <c r="K721" s="75">
        <f t="shared" si="183"/>
        <v>0</v>
      </c>
      <c r="L721" s="156">
        <f t="shared" si="184"/>
        <v>0</v>
      </c>
      <c r="M721" s="157"/>
      <c r="N721" s="73">
        <v>90</v>
      </c>
      <c r="O721" s="86">
        <f t="shared" si="195"/>
        <v>-1.0913936421275139E-11</v>
      </c>
      <c r="P721" s="50">
        <f t="shared" si="185"/>
        <v>0</v>
      </c>
      <c r="Q721" s="86">
        <f t="shared" si="186"/>
        <v>0</v>
      </c>
      <c r="R721" s="86">
        <f t="shared" si="187"/>
        <v>0</v>
      </c>
      <c r="S721" s="74">
        <f t="shared" si="188"/>
        <v>-1.0913936421275139E-11</v>
      </c>
      <c r="T721" s="112">
        <f t="shared" si="189"/>
        <v>-6.9511824319547901E-12</v>
      </c>
      <c r="U721" s="112">
        <f t="shared" si="190"/>
        <v>0</v>
      </c>
      <c r="V721" s="75">
        <f t="shared" si="191"/>
        <v>0</v>
      </c>
      <c r="W721" s="74"/>
      <c r="X721" s="75">
        <f t="shared" si="192"/>
        <v>0</v>
      </c>
      <c r="Y721" s="156">
        <f t="shared" si="193"/>
        <v>-3.6289065407398638E-14</v>
      </c>
      <c r="Z721" s="46"/>
      <c r="AA721" s="107">
        <f t="shared" si="175"/>
        <v>0</v>
      </c>
      <c r="AB721" s="46"/>
      <c r="AC721" s="46"/>
      <c r="AD721" s="46"/>
      <c r="AE721" s="46"/>
    </row>
    <row r="722" spans="1:31" x14ac:dyDescent="0.2">
      <c r="A722" s="73">
        <v>91</v>
      </c>
      <c r="B722" s="86">
        <f t="shared" si="194"/>
        <v>0</v>
      </c>
      <c r="C722" s="50">
        <f t="shared" si="176"/>
        <v>0</v>
      </c>
      <c r="D722" s="86">
        <f t="shared" si="177"/>
        <v>0</v>
      </c>
      <c r="E722" s="86">
        <f t="shared" si="178"/>
        <v>0</v>
      </c>
      <c r="F722" s="74">
        <f t="shared" si="179"/>
        <v>0</v>
      </c>
      <c r="G722" s="112">
        <f t="shared" si="180"/>
        <v>0</v>
      </c>
      <c r="H722" s="112">
        <f t="shared" si="181"/>
        <v>0</v>
      </c>
      <c r="I722" s="75">
        <f t="shared" si="182"/>
        <v>0</v>
      </c>
      <c r="J722" s="74"/>
      <c r="K722" s="75">
        <f t="shared" si="183"/>
        <v>0</v>
      </c>
      <c r="L722" s="156">
        <f t="shared" si="184"/>
        <v>0</v>
      </c>
      <c r="M722" s="157"/>
      <c r="N722" s="73">
        <v>91</v>
      </c>
      <c r="O722" s="86">
        <f t="shared" si="195"/>
        <v>-1.0913936421275139E-11</v>
      </c>
      <c r="P722" s="50">
        <f t="shared" si="185"/>
        <v>0</v>
      </c>
      <c r="Q722" s="86">
        <f t="shared" si="186"/>
        <v>0</v>
      </c>
      <c r="R722" s="86">
        <f t="shared" si="187"/>
        <v>0</v>
      </c>
      <c r="S722" s="74">
        <f t="shared" si="188"/>
        <v>-1.0913936421275139E-11</v>
      </c>
      <c r="T722" s="112">
        <f t="shared" si="189"/>
        <v>-6.9164265197950151E-12</v>
      </c>
      <c r="U722" s="112">
        <f t="shared" si="190"/>
        <v>0</v>
      </c>
      <c r="V722" s="75">
        <f t="shared" si="191"/>
        <v>0</v>
      </c>
      <c r="W722" s="74"/>
      <c r="X722" s="75">
        <f t="shared" si="192"/>
        <v>0</v>
      </c>
      <c r="Y722" s="156">
        <f t="shared" si="193"/>
        <v>-3.6289065407398638E-14</v>
      </c>
      <c r="Z722" s="46"/>
      <c r="AA722" s="107">
        <f t="shared" si="175"/>
        <v>0</v>
      </c>
      <c r="AB722" s="46"/>
      <c r="AC722" s="46"/>
      <c r="AD722" s="46"/>
      <c r="AE722" s="46"/>
    </row>
    <row r="723" spans="1:31" x14ac:dyDescent="0.2">
      <c r="A723" s="73">
        <v>92</v>
      </c>
      <c r="B723" s="86">
        <f t="shared" si="194"/>
        <v>0</v>
      </c>
      <c r="C723" s="50">
        <f t="shared" si="176"/>
        <v>0</v>
      </c>
      <c r="D723" s="86">
        <f t="shared" si="177"/>
        <v>0</v>
      </c>
      <c r="E723" s="86">
        <f t="shared" si="178"/>
        <v>0</v>
      </c>
      <c r="F723" s="74">
        <f t="shared" si="179"/>
        <v>0</v>
      </c>
      <c r="G723" s="112">
        <f t="shared" si="180"/>
        <v>0</v>
      </c>
      <c r="H723" s="112">
        <f t="shared" si="181"/>
        <v>0</v>
      </c>
      <c r="I723" s="75">
        <f t="shared" si="182"/>
        <v>0</v>
      </c>
      <c r="J723" s="74"/>
      <c r="K723" s="75">
        <f t="shared" si="183"/>
        <v>0</v>
      </c>
      <c r="L723" s="156">
        <f t="shared" si="184"/>
        <v>0</v>
      </c>
      <c r="M723" s="157"/>
      <c r="N723" s="73">
        <v>92</v>
      </c>
      <c r="O723" s="86">
        <f t="shared" si="195"/>
        <v>-1.0913936421275139E-11</v>
      </c>
      <c r="P723" s="50">
        <f t="shared" si="185"/>
        <v>0</v>
      </c>
      <c r="Q723" s="86">
        <f t="shared" si="186"/>
        <v>0</v>
      </c>
      <c r="R723" s="86">
        <f t="shared" si="187"/>
        <v>0</v>
      </c>
      <c r="S723" s="74">
        <f t="shared" si="188"/>
        <v>-1.0913936421275139E-11</v>
      </c>
      <c r="T723" s="112">
        <f t="shared" si="189"/>
        <v>-6.881844387196042E-12</v>
      </c>
      <c r="U723" s="112">
        <f t="shared" si="190"/>
        <v>0</v>
      </c>
      <c r="V723" s="75">
        <f t="shared" si="191"/>
        <v>0</v>
      </c>
      <c r="W723" s="74"/>
      <c r="X723" s="75">
        <f t="shared" si="192"/>
        <v>0</v>
      </c>
      <c r="Y723" s="156">
        <f t="shared" si="193"/>
        <v>-3.6289065407398638E-14</v>
      </c>
      <c r="Z723" s="46"/>
      <c r="AA723" s="107">
        <f t="shared" si="175"/>
        <v>0</v>
      </c>
      <c r="AB723" s="46"/>
      <c r="AC723" s="46"/>
      <c r="AD723" s="46"/>
      <c r="AE723" s="46"/>
    </row>
    <row r="724" spans="1:31" x14ac:dyDescent="0.2">
      <c r="A724" s="73">
        <v>93</v>
      </c>
      <c r="B724" s="86">
        <f t="shared" si="194"/>
        <v>0</v>
      </c>
      <c r="C724" s="50">
        <f t="shared" si="176"/>
        <v>0</v>
      </c>
      <c r="D724" s="86">
        <f t="shared" si="177"/>
        <v>0</v>
      </c>
      <c r="E724" s="86">
        <f t="shared" si="178"/>
        <v>0</v>
      </c>
      <c r="F724" s="74">
        <f t="shared" si="179"/>
        <v>0</v>
      </c>
      <c r="G724" s="112">
        <f t="shared" si="180"/>
        <v>0</v>
      </c>
      <c r="H724" s="112">
        <f t="shared" si="181"/>
        <v>0</v>
      </c>
      <c r="I724" s="75">
        <f t="shared" si="182"/>
        <v>0</v>
      </c>
      <c r="J724" s="74"/>
      <c r="K724" s="75">
        <f t="shared" si="183"/>
        <v>0</v>
      </c>
      <c r="L724" s="156">
        <f t="shared" si="184"/>
        <v>0</v>
      </c>
      <c r="M724" s="157"/>
      <c r="N724" s="73">
        <v>93</v>
      </c>
      <c r="O724" s="86">
        <f t="shared" si="195"/>
        <v>-1.0913936421275139E-11</v>
      </c>
      <c r="P724" s="50">
        <f t="shared" si="185"/>
        <v>0</v>
      </c>
      <c r="Q724" s="86">
        <f t="shared" si="186"/>
        <v>0</v>
      </c>
      <c r="R724" s="86">
        <f t="shared" si="187"/>
        <v>0</v>
      </c>
      <c r="S724" s="74">
        <f t="shared" si="188"/>
        <v>-1.0913936421275139E-11</v>
      </c>
      <c r="T724" s="112">
        <f t="shared" si="189"/>
        <v>-6.8474351652600624E-12</v>
      </c>
      <c r="U724" s="112">
        <f t="shared" si="190"/>
        <v>0</v>
      </c>
      <c r="V724" s="75">
        <f t="shared" si="191"/>
        <v>0</v>
      </c>
      <c r="W724" s="74"/>
      <c r="X724" s="75">
        <f t="shared" si="192"/>
        <v>0</v>
      </c>
      <c r="Y724" s="156">
        <f t="shared" si="193"/>
        <v>-3.6289065407398638E-14</v>
      </c>
      <c r="Z724" s="46"/>
      <c r="AA724" s="107">
        <f t="shared" si="175"/>
        <v>0</v>
      </c>
      <c r="AB724" s="46"/>
      <c r="AC724" s="46"/>
      <c r="AD724" s="46"/>
      <c r="AE724" s="46"/>
    </row>
    <row r="725" spans="1:31" x14ac:dyDescent="0.2">
      <c r="A725" s="73">
        <v>94</v>
      </c>
      <c r="B725" s="86">
        <f t="shared" si="194"/>
        <v>0</v>
      </c>
      <c r="C725" s="50">
        <f t="shared" si="176"/>
        <v>0</v>
      </c>
      <c r="D725" s="86">
        <f t="shared" si="177"/>
        <v>0</v>
      </c>
      <c r="E725" s="86">
        <f t="shared" si="178"/>
        <v>0</v>
      </c>
      <c r="F725" s="74">
        <f t="shared" si="179"/>
        <v>0</v>
      </c>
      <c r="G725" s="112">
        <f t="shared" si="180"/>
        <v>0</v>
      </c>
      <c r="H725" s="112">
        <f t="shared" si="181"/>
        <v>0</v>
      </c>
      <c r="I725" s="75">
        <f t="shared" si="182"/>
        <v>0</v>
      </c>
      <c r="J725" s="74"/>
      <c r="K725" s="75">
        <f t="shared" si="183"/>
        <v>0</v>
      </c>
      <c r="L725" s="156">
        <f t="shared" si="184"/>
        <v>0</v>
      </c>
      <c r="M725" s="157"/>
      <c r="N725" s="73">
        <v>94</v>
      </c>
      <c r="O725" s="86">
        <f t="shared" si="195"/>
        <v>-1.0913936421275139E-11</v>
      </c>
      <c r="P725" s="50">
        <f t="shared" si="185"/>
        <v>0</v>
      </c>
      <c r="Q725" s="86">
        <f t="shared" si="186"/>
        <v>0</v>
      </c>
      <c r="R725" s="86">
        <f t="shared" si="187"/>
        <v>0</v>
      </c>
      <c r="S725" s="74">
        <f t="shared" si="188"/>
        <v>-1.0913936421275139E-11</v>
      </c>
      <c r="T725" s="112">
        <f t="shared" si="189"/>
        <v>-6.813197989433761E-12</v>
      </c>
      <c r="U725" s="112">
        <f t="shared" si="190"/>
        <v>0</v>
      </c>
      <c r="V725" s="75">
        <f t="shared" si="191"/>
        <v>0</v>
      </c>
      <c r="W725" s="74"/>
      <c r="X725" s="75">
        <f t="shared" si="192"/>
        <v>0</v>
      </c>
      <c r="Y725" s="156">
        <f t="shared" si="193"/>
        <v>-3.6289065407398638E-14</v>
      </c>
      <c r="Z725" s="46"/>
      <c r="AA725" s="107">
        <f t="shared" si="175"/>
        <v>0</v>
      </c>
      <c r="AB725" s="46"/>
      <c r="AC725" s="46"/>
      <c r="AD725" s="46"/>
      <c r="AE725" s="46"/>
    </row>
    <row r="726" spans="1:31" x14ac:dyDescent="0.2">
      <c r="A726" s="73">
        <v>95</v>
      </c>
      <c r="B726" s="86">
        <f t="shared" si="194"/>
        <v>0</v>
      </c>
      <c r="C726" s="50">
        <f t="shared" si="176"/>
        <v>0</v>
      </c>
      <c r="D726" s="86">
        <f t="shared" si="177"/>
        <v>0</v>
      </c>
      <c r="E726" s="86">
        <f t="shared" si="178"/>
        <v>0</v>
      </c>
      <c r="F726" s="74">
        <f t="shared" si="179"/>
        <v>0</v>
      </c>
      <c r="G726" s="112">
        <f t="shared" si="180"/>
        <v>0</v>
      </c>
      <c r="H726" s="112">
        <f t="shared" si="181"/>
        <v>0</v>
      </c>
      <c r="I726" s="75">
        <f t="shared" si="182"/>
        <v>0</v>
      </c>
      <c r="J726" s="74"/>
      <c r="K726" s="75">
        <f t="shared" si="183"/>
        <v>0</v>
      </c>
      <c r="L726" s="156">
        <f t="shared" si="184"/>
        <v>0</v>
      </c>
      <c r="M726" s="157"/>
      <c r="N726" s="73">
        <v>95</v>
      </c>
      <c r="O726" s="86">
        <f t="shared" si="195"/>
        <v>-1.0913936421275139E-11</v>
      </c>
      <c r="P726" s="50">
        <f t="shared" si="185"/>
        <v>0</v>
      </c>
      <c r="Q726" s="86">
        <f t="shared" si="186"/>
        <v>0</v>
      </c>
      <c r="R726" s="86">
        <f t="shared" si="187"/>
        <v>0</v>
      </c>
      <c r="S726" s="74">
        <f t="shared" si="188"/>
        <v>-1.0913936421275139E-11</v>
      </c>
      <c r="T726" s="112">
        <f t="shared" si="189"/>
        <v>-6.7791319994865918E-12</v>
      </c>
      <c r="U726" s="112">
        <f t="shared" si="190"/>
        <v>0</v>
      </c>
      <c r="V726" s="75">
        <f t="shared" si="191"/>
        <v>0</v>
      </c>
      <c r="W726" s="74"/>
      <c r="X726" s="75">
        <f t="shared" si="192"/>
        <v>0</v>
      </c>
      <c r="Y726" s="156">
        <f t="shared" si="193"/>
        <v>-3.6289065407398638E-14</v>
      </c>
      <c r="Z726" s="46"/>
      <c r="AA726" s="107">
        <f t="shared" si="175"/>
        <v>0</v>
      </c>
      <c r="AB726" s="46"/>
      <c r="AC726" s="46"/>
      <c r="AD726" s="46"/>
      <c r="AE726" s="46"/>
    </row>
    <row r="727" spans="1:31" x14ac:dyDescent="0.2">
      <c r="A727" s="73">
        <v>96</v>
      </c>
      <c r="B727" s="86">
        <f t="shared" si="194"/>
        <v>0</v>
      </c>
      <c r="C727" s="50">
        <f t="shared" si="176"/>
        <v>0</v>
      </c>
      <c r="D727" s="86">
        <f t="shared" si="177"/>
        <v>0</v>
      </c>
      <c r="E727" s="86">
        <f t="shared" si="178"/>
        <v>0</v>
      </c>
      <c r="F727" s="74">
        <f t="shared" si="179"/>
        <v>0</v>
      </c>
      <c r="G727" s="112">
        <f t="shared" si="180"/>
        <v>0</v>
      </c>
      <c r="H727" s="112">
        <f t="shared" si="181"/>
        <v>0</v>
      </c>
      <c r="I727" s="75">
        <f t="shared" si="182"/>
        <v>0</v>
      </c>
      <c r="J727" s="74"/>
      <c r="K727" s="75">
        <f t="shared" si="183"/>
        <v>0</v>
      </c>
      <c r="L727" s="156">
        <f t="shared" si="184"/>
        <v>0</v>
      </c>
      <c r="M727" s="157"/>
      <c r="N727" s="73">
        <v>96</v>
      </c>
      <c r="O727" s="86">
        <f t="shared" si="195"/>
        <v>-1.0913936421275139E-11</v>
      </c>
      <c r="P727" s="50">
        <f t="shared" si="185"/>
        <v>0</v>
      </c>
      <c r="Q727" s="86">
        <f t="shared" si="186"/>
        <v>0</v>
      </c>
      <c r="R727" s="86">
        <f t="shared" si="187"/>
        <v>0</v>
      </c>
      <c r="S727" s="74">
        <f t="shared" si="188"/>
        <v>-1.0913936421275139E-11</v>
      </c>
      <c r="T727" s="112">
        <f t="shared" si="189"/>
        <v>-6.7452363394891589E-12</v>
      </c>
      <c r="U727" s="112">
        <f t="shared" si="190"/>
        <v>0</v>
      </c>
      <c r="V727" s="75">
        <f t="shared" si="191"/>
        <v>0</v>
      </c>
      <c r="W727" s="74"/>
      <c r="X727" s="75">
        <f t="shared" si="192"/>
        <v>0</v>
      </c>
      <c r="Y727" s="156">
        <f t="shared" si="193"/>
        <v>-3.6289065407398638E-14</v>
      </c>
      <c r="Z727" s="46"/>
      <c r="AA727" s="107">
        <f t="shared" ref="AA727:AA758" si="196">+V727-I727</f>
        <v>0</v>
      </c>
      <c r="AB727" s="46"/>
      <c r="AC727" s="46"/>
      <c r="AD727" s="46"/>
      <c r="AE727" s="46"/>
    </row>
    <row r="728" spans="1:31" x14ac:dyDescent="0.2">
      <c r="A728" s="73">
        <v>97</v>
      </c>
      <c r="B728" s="86">
        <f t="shared" si="194"/>
        <v>0</v>
      </c>
      <c r="C728" s="50">
        <f t="shared" ref="C728:C759" si="197">(IF(A728&lt;$B$613,PMT($B$614/12,$B$613,-$B$612,$B$617,0),IF(A728=$B$613,PMT($B$614/12,$B$613,-$B$612,$B$617,0)+$B$617,0)))</f>
        <v>0</v>
      </c>
      <c r="D728" s="86">
        <f t="shared" ref="D728:D759" si="198">IF(A728&lt;=$B$613,B728*$B$614/12,0)</f>
        <v>0</v>
      </c>
      <c r="E728" s="86">
        <f t="shared" ref="E728:E759" si="199">C728-D728</f>
        <v>0</v>
      </c>
      <c r="F728" s="74">
        <f t="shared" ref="F728:F759" si="200">(B728-E728)</f>
        <v>0</v>
      </c>
      <c r="G728" s="112">
        <f t="shared" ref="G728:G759" si="201">B728*(1-B$621)^($A728)</f>
        <v>0</v>
      </c>
      <c r="H728" s="112">
        <f t="shared" ref="H728:H759" si="202">IF(A728&lt;=$B$613,G728*$B$614/12,0)</f>
        <v>0</v>
      </c>
      <c r="I728" s="75">
        <f t="shared" ref="I728:I759" si="203">C728</f>
        <v>0</v>
      </c>
      <c r="J728" s="74"/>
      <c r="K728" s="75">
        <f t="shared" ref="K728:K759" si="204">C728</f>
        <v>0</v>
      </c>
      <c r="L728" s="156">
        <f t="shared" ref="L728:L759" si="205">F728/$B$612*100</f>
        <v>0</v>
      </c>
      <c r="M728" s="157"/>
      <c r="N728" s="73">
        <v>97</v>
      </c>
      <c r="O728" s="86">
        <f t="shared" si="195"/>
        <v>-1.0913936421275139E-11</v>
      </c>
      <c r="P728" s="50">
        <f t="shared" ref="P728:P759" si="206">(IF(N728&lt;$B$613,PMT($B$615/12,$B$613,-$B$612,$B$617,0),IF(N728=$B$613,PMT($B$615/12,$B$613,-$B$612,$B$617,0)+$B$617,0)))</f>
        <v>0</v>
      </c>
      <c r="Q728" s="86">
        <f t="shared" ref="Q728:Q759" si="207">IF(N728&lt;=$B$613,O728*$B$615/12,0)</f>
        <v>0</v>
      </c>
      <c r="R728" s="86">
        <f t="shared" ref="R728:R759" si="208">P728-Q728</f>
        <v>0</v>
      </c>
      <c r="S728" s="74">
        <f t="shared" ref="S728:S759" si="209">(O728-R728)</f>
        <v>-1.0913936421275139E-11</v>
      </c>
      <c r="T728" s="112">
        <f t="shared" ref="T728:T759" si="210">O728*(1-B$621)^($N728)</f>
        <v>-6.7115101577917138E-12</v>
      </c>
      <c r="U728" s="112">
        <f t="shared" ref="U728:U759" si="211">IF(N728&lt;=$B$613,T728*$B$615/12,0)</f>
        <v>0</v>
      </c>
      <c r="V728" s="75">
        <f t="shared" ref="V728:V759" si="212">P728</f>
        <v>0</v>
      </c>
      <c r="W728" s="74"/>
      <c r="X728" s="75">
        <f t="shared" ref="X728:X759" si="213">P728</f>
        <v>0</v>
      </c>
      <c r="Y728" s="156">
        <f t="shared" ref="Y728:Y759" si="214">S728/$B$612*100</f>
        <v>-3.6289065407398638E-14</v>
      </c>
      <c r="Z728" s="46"/>
      <c r="AA728" s="107">
        <f t="shared" si="196"/>
        <v>0</v>
      </c>
      <c r="AB728" s="46"/>
      <c r="AC728" s="46"/>
      <c r="AD728" s="46"/>
      <c r="AE728" s="46"/>
    </row>
    <row r="729" spans="1:31" x14ac:dyDescent="0.2">
      <c r="A729" s="73">
        <v>98</v>
      </c>
      <c r="B729" s="86">
        <f t="shared" ref="B729:B760" si="215">+F728</f>
        <v>0</v>
      </c>
      <c r="C729" s="50">
        <f t="shared" si="197"/>
        <v>0</v>
      </c>
      <c r="D729" s="86">
        <f t="shared" si="198"/>
        <v>0</v>
      </c>
      <c r="E729" s="86">
        <f t="shared" si="199"/>
        <v>0</v>
      </c>
      <c r="F729" s="74">
        <f t="shared" si="200"/>
        <v>0</v>
      </c>
      <c r="G729" s="112">
        <f t="shared" si="201"/>
        <v>0</v>
      </c>
      <c r="H729" s="112">
        <f t="shared" si="202"/>
        <v>0</v>
      </c>
      <c r="I729" s="75">
        <f t="shared" si="203"/>
        <v>0</v>
      </c>
      <c r="J729" s="74"/>
      <c r="K729" s="75">
        <f t="shared" si="204"/>
        <v>0</v>
      </c>
      <c r="L729" s="156">
        <f t="shared" si="205"/>
        <v>0</v>
      </c>
      <c r="M729" s="157"/>
      <c r="N729" s="73">
        <v>98</v>
      </c>
      <c r="O729" s="86">
        <f t="shared" ref="O729:O760" si="216">+S728</f>
        <v>-1.0913936421275139E-11</v>
      </c>
      <c r="P729" s="50">
        <f t="shared" si="206"/>
        <v>0</v>
      </c>
      <c r="Q729" s="86">
        <f t="shared" si="207"/>
        <v>0</v>
      </c>
      <c r="R729" s="86">
        <f t="shared" si="208"/>
        <v>0</v>
      </c>
      <c r="S729" s="74">
        <f t="shared" si="209"/>
        <v>-1.0913936421275139E-11</v>
      </c>
      <c r="T729" s="112">
        <f t="shared" si="210"/>
        <v>-6.6779526070027541E-12</v>
      </c>
      <c r="U729" s="112">
        <f t="shared" si="211"/>
        <v>0</v>
      </c>
      <c r="V729" s="75">
        <f t="shared" si="212"/>
        <v>0</v>
      </c>
      <c r="W729" s="74"/>
      <c r="X729" s="75">
        <f t="shared" si="213"/>
        <v>0</v>
      </c>
      <c r="Y729" s="156">
        <f t="shared" si="214"/>
        <v>-3.6289065407398638E-14</v>
      </c>
      <c r="Z729" s="46"/>
      <c r="AA729" s="107">
        <f t="shared" si="196"/>
        <v>0</v>
      </c>
      <c r="AB729" s="46"/>
      <c r="AC729" s="46"/>
      <c r="AD729" s="46"/>
      <c r="AE729" s="46"/>
    </row>
    <row r="730" spans="1:31" x14ac:dyDescent="0.2">
      <c r="A730" s="73">
        <v>99</v>
      </c>
      <c r="B730" s="86">
        <f t="shared" si="215"/>
        <v>0</v>
      </c>
      <c r="C730" s="50">
        <f t="shared" si="197"/>
        <v>0</v>
      </c>
      <c r="D730" s="86">
        <f t="shared" si="198"/>
        <v>0</v>
      </c>
      <c r="E730" s="86">
        <f t="shared" si="199"/>
        <v>0</v>
      </c>
      <c r="F730" s="74">
        <f t="shared" si="200"/>
        <v>0</v>
      </c>
      <c r="G730" s="112">
        <f t="shared" si="201"/>
        <v>0</v>
      </c>
      <c r="H730" s="112">
        <f t="shared" si="202"/>
        <v>0</v>
      </c>
      <c r="I730" s="75">
        <f t="shared" si="203"/>
        <v>0</v>
      </c>
      <c r="J730" s="74"/>
      <c r="K730" s="75">
        <f t="shared" si="204"/>
        <v>0</v>
      </c>
      <c r="L730" s="156">
        <f t="shared" si="205"/>
        <v>0</v>
      </c>
      <c r="M730" s="157"/>
      <c r="N730" s="73">
        <v>99</v>
      </c>
      <c r="O730" s="86">
        <f t="shared" si="216"/>
        <v>-1.0913936421275139E-11</v>
      </c>
      <c r="P730" s="50">
        <f t="shared" si="206"/>
        <v>0</v>
      </c>
      <c r="Q730" s="86">
        <f t="shared" si="207"/>
        <v>0</v>
      </c>
      <c r="R730" s="86">
        <f t="shared" si="208"/>
        <v>0</v>
      </c>
      <c r="S730" s="74">
        <f t="shared" si="209"/>
        <v>-1.0913936421275139E-11</v>
      </c>
      <c r="T730" s="112">
        <f t="shared" si="210"/>
        <v>-6.6445628439677415E-12</v>
      </c>
      <c r="U730" s="112">
        <f t="shared" si="211"/>
        <v>0</v>
      </c>
      <c r="V730" s="75">
        <f t="shared" si="212"/>
        <v>0</v>
      </c>
      <c r="W730" s="74"/>
      <c r="X730" s="75">
        <f t="shared" si="213"/>
        <v>0</v>
      </c>
      <c r="Y730" s="156">
        <f t="shared" si="214"/>
        <v>-3.6289065407398638E-14</v>
      </c>
      <c r="Z730" s="46"/>
      <c r="AA730" s="107">
        <f t="shared" si="196"/>
        <v>0</v>
      </c>
      <c r="AB730" s="46"/>
      <c r="AC730" s="46"/>
      <c r="AD730" s="46"/>
      <c r="AE730" s="46"/>
    </row>
    <row r="731" spans="1:31" x14ac:dyDescent="0.2">
      <c r="A731" s="73">
        <v>100</v>
      </c>
      <c r="B731" s="86">
        <f t="shared" si="215"/>
        <v>0</v>
      </c>
      <c r="C731" s="50">
        <f t="shared" si="197"/>
        <v>0</v>
      </c>
      <c r="D731" s="86">
        <f t="shared" si="198"/>
        <v>0</v>
      </c>
      <c r="E731" s="86">
        <f t="shared" si="199"/>
        <v>0</v>
      </c>
      <c r="F731" s="74">
        <f t="shared" si="200"/>
        <v>0</v>
      </c>
      <c r="G731" s="112">
        <f t="shared" si="201"/>
        <v>0</v>
      </c>
      <c r="H731" s="112">
        <f t="shared" si="202"/>
        <v>0</v>
      </c>
      <c r="I731" s="75">
        <f t="shared" si="203"/>
        <v>0</v>
      </c>
      <c r="J731" s="74"/>
      <c r="K731" s="75">
        <f t="shared" si="204"/>
        <v>0</v>
      </c>
      <c r="L731" s="156">
        <f t="shared" si="205"/>
        <v>0</v>
      </c>
      <c r="M731" s="157"/>
      <c r="N731" s="73">
        <v>100</v>
      </c>
      <c r="O731" s="86">
        <f t="shared" si="216"/>
        <v>-1.0913936421275139E-11</v>
      </c>
      <c r="P731" s="50">
        <f t="shared" si="206"/>
        <v>0</v>
      </c>
      <c r="Q731" s="86">
        <f t="shared" si="207"/>
        <v>0</v>
      </c>
      <c r="R731" s="86">
        <f t="shared" si="208"/>
        <v>0</v>
      </c>
      <c r="S731" s="74">
        <f t="shared" si="209"/>
        <v>-1.0913936421275139E-11</v>
      </c>
      <c r="T731" s="112">
        <f t="shared" si="210"/>
        <v>-6.6113400297479028E-12</v>
      </c>
      <c r="U731" s="112">
        <f t="shared" si="211"/>
        <v>0</v>
      </c>
      <c r="V731" s="75">
        <f t="shared" si="212"/>
        <v>0</v>
      </c>
      <c r="W731" s="74"/>
      <c r="X731" s="75">
        <f t="shared" si="213"/>
        <v>0</v>
      </c>
      <c r="Y731" s="156">
        <f t="shared" si="214"/>
        <v>-3.6289065407398638E-14</v>
      </c>
      <c r="Z731" s="46"/>
      <c r="AA731" s="107">
        <f t="shared" si="196"/>
        <v>0</v>
      </c>
      <c r="AB731" s="46"/>
      <c r="AC731" s="46"/>
      <c r="AD731" s="46"/>
      <c r="AE731" s="46"/>
    </row>
    <row r="732" spans="1:31" x14ac:dyDescent="0.2">
      <c r="A732" s="73">
        <v>101</v>
      </c>
      <c r="B732" s="86">
        <f t="shared" si="215"/>
        <v>0</v>
      </c>
      <c r="C732" s="50">
        <f t="shared" si="197"/>
        <v>0</v>
      </c>
      <c r="D732" s="86">
        <f t="shared" si="198"/>
        <v>0</v>
      </c>
      <c r="E732" s="86">
        <f t="shared" si="199"/>
        <v>0</v>
      </c>
      <c r="F732" s="74">
        <f t="shared" si="200"/>
        <v>0</v>
      </c>
      <c r="G732" s="112">
        <f t="shared" si="201"/>
        <v>0</v>
      </c>
      <c r="H732" s="112">
        <f t="shared" si="202"/>
        <v>0</v>
      </c>
      <c r="I732" s="75">
        <f t="shared" si="203"/>
        <v>0</v>
      </c>
      <c r="J732" s="74"/>
      <c r="K732" s="75">
        <f t="shared" si="204"/>
        <v>0</v>
      </c>
      <c r="L732" s="156">
        <f t="shared" si="205"/>
        <v>0</v>
      </c>
      <c r="M732" s="157"/>
      <c r="N732" s="73">
        <v>101</v>
      </c>
      <c r="O732" s="86">
        <f t="shared" si="216"/>
        <v>-1.0913936421275139E-11</v>
      </c>
      <c r="P732" s="50">
        <f t="shared" si="206"/>
        <v>0</v>
      </c>
      <c r="Q732" s="86">
        <f t="shared" si="207"/>
        <v>0</v>
      </c>
      <c r="R732" s="86">
        <f t="shared" si="208"/>
        <v>0</v>
      </c>
      <c r="S732" s="74">
        <f t="shared" si="209"/>
        <v>-1.0913936421275139E-11</v>
      </c>
      <c r="T732" s="112">
        <f t="shared" si="210"/>
        <v>-6.578283329599163E-12</v>
      </c>
      <c r="U732" s="112">
        <f t="shared" si="211"/>
        <v>0</v>
      </c>
      <c r="V732" s="75">
        <f t="shared" si="212"/>
        <v>0</v>
      </c>
      <c r="W732" s="74"/>
      <c r="X732" s="75">
        <f t="shared" si="213"/>
        <v>0</v>
      </c>
      <c r="Y732" s="156">
        <f t="shared" si="214"/>
        <v>-3.6289065407398638E-14</v>
      </c>
      <c r="Z732" s="46"/>
      <c r="AA732" s="107">
        <f t="shared" si="196"/>
        <v>0</v>
      </c>
      <c r="AB732" s="46"/>
      <c r="AC732" s="46"/>
      <c r="AD732" s="46"/>
      <c r="AE732" s="46"/>
    </row>
    <row r="733" spans="1:31" x14ac:dyDescent="0.2">
      <c r="A733" s="73">
        <v>102</v>
      </c>
      <c r="B733" s="86">
        <f t="shared" si="215"/>
        <v>0</v>
      </c>
      <c r="C733" s="50">
        <f t="shared" si="197"/>
        <v>0</v>
      </c>
      <c r="D733" s="86">
        <f t="shared" si="198"/>
        <v>0</v>
      </c>
      <c r="E733" s="86">
        <f t="shared" si="199"/>
        <v>0</v>
      </c>
      <c r="F733" s="74">
        <f t="shared" si="200"/>
        <v>0</v>
      </c>
      <c r="G733" s="112">
        <f t="shared" si="201"/>
        <v>0</v>
      </c>
      <c r="H733" s="112">
        <f t="shared" si="202"/>
        <v>0</v>
      </c>
      <c r="I733" s="75">
        <f t="shared" si="203"/>
        <v>0</v>
      </c>
      <c r="J733" s="74"/>
      <c r="K733" s="75">
        <f t="shared" si="204"/>
        <v>0</v>
      </c>
      <c r="L733" s="156">
        <f t="shared" si="205"/>
        <v>0</v>
      </c>
      <c r="M733" s="157"/>
      <c r="N733" s="73">
        <v>102</v>
      </c>
      <c r="O733" s="86">
        <f t="shared" si="216"/>
        <v>-1.0913936421275139E-11</v>
      </c>
      <c r="P733" s="50">
        <f t="shared" si="206"/>
        <v>0</v>
      </c>
      <c r="Q733" s="86">
        <f t="shared" si="207"/>
        <v>0</v>
      </c>
      <c r="R733" s="86">
        <f t="shared" si="208"/>
        <v>0</v>
      </c>
      <c r="S733" s="74">
        <f t="shared" si="209"/>
        <v>-1.0913936421275139E-11</v>
      </c>
      <c r="T733" s="112">
        <f t="shared" si="210"/>
        <v>-6.5453919129511678E-12</v>
      </c>
      <c r="U733" s="112">
        <f t="shared" si="211"/>
        <v>0</v>
      </c>
      <c r="V733" s="75">
        <f t="shared" si="212"/>
        <v>0</v>
      </c>
      <c r="W733" s="74"/>
      <c r="X733" s="75">
        <f t="shared" si="213"/>
        <v>0</v>
      </c>
      <c r="Y733" s="156">
        <f t="shared" si="214"/>
        <v>-3.6289065407398638E-14</v>
      </c>
      <c r="Z733" s="46"/>
      <c r="AA733" s="107">
        <f t="shared" si="196"/>
        <v>0</v>
      </c>
      <c r="AB733" s="46"/>
      <c r="AC733" s="46"/>
      <c r="AD733" s="46"/>
      <c r="AE733" s="46"/>
    </row>
    <row r="734" spans="1:31" x14ac:dyDescent="0.2">
      <c r="A734" s="73">
        <v>103</v>
      </c>
      <c r="B734" s="86">
        <f t="shared" si="215"/>
        <v>0</v>
      </c>
      <c r="C734" s="50">
        <f t="shared" si="197"/>
        <v>0</v>
      </c>
      <c r="D734" s="86">
        <f t="shared" si="198"/>
        <v>0</v>
      </c>
      <c r="E734" s="86">
        <f t="shared" si="199"/>
        <v>0</v>
      </c>
      <c r="F734" s="74">
        <f t="shared" si="200"/>
        <v>0</v>
      </c>
      <c r="G734" s="112">
        <f t="shared" si="201"/>
        <v>0</v>
      </c>
      <c r="H734" s="112">
        <f t="shared" si="202"/>
        <v>0</v>
      </c>
      <c r="I734" s="75">
        <f t="shared" si="203"/>
        <v>0</v>
      </c>
      <c r="J734" s="74"/>
      <c r="K734" s="75">
        <f t="shared" si="204"/>
        <v>0</v>
      </c>
      <c r="L734" s="156">
        <f t="shared" si="205"/>
        <v>0</v>
      </c>
      <c r="M734" s="157"/>
      <c r="N734" s="73">
        <v>103</v>
      </c>
      <c r="O734" s="86">
        <f t="shared" si="216"/>
        <v>-1.0913936421275139E-11</v>
      </c>
      <c r="P734" s="50">
        <f t="shared" si="206"/>
        <v>0</v>
      </c>
      <c r="Q734" s="86">
        <f t="shared" si="207"/>
        <v>0</v>
      </c>
      <c r="R734" s="86">
        <f t="shared" si="208"/>
        <v>0</v>
      </c>
      <c r="S734" s="74">
        <f t="shared" si="209"/>
        <v>-1.0913936421275139E-11</v>
      </c>
      <c r="T734" s="112">
        <f t="shared" si="210"/>
        <v>-6.5126649533864119E-12</v>
      </c>
      <c r="U734" s="112">
        <f t="shared" si="211"/>
        <v>0</v>
      </c>
      <c r="V734" s="75">
        <f t="shared" si="212"/>
        <v>0</v>
      </c>
      <c r="W734" s="74"/>
      <c r="X734" s="75">
        <f t="shared" si="213"/>
        <v>0</v>
      </c>
      <c r="Y734" s="156">
        <f t="shared" si="214"/>
        <v>-3.6289065407398638E-14</v>
      </c>
      <c r="Z734" s="46"/>
      <c r="AA734" s="107">
        <f t="shared" si="196"/>
        <v>0</v>
      </c>
      <c r="AB734" s="46"/>
      <c r="AC734" s="46"/>
      <c r="AD734" s="46"/>
      <c r="AE734" s="46"/>
    </row>
    <row r="735" spans="1:31" x14ac:dyDescent="0.2">
      <c r="A735" s="73">
        <v>104</v>
      </c>
      <c r="B735" s="86">
        <f t="shared" si="215"/>
        <v>0</v>
      </c>
      <c r="C735" s="50">
        <f t="shared" si="197"/>
        <v>0</v>
      </c>
      <c r="D735" s="86">
        <f t="shared" si="198"/>
        <v>0</v>
      </c>
      <c r="E735" s="86">
        <f t="shared" si="199"/>
        <v>0</v>
      </c>
      <c r="F735" s="74">
        <f t="shared" si="200"/>
        <v>0</v>
      </c>
      <c r="G735" s="112">
        <f t="shared" si="201"/>
        <v>0</v>
      </c>
      <c r="H735" s="112">
        <f t="shared" si="202"/>
        <v>0</v>
      </c>
      <c r="I735" s="75">
        <f t="shared" si="203"/>
        <v>0</v>
      </c>
      <c r="J735" s="74"/>
      <c r="K735" s="75">
        <f t="shared" si="204"/>
        <v>0</v>
      </c>
      <c r="L735" s="156">
        <f t="shared" si="205"/>
        <v>0</v>
      </c>
      <c r="M735" s="157"/>
      <c r="N735" s="73">
        <v>104</v>
      </c>
      <c r="O735" s="86">
        <f t="shared" si="216"/>
        <v>-1.0913936421275139E-11</v>
      </c>
      <c r="P735" s="50">
        <f t="shared" si="206"/>
        <v>0</v>
      </c>
      <c r="Q735" s="86">
        <f t="shared" si="207"/>
        <v>0</v>
      </c>
      <c r="R735" s="86">
        <f t="shared" si="208"/>
        <v>0</v>
      </c>
      <c r="S735" s="74">
        <f t="shared" si="209"/>
        <v>-1.0913936421275139E-11</v>
      </c>
      <c r="T735" s="112">
        <f t="shared" si="210"/>
        <v>-6.4801016286194786E-12</v>
      </c>
      <c r="U735" s="112">
        <f t="shared" si="211"/>
        <v>0</v>
      </c>
      <c r="V735" s="75">
        <f t="shared" si="212"/>
        <v>0</v>
      </c>
      <c r="W735" s="74"/>
      <c r="X735" s="75">
        <f t="shared" si="213"/>
        <v>0</v>
      </c>
      <c r="Y735" s="156">
        <f t="shared" si="214"/>
        <v>-3.6289065407398638E-14</v>
      </c>
      <c r="Z735" s="46"/>
      <c r="AA735" s="107">
        <f t="shared" si="196"/>
        <v>0</v>
      </c>
      <c r="AB735" s="46"/>
      <c r="AC735" s="46"/>
      <c r="AD735" s="46"/>
      <c r="AE735" s="46"/>
    </row>
    <row r="736" spans="1:31" x14ac:dyDescent="0.2">
      <c r="A736" s="73">
        <v>105</v>
      </c>
      <c r="B736" s="86">
        <f t="shared" si="215"/>
        <v>0</v>
      </c>
      <c r="C736" s="50">
        <f t="shared" si="197"/>
        <v>0</v>
      </c>
      <c r="D736" s="86">
        <f t="shared" si="198"/>
        <v>0</v>
      </c>
      <c r="E736" s="86">
        <f t="shared" si="199"/>
        <v>0</v>
      </c>
      <c r="F736" s="74">
        <f t="shared" si="200"/>
        <v>0</v>
      </c>
      <c r="G736" s="112">
        <f t="shared" si="201"/>
        <v>0</v>
      </c>
      <c r="H736" s="112">
        <f t="shared" si="202"/>
        <v>0</v>
      </c>
      <c r="I736" s="75">
        <f t="shared" si="203"/>
        <v>0</v>
      </c>
      <c r="J736" s="74"/>
      <c r="K736" s="75">
        <f t="shared" si="204"/>
        <v>0</v>
      </c>
      <c r="L736" s="156">
        <f t="shared" si="205"/>
        <v>0</v>
      </c>
      <c r="M736" s="157"/>
      <c r="N736" s="73">
        <v>105</v>
      </c>
      <c r="O736" s="86">
        <f t="shared" si="216"/>
        <v>-1.0913936421275139E-11</v>
      </c>
      <c r="P736" s="50">
        <f t="shared" si="206"/>
        <v>0</v>
      </c>
      <c r="Q736" s="86">
        <f t="shared" si="207"/>
        <v>0</v>
      </c>
      <c r="R736" s="86">
        <f t="shared" si="208"/>
        <v>0</v>
      </c>
      <c r="S736" s="74">
        <f t="shared" si="209"/>
        <v>-1.0913936421275139E-11</v>
      </c>
      <c r="T736" s="112">
        <f t="shared" si="210"/>
        <v>-6.4477011204763814E-12</v>
      </c>
      <c r="U736" s="112">
        <f t="shared" si="211"/>
        <v>0</v>
      </c>
      <c r="V736" s="75">
        <f t="shared" si="212"/>
        <v>0</v>
      </c>
      <c r="W736" s="74"/>
      <c r="X736" s="75">
        <f t="shared" si="213"/>
        <v>0</v>
      </c>
      <c r="Y736" s="156">
        <f t="shared" si="214"/>
        <v>-3.6289065407398638E-14</v>
      </c>
      <c r="Z736" s="46"/>
      <c r="AA736" s="107">
        <f t="shared" si="196"/>
        <v>0</v>
      </c>
      <c r="AB736" s="46"/>
      <c r="AC736" s="46"/>
      <c r="AD736" s="46"/>
      <c r="AE736" s="46"/>
    </row>
    <row r="737" spans="1:31" x14ac:dyDescent="0.2">
      <c r="A737" s="73">
        <v>106</v>
      </c>
      <c r="B737" s="86">
        <f t="shared" si="215"/>
        <v>0</v>
      </c>
      <c r="C737" s="50">
        <f t="shared" si="197"/>
        <v>0</v>
      </c>
      <c r="D737" s="86">
        <f t="shared" si="198"/>
        <v>0</v>
      </c>
      <c r="E737" s="86">
        <f t="shared" si="199"/>
        <v>0</v>
      </c>
      <c r="F737" s="74">
        <f t="shared" si="200"/>
        <v>0</v>
      </c>
      <c r="G737" s="112">
        <f t="shared" si="201"/>
        <v>0</v>
      </c>
      <c r="H737" s="112">
        <f t="shared" si="202"/>
        <v>0</v>
      </c>
      <c r="I737" s="75">
        <f t="shared" si="203"/>
        <v>0</v>
      </c>
      <c r="J737" s="74"/>
      <c r="K737" s="75">
        <f t="shared" si="204"/>
        <v>0</v>
      </c>
      <c r="L737" s="156">
        <f t="shared" si="205"/>
        <v>0</v>
      </c>
      <c r="M737" s="157"/>
      <c r="N737" s="73">
        <v>106</v>
      </c>
      <c r="O737" s="86">
        <f t="shared" si="216"/>
        <v>-1.0913936421275139E-11</v>
      </c>
      <c r="P737" s="50">
        <f t="shared" si="206"/>
        <v>0</v>
      </c>
      <c r="Q737" s="86">
        <f t="shared" si="207"/>
        <v>0</v>
      </c>
      <c r="R737" s="86">
        <f t="shared" si="208"/>
        <v>0</v>
      </c>
      <c r="S737" s="74">
        <f t="shared" si="209"/>
        <v>-1.0913936421275139E-11</v>
      </c>
      <c r="T737" s="112">
        <f t="shared" si="210"/>
        <v>-6.415462614874E-12</v>
      </c>
      <c r="U737" s="112">
        <f t="shared" si="211"/>
        <v>0</v>
      </c>
      <c r="V737" s="75">
        <f t="shared" si="212"/>
        <v>0</v>
      </c>
      <c r="W737" s="74"/>
      <c r="X737" s="75">
        <f t="shared" si="213"/>
        <v>0</v>
      </c>
      <c r="Y737" s="156">
        <f t="shared" si="214"/>
        <v>-3.6289065407398638E-14</v>
      </c>
      <c r="Z737" s="46"/>
      <c r="AA737" s="107">
        <f t="shared" si="196"/>
        <v>0</v>
      </c>
      <c r="AB737" s="46"/>
      <c r="AC737" s="46"/>
      <c r="AD737" s="46"/>
      <c r="AE737" s="46"/>
    </row>
    <row r="738" spans="1:31" x14ac:dyDescent="0.2">
      <c r="A738" s="73">
        <v>107</v>
      </c>
      <c r="B738" s="86">
        <f t="shared" si="215"/>
        <v>0</v>
      </c>
      <c r="C738" s="50">
        <f t="shared" si="197"/>
        <v>0</v>
      </c>
      <c r="D738" s="86">
        <f t="shared" si="198"/>
        <v>0</v>
      </c>
      <c r="E738" s="86">
        <f t="shared" si="199"/>
        <v>0</v>
      </c>
      <c r="F738" s="74">
        <f t="shared" si="200"/>
        <v>0</v>
      </c>
      <c r="G738" s="112">
        <f t="shared" si="201"/>
        <v>0</v>
      </c>
      <c r="H738" s="112">
        <f t="shared" si="202"/>
        <v>0</v>
      </c>
      <c r="I738" s="75">
        <f t="shared" si="203"/>
        <v>0</v>
      </c>
      <c r="J738" s="74"/>
      <c r="K738" s="75">
        <f t="shared" si="204"/>
        <v>0</v>
      </c>
      <c r="L738" s="156">
        <f t="shared" si="205"/>
        <v>0</v>
      </c>
      <c r="M738" s="157"/>
      <c r="N738" s="73">
        <v>107</v>
      </c>
      <c r="O738" s="86">
        <f t="shared" si="216"/>
        <v>-1.0913936421275139E-11</v>
      </c>
      <c r="P738" s="50">
        <f t="shared" si="206"/>
        <v>0</v>
      </c>
      <c r="Q738" s="86">
        <f t="shared" si="207"/>
        <v>0</v>
      </c>
      <c r="R738" s="86">
        <f t="shared" si="208"/>
        <v>0</v>
      </c>
      <c r="S738" s="74">
        <f t="shared" si="209"/>
        <v>-1.0913936421275139E-11</v>
      </c>
      <c r="T738" s="112">
        <f t="shared" si="210"/>
        <v>-6.38338530179963E-12</v>
      </c>
      <c r="U738" s="112">
        <f t="shared" si="211"/>
        <v>0</v>
      </c>
      <c r="V738" s="75">
        <f t="shared" si="212"/>
        <v>0</v>
      </c>
      <c r="W738" s="74"/>
      <c r="X738" s="75">
        <f t="shared" si="213"/>
        <v>0</v>
      </c>
      <c r="Y738" s="156">
        <f t="shared" si="214"/>
        <v>-3.6289065407398638E-14</v>
      </c>
      <c r="Z738" s="46"/>
      <c r="AA738" s="107">
        <f t="shared" si="196"/>
        <v>0</v>
      </c>
      <c r="AB738" s="46"/>
      <c r="AC738" s="46"/>
      <c r="AD738" s="46"/>
      <c r="AE738" s="46"/>
    </row>
    <row r="739" spans="1:31" x14ac:dyDescent="0.2">
      <c r="A739" s="73">
        <v>108</v>
      </c>
      <c r="B739" s="86">
        <f t="shared" si="215"/>
        <v>0</v>
      </c>
      <c r="C739" s="50">
        <f t="shared" si="197"/>
        <v>0</v>
      </c>
      <c r="D739" s="86">
        <f t="shared" si="198"/>
        <v>0</v>
      </c>
      <c r="E739" s="86">
        <f t="shared" si="199"/>
        <v>0</v>
      </c>
      <c r="F739" s="74">
        <f t="shared" si="200"/>
        <v>0</v>
      </c>
      <c r="G739" s="112">
        <f t="shared" si="201"/>
        <v>0</v>
      </c>
      <c r="H739" s="112">
        <f t="shared" si="202"/>
        <v>0</v>
      </c>
      <c r="I739" s="75">
        <f t="shared" si="203"/>
        <v>0</v>
      </c>
      <c r="J739" s="74"/>
      <c r="K739" s="75">
        <f t="shared" si="204"/>
        <v>0</v>
      </c>
      <c r="L739" s="156">
        <f t="shared" si="205"/>
        <v>0</v>
      </c>
      <c r="M739" s="157"/>
      <c r="N739" s="73">
        <v>108</v>
      </c>
      <c r="O739" s="86">
        <f t="shared" si="216"/>
        <v>-1.0913936421275139E-11</v>
      </c>
      <c r="P739" s="50">
        <f t="shared" si="206"/>
        <v>0</v>
      </c>
      <c r="Q739" s="86">
        <f t="shared" si="207"/>
        <v>0</v>
      </c>
      <c r="R739" s="86">
        <f t="shared" si="208"/>
        <v>0</v>
      </c>
      <c r="S739" s="74">
        <f t="shared" si="209"/>
        <v>-1.0913936421275139E-11</v>
      </c>
      <c r="T739" s="112">
        <f t="shared" si="210"/>
        <v>-6.3514683752906325E-12</v>
      </c>
      <c r="U739" s="112">
        <f t="shared" si="211"/>
        <v>0</v>
      </c>
      <c r="V739" s="75">
        <f t="shared" si="212"/>
        <v>0</v>
      </c>
      <c r="W739" s="74"/>
      <c r="X739" s="75">
        <f t="shared" si="213"/>
        <v>0</v>
      </c>
      <c r="Y739" s="156">
        <f t="shared" si="214"/>
        <v>-3.6289065407398638E-14</v>
      </c>
      <c r="Z739" s="46"/>
      <c r="AA739" s="107">
        <f t="shared" si="196"/>
        <v>0</v>
      </c>
      <c r="AB739" s="46"/>
      <c r="AC739" s="46"/>
      <c r="AD739" s="46"/>
      <c r="AE739" s="46"/>
    </row>
    <row r="740" spans="1:31" x14ac:dyDescent="0.2">
      <c r="A740" s="73">
        <v>109</v>
      </c>
      <c r="B740" s="86">
        <f t="shared" si="215"/>
        <v>0</v>
      </c>
      <c r="C740" s="50">
        <f t="shared" si="197"/>
        <v>0</v>
      </c>
      <c r="D740" s="86">
        <f t="shared" si="198"/>
        <v>0</v>
      </c>
      <c r="E740" s="86">
        <f t="shared" si="199"/>
        <v>0</v>
      </c>
      <c r="F740" s="74">
        <f t="shared" si="200"/>
        <v>0</v>
      </c>
      <c r="G740" s="112">
        <f t="shared" si="201"/>
        <v>0</v>
      </c>
      <c r="H740" s="112">
        <f t="shared" si="202"/>
        <v>0</v>
      </c>
      <c r="I740" s="75">
        <f t="shared" si="203"/>
        <v>0</v>
      </c>
      <c r="J740" s="74"/>
      <c r="K740" s="75">
        <f t="shared" si="204"/>
        <v>0</v>
      </c>
      <c r="L740" s="156">
        <f t="shared" si="205"/>
        <v>0</v>
      </c>
      <c r="M740" s="157"/>
      <c r="N740" s="73">
        <v>109</v>
      </c>
      <c r="O740" s="86">
        <f t="shared" si="216"/>
        <v>-1.0913936421275139E-11</v>
      </c>
      <c r="P740" s="50">
        <f t="shared" si="206"/>
        <v>0</v>
      </c>
      <c r="Q740" s="86">
        <f t="shared" si="207"/>
        <v>0</v>
      </c>
      <c r="R740" s="86">
        <f t="shared" si="208"/>
        <v>0</v>
      </c>
      <c r="S740" s="74">
        <f t="shared" si="209"/>
        <v>-1.0913936421275139E-11</v>
      </c>
      <c r="T740" s="112">
        <f t="shared" si="210"/>
        <v>-6.3197110334141791E-12</v>
      </c>
      <c r="U740" s="112">
        <f t="shared" si="211"/>
        <v>0</v>
      </c>
      <c r="V740" s="75">
        <f t="shared" si="212"/>
        <v>0</v>
      </c>
      <c r="W740" s="74"/>
      <c r="X740" s="75">
        <f t="shared" si="213"/>
        <v>0</v>
      </c>
      <c r="Y740" s="156">
        <f t="shared" si="214"/>
        <v>-3.6289065407398638E-14</v>
      </c>
      <c r="Z740" s="46"/>
      <c r="AA740" s="107">
        <f t="shared" si="196"/>
        <v>0</v>
      </c>
    </row>
    <row r="741" spans="1:31" x14ac:dyDescent="0.2">
      <c r="A741" s="73">
        <v>110</v>
      </c>
      <c r="B741" s="86">
        <f t="shared" si="215"/>
        <v>0</v>
      </c>
      <c r="C741" s="50">
        <f t="shared" si="197"/>
        <v>0</v>
      </c>
      <c r="D741" s="86">
        <f t="shared" si="198"/>
        <v>0</v>
      </c>
      <c r="E741" s="86">
        <f t="shared" si="199"/>
        <v>0</v>
      </c>
      <c r="F741" s="74">
        <f t="shared" si="200"/>
        <v>0</v>
      </c>
      <c r="G741" s="112">
        <f t="shared" si="201"/>
        <v>0</v>
      </c>
      <c r="H741" s="112">
        <f t="shared" si="202"/>
        <v>0</v>
      </c>
      <c r="I741" s="75">
        <f t="shared" si="203"/>
        <v>0</v>
      </c>
      <c r="J741" s="74"/>
      <c r="K741" s="75">
        <f t="shared" si="204"/>
        <v>0</v>
      </c>
      <c r="L741" s="156">
        <f t="shared" si="205"/>
        <v>0</v>
      </c>
      <c r="M741" s="157"/>
      <c r="N741" s="73">
        <v>110</v>
      </c>
      <c r="O741" s="86">
        <f t="shared" si="216"/>
        <v>-1.0913936421275139E-11</v>
      </c>
      <c r="P741" s="50">
        <f t="shared" si="206"/>
        <v>0</v>
      </c>
      <c r="Q741" s="86">
        <f t="shared" si="207"/>
        <v>0</v>
      </c>
      <c r="R741" s="86">
        <f t="shared" si="208"/>
        <v>0</v>
      </c>
      <c r="S741" s="74">
        <f t="shared" si="209"/>
        <v>-1.0913936421275139E-11</v>
      </c>
      <c r="T741" s="112">
        <f t="shared" si="210"/>
        <v>-6.288112478247109E-12</v>
      </c>
      <c r="U741" s="112">
        <f t="shared" si="211"/>
        <v>0</v>
      </c>
      <c r="V741" s="75">
        <f t="shared" si="212"/>
        <v>0</v>
      </c>
      <c r="W741" s="74"/>
      <c r="X741" s="75">
        <f t="shared" si="213"/>
        <v>0</v>
      </c>
      <c r="Y741" s="156">
        <f t="shared" si="214"/>
        <v>-3.6289065407398638E-14</v>
      </c>
      <c r="Z741" s="46"/>
      <c r="AA741" s="107">
        <f t="shared" si="196"/>
        <v>0</v>
      </c>
    </row>
    <row r="742" spans="1:31" x14ac:dyDescent="0.2">
      <c r="A742" s="73">
        <v>111</v>
      </c>
      <c r="B742" s="86">
        <f t="shared" si="215"/>
        <v>0</v>
      </c>
      <c r="C742" s="50">
        <f t="shared" si="197"/>
        <v>0</v>
      </c>
      <c r="D742" s="86">
        <f t="shared" si="198"/>
        <v>0</v>
      </c>
      <c r="E742" s="86">
        <f t="shared" si="199"/>
        <v>0</v>
      </c>
      <c r="F742" s="74">
        <f t="shared" si="200"/>
        <v>0</v>
      </c>
      <c r="G742" s="112">
        <f t="shared" si="201"/>
        <v>0</v>
      </c>
      <c r="H742" s="112">
        <f t="shared" si="202"/>
        <v>0</v>
      </c>
      <c r="I742" s="75">
        <f t="shared" si="203"/>
        <v>0</v>
      </c>
      <c r="J742" s="74"/>
      <c r="K742" s="75">
        <f t="shared" si="204"/>
        <v>0</v>
      </c>
      <c r="L742" s="156">
        <f t="shared" si="205"/>
        <v>0</v>
      </c>
      <c r="M742" s="157"/>
      <c r="N742" s="73">
        <v>111</v>
      </c>
      <c r="O742" s="86">
        <f t="shared" si="216"/>
        <v>-1.0913936421275139E-11</v>
      </c>
      <c r="P742" s="50">
        <f t="shared" si="206"/>
        <v>0</v>
      </c>
      <c r="Q742" s="86">
        <f t="shared" si="207"/>
        <v>0</v>
      </c>
      <c r="R742" s="86">
        <f t="shared" si="208"/>
        <v>0</v>
      </c>
      <c r="S742" s="74">
        <f t="shared" si="209"/>
        <v>-1.0913936421275139E-11</v>
      </c>
      <c r="T742" s="112">
        <f t="shared" si="210"/>
        <v>-6.2566719158558731E-12</v>
      </c>
      <c r="U742" s="112">
        <f t="shared" si="211"/>
        <v>0</v>
      </c>
      <c r="V742" s="75">
        <f t="shared" si="212"/>
        <v>0</v>
      </c>
      <c r="W742" s="74"/>
      <c r="X742" s="75">
        <f t="shared" si="213"/>
        <v>0</v>
      </c>
      <c r="Y742" s="156">
        <f t="shared" si="214"/>
        <v>-3.6289065407398638E-14</v>
      </c>
      <c r="Z742" s="46"/>
      <c r="AA742" s="107">
        <f t="shared" si="196"/>
        <v>0</v>
      </c>
    </row>
    <row r="743" spans="1:31" x14ac:dyDescent="0.2">
      <c r="A743" s="73">
        <v>112</v>
      </c>
      <c r="B743" s="86">
        <f t="shared" si="215"/>
        <v>0</v>
      </c>
      <c r="C743" s="50">
        <f t="shared" si="197"/>
        <v>0</v>
      </c>
      <c r="D743" s="86">
        <f t="shared" si="198"/>
        <v>0</v>
      </c>
      <c r="E743" s="86">
        <f t="shared" si="199"/>
        <v>0</v>
      </c>
      <c r="F743" s="74">
        <f t="shared" si="200"/>
        <v>0</v>
      </c>
      <c r="G743" s="112">
        <f t="shared" si="201"/>
        <v>0</v>
      </c>
      <c r="H743" s="112">
        <f t="shared" si="202"/>
        <v>0</v>
      </c>
      <c r="I743" s="75">
        <f t="shared" si="203"/>
        <v>0</v>
      </c>
      <c r="J743" s="74"/>
      <c r="K743" s="75">
        <f t="shared" si="204"/>
        <v>0</v>
      </c>
      <c r="L743" s="156">
        <f t="shared" si="205"/>
        <v>0</v>
      </c>
      <c r="M743" s="157"/>
      <c r="N743" s="73">
        <v>112</v>
      </c>
      <c r="O743" s="86">
        <f t="shared" si="216"/>
        <v>-1.0913936421275139E-11</v>
      </c>
      <c r="P743" s="50">
        <f t="shared" si="206"/>
        <v>0</v>
      </c>
      <c r="Q743" s="86">
        <f t="shared" si="207"/>
        <v>0</v>
      </c>
      <c r="R743" s="86">
        <f t="shared" si="208"/>
        <v>0</v>
      </c>
      <c r="S743" s="74">
        <f t="shared" si="209"/>
        <v>-1.0913936421275139E-11</v>
      </c>
      <c r="T743" s="112">
        <f t="shared" si="210"/>
        <v>-6.2253885562765935E-12</v>
      </c>
      <c r="U743" s="112">
        <f t="shared" si="211"/>
        <v>0</v>
      </c>
      <c r="V743" s="75">
        <f t="shared" si="212"/>
        <v>0</v>
      </c>
      <c r="W743" s="74"/>
      <c r="X743" s="75">
        <f t="shared" si="213"/>
        <v>0</v>
      </c>
      <c r="Y743" s="156">
        <f t="shared" si="214"/>
        <v>-3.6289065407398638E-14</v>
      </c>
      <c r="Z743" s="46"/>
      <c r="AA743" s="107">
        <f t="shared" si="196"/>
        <v>0</v>
      </c>
    </row>
    <row r="744" spans="1:31" x14ac:dyDescent="0.2">
      <c r="A744" s="73">
        <v>113</v>
      </c>
      <c r="B744" s="86">
        <f t="shared" si="215"/>
        <v>0</v>
      </c>
      <c r="C744" s="50">
        <f t="shared" si="197"/>
        <v>0</v>
      </c>
      <c r="D744" s="86">
        <f t="shared" si="198"/>
        <v>0</v>
      </c>
      <c r="E744" s="86">
        <f t="shared" si="199"/>
        <v>0</v>
      </c>
      <c r="F744" s="74">
        <f t="shared" si="200"/>
        <v>0</v>
      </c>
      <c r="G744" s="112">
        <f t="shared" si="201"/>
        <v>0</v>
      </c>
      <c r="H744" s="112">
        <f t="shared" si="202"/>
        <v>0</v>
      </c>
      <c r="I744" s="75">
        <f t="shared" si="203"/>
        <v>0</v>
      </c>
      <c r="J744" s="74"/>
      <c r="K744" s="75">
        <f t="shared" si="204"/>
        <v>0</v>
      </c>
      <c r="L744" s="156">
        <f t="shared" si="205"/>
        <v>0</v>
      </c>
      <c r="M744" s="157"/>
      <c r="N744" s="73">
        <v>113</v>
      </c>
      <c r="O744" s="86">
        <f t="shared" si="216"/>
        <v>-1.0913936421275139E-11</v>
      </c>
      <c r="P744" s="50">
        <f t="shared" si="206"/>
        <v>0</v>
      </c>
      <c r="Q744" s="86">
        <f t="shared" si="207"/>
        <v>0</v>
      </c>
      <c r="R744" s="86">
        <f t="shared" si="208"/>
        <v>0</v>
      </c>
      <c r="S744" s="74">
        <f t="shared" si="209"/>
        <v>-1.0913936421275139E-11</v>
      </c>
      <c r="T744" s="112">
        <f t="shared" si="210"/>
        <v>-6.1942616134952106E-12</v>
      </c>
      <c r="U744" s="112">
        <f t="shared" si="211"/>
        <v>0</v>
      </c>
      <c r="V744" s="75">
        <f t="shared" si="212"/>
        <v>0</v>
      </c>
      <c r="W744" s="74"/>
      <c r="X744" s="75">
        <f t="shared" si="213"/>
        <v>0</v>
      </c>
      <c r="Y744" s="156">
        <f t="shared" si="214"/>
        <v>-3.6289065407398638E-14</v>
      </c>
      <c r="Z744" s="46"/>
      <c r="AA744" s="107">
        <f t="shared" si="196"/>
        <v>0</v>
      </c>
    </row>
    <row r="745" spans="1:31" x14ac:dyDescent="0.2">
      <c r="A745" s="73">
        <v>114</v>
      </c>
      <c r="B745" s="86">
        <f t="shared" si="215"/>
        <v>0</v>
      </c>
      <c r="C745" s="50">
        <f t="shared" si="197"/>
        <v>0</v>
      </c>
      <c r="D745" s="86">
        <f t="shared" si="198"/>
        <v>0</v>
      </c>
      <c r="E745" s="86">
        <f t="shared" si="199"/>
        <v>0</v>
      </c>
      <c r="F745" s="74">
        <f t="shared" si="200"/>
        <v>0</v>
      </c>
      <c r="G745" s="112">
        <f t="shared" si="201"/>
        <v>0</v>
      </c>
      <c r="H745" s="112">
        <f t="shared" si="202"/>
        <v>0</v>
      </c>
      <c r="I745" s="75">
        <f t="shared" si="203"/>
        <v>0</v>
      </c>
      <c r="J745" s="74"/>
      <c r="K745" s="75">
        <f t="shared" si="204"/>
        <v>0</v>
      </c>
      <c r="L745" s="156">
        <f t="shared" si="205"/>
        <v>0</v>
      </c>
      <c r="M745" s="157"/>
      <c r="N745" s="73">
        <v>114</v>
      </c>
      <c r="O745" s="86">
        <f t="shared" si="216"/>
        <v>-1.0913936421275139E-11</v>
      </c>
      <c r="P745" s="50">
        <f t="shared" si="206"/>
        <v>0</v>
      </c>
      <c r="Q745" s="86">
        <f t="shared" si="207"/>
        <v>0</v>
      </c>
      <c r="R745" s="86">
        <f t="shared" si="208"/>
        <v>0</v>
      </c>
      <c r="S745" s="74">
        <f t="shared" si="209"/>
        <v>-1.0913936421275139E-11</v>
      </c>
      <c r="T745" s="112">
        <f t="shared" si="210"/>
        <v>-6.1632903054277337E-12</v>
      </c>
      <c r="U745" s="112">
        <f t="shared" si="211"/>
        <v>0</v>
      </c>
      <c r="V745" s="75">
        <f t="shared" si="212"/>
        <v>0</v>
      </c>
      <c r="W745" s="74"/>
      <c r="X745" s="75">
        <f t="shared" si="213"/>
        <v>0</v>
      </c>
      <c r="Y745" s="156">
        <f t="shared" si="214"/>
        <v>-3.6289065407398638E-14</v>
      </c>
      <c r="Z745" s="46"/>
      <c r="AA745" s="107">
        <f t="shared" si="196"/>
        <v>0</v>
      </c>
    </row>
    <row r="746" spans="1:31" x14ac:dyDescent="0.2">
      <c r="A746" s="73">
        <v>115</v>
      </c>
      <c r="B746" s="86">
        <f t="shared" si="215"/>
        <v>0</v>
      </c>
      <c r="C746" s="50">
        <f t="shared" si="197"/>
        <v>0</v>
      </c>
      <c r="D746" s="86">
        <f t="shared" si="198"/>
        <v>0</v>
      </c>
      <c r="E746" s="86">
        <f t="shared" si="199"/>
        <v>0</v>
      </c>
      <c r="F746" s="74">
        <f t="shared" si="200"/>
        <v>0</v>
      </c>
      <c r="G746" s="112">
        <f t="shared" si="201"/>
        <v>0</v>
      </c>
      <c r="H746" s="112">
        <f t="shared" si="202"/>
        <v>0</v>
      </c>
      <c r="I746" s="75">
        <f t="shared" si="203"/>
        <v>0</v>
      </c>
      <c r="J746" s="74"/>
      <c r="K746" s="75">
        <f t="shared" si="204"/>
        <v>0</v>
      </c>
      <c r="L746" s="156">
        <f t="shared" si="205"/>
        <v>0</v>
      </c>
      <c r="M746" s="157"/>
      <c r="N746" s="73">
        <v>115</v>
      </c>
      <c r="O746" s="86">
        <f t="shared" si="216"/>
        <v>-1.0913936421275139E-11</v>
      </c>
      <c r="P746" s="50">
        <f t="shared" si="206"/>
        <v>0</v>
      </c>
      <c r="Q746" s="86">
        <f t="shared" si="207"/>
        <v>0</v>
      </c>
      <c r="R746" s="86">
        <f t="shared" si="208"/>
        <v>0</v>
      </c>
      <c r="S746" s="74">
        <f t="shared" si="209"/>
        <v>-1.0913936421275139E-11</v>
      </c>
      <c r="T746" s="112">
        <f t="shared" si="210"/>
        <v>-6.132473853900595E-12</v>
      </c>
      <c r="U746" s="112">
        <f t="shared" si="211"/>
        <v>0</v>
      </c>
      <c r="V746" s="75">
        <f t="shared" si="212"/>
        <v>0</v>
      </c>
      <c r="W746" s="74"/>
      <c r="X746" s="75">
        <f t="shared" si="213"/>
        <v>0</v>
      </c>
      <c r="Y746" s="156">
        <f t="shared" si="214"/>
        <v>-3.6289065407398638E-14</v>
      </c>
      <c r="Z746" s="46"/>
      <c r="AA746" s="107">
        <f t="shared" si="196"/>
        <v>0</v>
      </c>
    </row>
    <row r="747" spans="1:31" x14ac:dyDescent="0.2">
      <c r="A747" s="73">
        <v>116</v>
      </c>
      <c r="B747" s="86">
        <f t="shared" si="215"/>
        <v>0</v>
      </c>
      <c r="C747" s="50">
        <f t="shared" si="197"/>
        <v>0</v>
      </c>
      <c r="D747" s="86">
        <f t="shared" si="198"/>
        <v>0</v>
      </c>
      <c r="E747" s="86">
        <f t="shared" si="199"/>
        <v>0</v>
      </c>
      <c r="F747" s="74">
        <f t="shared" si="200"/>
        <v>0</v>
      </c>
      <c r="G747" s="112">
        <f t="shared" si="201"/>
        <v>0</v>
      </c>
      <c r="H747" s="112">
        <f t="shared" si="202"/>
        <v>0</v>
      </c>
      <c r="I747" s="75">
        <f t="shared" si="203"/>
        <v>0</v>
      </c>
      <c r="J747" s="74"/>
      <c r="K747" s="75">
        <f t="shared" si="204"/>
        <v>0</v>
      </c>
      <c r="L747" s="156">
        <f t="shared" si="205"/>
        <v>0</v>
      </c>
      <c r="M747" s="157"/>
      <c r="N747" s="73">
        <v>116</v>
      </c>
      <c r="O747" s="86">
        <f t="shared" si="216"/>
        <v>-1.0913936421275139E-11</v>
      </c>
      <c r="P747" s="50">
        <f t="shared" si="206"/>
        <v>0</v>
      </c>
      <c r="Q747" s="86">
        <f t="shared" si="207"/>
        <v>0</v>
      </c>
      <c r="R747" s="86">
        <f t="shared" si="208"/>
        <v>0</v>
      </c>
      <c r="S747" s="74">
        <f t="shared" si="209"/>
        <v>-1.0913936421275139E-11</v>
      </c>
      <c r="T747" s="112">
        <f t="shared" si="210"/>
        <v>-6.1018114846310932E-12</v>
      </c>
      <c r="U747" s="112">
        <f t="shared" si="211"/>
        <v>0</v>
      </c>
      <c r="V747" s="75">
        <f t="shared" si="212"/>
        <v>0</v>
      </c>
      <c r="W747" s="74"/>
      <c r="X747" s="75">
        <f t="shared" si="213"/>
        <v>0</v>
      </c>
      <c r="Y747" s="156">
        <f t="shared" si="214"/>
        <v>-3.6289065407398638E-14</v>
      </c>
      <c r="Z747" s="46"/>
      <c r="AA747" s="107">
        <f t="shared" si="196"/>
        <v>0</v>
      </c>
    </row>
    <row r="748" spans="1:31" x14ac:dyDescent="0.2">
      <c r="A748" s="73">
        <v>117</v>
      </c>
      <c r="B748" s="86">
        <f t="shared" si="215"/>
        <v>0</v>
      </c>
      <c r="C748" s="50">
        <f t="shared" si="197"/>
        <v>0</v>
      </c>
      <c r="D748" s="86">
        <f t="shared" si="198"/>
        <v>0</v>
      </c>
      <c r="E748" s="86">
        <f t="shared" si="199"/>
        <v>0</v>
      </c>
      <c r="F748" s="74">
        <f t="shared" si="200"/>
        <v>0</v>
      </c>
      <c r="G748" s="112">
        <f t="shared" si="201"/>
        <v>0</v>
      </c>
      <c r="H748" s="112">
        <f t="shared" si="202"/>
        <v>0</v>
      </c>
      <c r="I748" s="75">
        <f t="shared" si="203"/>
        <v>0</v>
      </c>
      <c r="J748" s="74"/>
      <c r="K748" s="75">
        <f t="shared" si="204"/>
        <v>0</v>
      </c>
      <c r="L748" s="156">
        <f t="shared" si="205"/>
        <v>0</v>
      </c>
      <c r="M748" s="157"/>
      <c r="N748" s="73">
        <v>117</v>
      </c>
      <c r="O748" s="86">
        <f t="shared" si="216"/>
        <v>-1.0913936421275139E-11</v>
      </c>
      <c r="P748" s="50">
        <f t="shared" si="206"/>
        <v>0</v>
      </c>
      <c r="Q748" s="86">
        <f t="shared" si="207"/>
        <v>0</v>
      </c>
      <c r="R748" s="86">
        <f t="shared" si="208"/>
        <v>0</v>
      </c>
      <c r="S748" s="74">
        <f t="shared" si="209"/>
        <v>-1.0913936421275139E-11</v>
      </c>
      <c r="T748" s="112">
        <f t="shared" si="210"/>
        <v>-6.0713024272079369E-12</v>
      </c>
      <c r="U748" s="112">
        <f t="shared" si="211"/>
        <v>0</v>
      </c>
      <c r="V748" s="75">
        <f t="shared" si="212"/>
        <v>0</v>
      </c>
      <c r="W748" s="74"/>
      <c r="X748" s="75">
        <f t="shared" si="213"/>
        <v>0</v>
      </c>
      <c r="Y748" s="156">
        <f t="shared" si="214"/>
        <v>-3.6289065407398638E-14</v>
      </c>
      <c r="Z748" s="46"/>
      <c r="AA748" s="107">
        <f t="shared" si="196"/>
        <v>0</v>
      </c>
    </row>
    <row r="749" spans="1:31" x14ac:dyDescent="0.2">
      <c r="A749" s="73">
        <v>118</v>
      </c>
      <c r="B749" s="86">
        <f t="shared" si="215"/>
        <v>0</v>
      </c>
      <c r="C749" s="50">
        <f t="shared" si="197"/>
        <v>0</v>
      </c>
      <c r="D749" s="86">
        <f t="shared" si="198"/>
        <v>0</v>
      </c>
      <c r="E749" s="86">
        <f t="shared" si="199"/>
        <v>0</v>
      </c>
      <c r="F749" s="74">
        <f t="shared" si="200"/>
        <v>0</v>
      </c>
      <c r="G749" s="112">
        <f t="shared" si="201"/>
        <v>0</v>
      </c>
      <c r="H749" s="112">
        <f t="shared" si="202"/>
        <v>0</v>
      </c>
      <c r="I749" s="75">
        <f t="shared" si="203"/>
        <v>0</v>
      </c>
      <c r="J749" s="74"/>
      <c r="K749" s="75">
        <f t="shared" si="204"/>
        <v>0</v>
      </c>
      <c r="L749" s="156">
        <f t="shared" si="205"/>
        <v>0</v>
      </c>
      <c r="M749" s="157"/>
      <c r="N749" s="73">
        <v>118</v>
      </c>
      <c r="O749" s="86">
        <f t="shared" si="216"/>
        <v>-1.0913936421275139E-11</v>
      </c>
      <c r="P749" s="50">
        <f t="shared" si="206"/>
        <v>0</v>
      </c>
      <c r="Q749" s="86">
        <f t="shared" si="207"/>
        <v>0</v>
      </c>
      <c r="R749" s="86">
        <f t="shared" si="208"/>
        <v>0</v>
      </c>
      <c r="S749" s="74">
        <f t="shared" si="209"/>
        <v>-1.0913936421275139E-11</v>
      </c>
      <c r="T749" s="112">
        <f t="shared" si="210"/>
        <v>-6.0409459150718973E-12</v>
      </c>
      <c r="U749" s="112">
        <f t="shared" si="211"/>
        <v>0</v>
      </c>
      <c r="V749" s="75">
        <f t="shared" si="212"/>
        <v>0</v>
      </c>
      <c r="W749" s="74"/>
      <c r="X749" s="75">
        <f t="shared" si="213"/>
        <v>0</v>
      </c>
      <c r="Y749" s="156">
        <f t="shared" si="214"/>
        <v>-3.6289065407398638E-14</v>
      </c>
      <c r="Z749" s="46"/>
      <c r="AA749" s="107">
        <f t="shared" si="196"/>
        <v>0</v>
      </c>
    </row>
    <row r="750" spans="1:31" x14ac:dyDescent="0.2">
      <c r="A750" s="73">
        <v>119</v>
      </c>
      <c r="B750" s="86">
        <f t="shared" si="215"/>
        <v>0</v>
      </c>
      <c r="C750" s="50">
        <f t="shared" si="197"/>
        <v>0</v>
      </c>
      <c r="D750" s="86">
        <f t="shared" si="198"/>
        <v>0</v>
      </c>
      <c r="E750" s="86">
        <f t="shared" si="199"/>
        <v>0</v>
      </c>
      <c r="F750" s="74">
        <f t="shared" si="200"/>
        <v>0</v>
      </c>
      <c r="G750" s="112">
        <f t="shared" si="201"/>
        <v>0</v>
      </c>
      <c r="H750" s="112">
        <f t="shared" si="202"/>
        <v>0</v>
      </c>
      <c r="I750" s="75">
        <f t="shared" si="203"/>
        <v>0</v>
      </c>
      <c r="J750" s="74"/>
      <c r="K750" s="75">
        <f t="shared" si="204"/>
        <v>0</v>
      </c>
      <c r="L750" s="156">
        <f t="shared" si="205"/>
        <v>0</v>
      </c>
      <c r="M750" s="157"/>
      <c r="N750" s="73">
        <v>119</v>
      </c>
      <c r="O750" s="86">
        <f t="shared" si="216"/>
        <v>-1.0913936421275139E-11</v>
      </c>
      <c r="P750" s="50">
        <f t="shared" si="206"/>
        <v>0</v>
      </c>
      <c r="Q750" s="86">
        <f t="shared" si="207"/>
        <v>0</v>
      </c>
      <c r="R750" s="86">
        <f t="shared" si="208"/>
        <v>0</v>
      </c>
      <c r="S750" s="74">
        <f t="shared" si="209"/>
        <v>-1.0913936421275139E-11</v>
      </c>
      <c r="T750" s="112">
        <f t="shared" si="210"/>
        <v>-6.0107411854965384E-12</v>
      </c>
      <c r="U750" s="112">
        <f t="shared" si="211"/>
        <v>0</v>
      </c>
      <c r="V750" s="75">
        <f t="shared" si="212"/>
        <v>0</v>
      </c>
      <c r="W750" s="74"/>
      <c r="X750" s="75">
        <f t="shared" si="213"/>
        <v>0</v>
      </c>
      <c r="Y750" s="156">
        <f t="shared" si="214"/>
        <v>-3.6289065407398638E-14</v>
      </c>
      <c r="Z750" s="46"/>
      <c r="AA750" s="107">
        <f t="shared" si="196"/>
        <v>0</v>
      </c>
    </row>
    <row r="751" spans="1:31" x14ac:dyDescent="0.2">
      <c r="A751" s="73">
        <v>120</v>
      </c>
      <c r="B751" s="86">
        <f t="shared" si="215"/>
        <v>0</v>
      </c>
      <c r="C751" s="50">
        <f t="shared" si="197"/>
        <v>0</v>
      </c>
      <c r="D751" s="86">
        <f t="shared" si="198"/>
        <v>0</v>
      </c>
      <c r="E751" s="86">
        <f t="shared" si="199"/>
        <v>0</v>
      </c>
      <c r="F751" s="74">
        <f t="shared" si="200"/>
        <v>0</v>
      </c>
      <c r="G751" s="112">
        <f t="shared" si="201"/>
        <v>0</v>
      </c>
      <c r="H751" s="112">
        <f t="shared" si="202"/>
        <v>0</v>
      </c>
      <c r="I751" s="75">
        <f t="shared" si="203"/>
        <v>0</v>
      </c>
      <c r="J751" s="74"/>
      <c r="K751" s="75">
        <f t="shared" si="204"/>
        <v>0</v>
      </c>
      <c r="L751" s="156">
        <f t="shared" si="205"/>
        <v>0</v>
      </c>
      <c r="M751" s="157"/>
      <c r="N751" s="73">
        <v>120</v>
      </c>
      <c r="O751" s="86">
        <f t="shared" si="216"/>
        <v>-1.0913936421275139E-11</v>
      </c>
      <c r="P751" s="50">
        <f t="shared" si="206"/>
        <v>0</v>
      </c>
      <c r="Q751" s="86">
        <f t="shared" si="207"/>
        <v>0</v>
      </c>
      <c r="R751" s="86">
        <f t="shared" si="208"/>
        <v>0</v>
      </c>
      <c r="S751" s="74">
        <f t="shared" si="209"/>
        <v>-1.0913936421275139E-11</v>
      </c>
      <c r="T751" s="112">
        <f t="shared" si="210"/>
        <v>-5.9806874795690551E-12</v>
      </c>
      <c r="U751" s="112">
        <f t="shared" si="211"/>
        <v>0</v>
      </c>
      <c r="V751" s="75">
        <f t="shared" si="212"/>
        <v>0</v>
      </c>
      <c r="W751" s="74"/>
      <c r="X751" s="75">
        <f t="shared" si="213"/>
        <v>0</v>
      </c>
      <c r="Y751" s="156">
        <f t="shared" si="214"/>
        <v>-3.6289065407398638E-14</v>
      </c>
      <c r="Z751" s="46"/>
      <c r="AA751" s="107">
        <f t="shared" si="196"/>
        <v>0</v>
      </c>
    </row>
    <row r="752" spans="1:31" x14ac:dyDescent="0.2">
      <c r="A752" s="73">
        <v>121</v>
      </c>
      <c r="B752" s="86">
        <f t="shared" si="215"/>
        <v>0</v>
      </c>
      <c r="C752" s="50">
        <f t="shared" si="197"/>
        <v>0</v>
      </c>
      <c r="D752" s="86">
        <f t="shared" si="198"/>
        <v>0</v>
      </c>
      <c r="E752" s="86">
        <f t="shared" si="199"/>
        <v>0</v>
      </c>
      <c r="F752" s="74">
        <f t="shared" si="200"/>
        <v>0</v>
      </c>
      <c r="G752" s="112">
        <f t="shared" si="201"/>
        <v>0</v>
      </c>
      <c r="H752" s="112">
        <f t="shared" si="202"/>
        <v>0</v>
      </c>
      <c r="I752" s="75">
        <f t="shared" si="203"/>
        <v>0</v>
      </c>
      <c r="J752" s="74"/>
      <c r="K752" s="75">
        <f t="shared" si="204"/>
        <v>0</v>
      </c>
      <c r="L752" s="156">
        <f t="shared" si="205"/>
        <v>0</v>
      </c>
      <c r="M752" s="157"/>
      <c r="N752" s="73">
        <v>121</v>
      </c>
      <c r="O752" s="86">
        <f t="shared" si="216"/>
        <v>-1.0913936421275139E-11</v>
      </c>
      <c r="P752" s="50">
        <f t="shared" si="206"/>
        <v>0</v>
      </c>
      <c r="Q752" s="86">
        <f t="shared" si="207"/>
        <v>0</v>
      </c>
      <c r="R752" s="86">
        <f t="shared" si="208"/>
        <v>0</v>
      </c>
      <c r="S752" s="74">
        <f t="shared" si="209"/>
        <v>-1.0913936421275139E-11</v>
      </c>
      <c r="T752" s="112">
        <f t="shared" si="210"/>
        <v>-5.9507840421712102E-12</v>
      </c>
      <c r="U752" s="112">
        <f t="shared" si="211"/>
        <v>0</v>
      </c>
      <c r="V752" s="75">
        <f t="shared" si="212"/>
        <v>0</v>
      </c>
      <c r="W752" s="74"/>
      <c r="X752" s="75">
        <f t="shared" si="213"/>
        <v>0</v>
      </c>
      <c r="Y752" s="156">
        <f t="shared" si="214"/>
        <v>-3.6289065407398638E-14</v>
      </c>
      <c r="Z752" s="46"/>
      <c r="AA752" s="107">
        <f t="shared" si="196"/>
        <v>0</v>
      </c>
    </row>
    <row r="753" spans="1:27" x14ac:dyDescent="0.2">
      <c r="A753" s="73">
        <v>122</v>
      </c>
      <c r="B753" s="86">
        <f t="shared" si="215"/>
        <v>0</v>
      </c>
      <c r="C753" s="50">
        <f t="shared" si="197"/>
        <v>0</v>
      </c>
      <c r="D753" s="86">
        <f t="shared" si="198"/>
        <v>0</v>
      </c>
      <c r="E753" s="86">
        <f t="shared" si="199"/>
        <v>0</v>
      </c>
      <c r="F753" s="74">
        <f t="shared" si="200"/>
        <v>0</v>
      </c>
      <c r="G753" s="112">
        <f t="shared" si="201"/>
        <v>0</v>
      </c>
      <c r="H753" s="112">
        <f t="shared" si="202"/>
        <v>0</v>
      </c>
      <c r="I753" s="75">
        <f t="shared" si="203"/>
        <v>0</v>
      </c>
      <c r="J753" s="74"/>
      <c r="K753" s="75">
        <f t="shared" si="204"/>
        <v>0</v>
      </c>
      <c r="L753" s="156">
        <f t="shared" si="205"/>
        <v>0</v>
      </c>
      <c r="M753" s="157"/>
      <c r="N753" s="73">
        <v>122</v>
      </c>
      <c r="O753" s="86">
        <f t="shared" si="216"/>
        <v>-1.0913936421275139E-11</v>
      </c>
      <c r="P753" s="50">
        <f t="shared" si="206"/>
        <v>0</v>
      </c>
      <c r="Q753" s="86">
        <f t="shared" si="207"/>
        <v>0</v>
      </c>
      <c r="R753" s="86">
        <f t="shared" si="208"/>
        <v>0</v>
      </c>
      <c r="S753" s="74">
        <f t="shared" si="209"/>
        <v>-1.0913936421275139E-11</v>
      </c>
      <c r="T753" s="112">
        <f t="shared" si="210"/>
        <v>-5.9210301219603543E-12</v>
      </c>
      <c r="U753" s="112">
        <f t="shared" si="211"/>
        <v>0</v>
      </c>
      <c r="V753" s="75">
        <f t="shared" si="212"/>
        <v>0</v>
      </c>
      <c r="W753" s="74"/>
      <c r="X753" s="75">
        <f t="shared" si="213"/>
        <v>0</v>
      </c>
      <c r="Y753" s="156">
        <f t="shared" si="214"/>
        <v>-3.6289065407398638E-14</v>
      </c>
      <c r="Z753" s="46"/>
      <c r="AA753" s="107">
        <f t="shared" si="196"/>
        <v>0</v>
      </c>
    </row>
    <row r="754" spans="1:27" x14ac:dyDescent="0.2">
      <c r="A754" s="73">
        <v>123</v>
      </c>
      <c r="B754" s="86">
        <f t="shared" si="215"/>
        <v>0</v>
      </c>
      <c r="C754" s="50">
        <f t="shared" si="197"/>
        <v>0</v>
      </c>
      <c r="D754" s="86">
        <f t="shared" si="198"/>
        <v>0</v>
      </c>
      <c r="E754" s="86">
        <f t="shared" si="199"/>
        <v>0</v>
      </c>
      <c r="F754" s="74">
        <f t="shared" si="200"/>
        <v>0</v>
      </c>
      <c r="G754" s="112">
        <f t="shared" si="201"/>
        <v>0</v>
      </c>
      <c r="H754" s="112">
        <f t="shared" si="202"/>
        <v>0</v>
      </c>
      <c r="I754" s="75">
        <f t="shared" si="203"/>
        <v>0</v>
      </c>
      <c r="J754" s="74"/>
      <c r="K754" s="75">
        <f t="shared" si="204"/>
        <v>0</v>
      </c>
      <c r="L754" s="156">
        <f t="shared" si="205"/>
        <v>0</v>
      </c>
      <c r="M754" s="157"/>
      <c r="N754" s="73">
        <v>123</v>
      </c>
      <c r="O754" s="86">
        <f t="shared" si="216"/>
        <v>-1.0913936421275139E-11</v>
      </c>
      <c r="P754" s="50">
        <f t="shared" si="206"/>
        <v>0</v>
      </c>
      <c r="Q754" s="86">
        <f t="shared" si="207"/>
        <v>0</v>
      </c>
      <c r="R754" s="86">
        <f t="shared" si="208"/>
        <v>0</v>
      </c>
      <c r="S754" s="74">
        <f t="shared" si="209"/>
        <v>-1.0913936421275139E-11</v>
      </c>
      <c r="T754" s="112">
        <f t="shared" si="210"/>
        <v>-5.8914249713505514E-12</v>
      </c>
      <c r="U754" s="112">
        <f t="shared" si="211"/>
        <v>0</v>
      </c>
      <c r="V754" s="75">
        <f t="shared" si="212"/>
        <v>0</v>
      </c>
      <c r="W754" s="74"/>
      <c r="X754" s="75">
        <f t="shared" si="213"/>
        <v>0</v>
      </c>
      <c r="Y754" s="156">
        <f t="shared" si="214"/>
        <v>-3.6289065407398638E-14</v>
      </c>
      <c r="Z754" s="46"/>
      <c r="AA754" s="107">
        <f t="shared" si="196"/>
        <v>0</v>
      </c>
    </row>
    <row r="755" spans="1:27" x14ac:dyDescent="0.2">
      <c r="A755" s="73">
        <v>124</v>
      </c>
      <c r="B755" s="86">
        <f t="shared" si="215"/>
        <v>0</v>
      </c>
      <c r="C755" s="50">
        <f t="shared" si="197"/>
        <v>0</v>
      </c>
      <c r="D755" s="86">
        <f t="shared" si="198"/>
        <v>0</v>
      </c>
      <c r="E755" s="86">
        <f t="shared" si="199"/>
        <v>0</v>
      </c>
      <c r="F755" s="74">
        <f t="shared" si="200"/>
        <v>0</v>
      </c>
      <c r="G755" s="112">
        <f t="shared" si="201"/>
        <v>0</v>
      </c>
      <c r="H755" s="112">
        <f t="shared" si="202"/>
        <v>0</v>
      </c>
      <c r="I755" s="75">
        <f t="shared" si="203"/>
        <v>0</v>
      </c>
      <c r="J755" s="74"/>
      <c r="K755" s="75">
        <f t="shared" si="204"/>
        <v>0</v>
      </c>
      <c r="L755" s="156">
        <f t="shared" si="205"/>
        <v>0</v>
      </c>
      <c r="M755" s="157"/>
      <c r="N755" s="73">
        <v>124</v>
      </c>
      <c r="O755" s="86">
        <f t="shared" si="216"/>
        <v>-1.0913936421275139E-11</v>
      </c>
      <c r="P755" s="50">
        <f t="shared" si="206"/>
        <v>0</v>
      </c>
      <c r="Q755" s="86">
        <f t="shared" si="207"/>
        <v>0</v>
      </c>
      <c r="R755" s="86">
        <f t="shared" si="208"/>
        <v>0</v>
      </c>
      <c r="S755" s="74">
        <f t="shared" si="209"/>
        <v>-1.0913936421275139E-11</v>
      </c>
      <c r="T755" s="112">
        <f t="shared" si="210"/>
        <v>-5.8619678464938002E-12</v>
      </c>
      <c r="U755" s="112">
        <f t="shared" si="211"/>
        <v>0</v>
      </c>
      <c r="V755" s="75">
        <f t="shared" si="212"/>
        <v>0</v>
      </c>
      <c r="W755" s="74"/>
      <c r="X755" s="75">
        <f t="shared" si="213"/>
        <v>0</v>
      </c>
      <c r="Y755" s="156">
        <f t="shared" si="214"/>
        <v>-3.6289065407398638E-14</v>
      </c>
      <c r="Z755" s="46"/>
      <c r="AA755" s="107">
        <f t="shared" si="196"/>
        <v>0</v>
      </c>
    </row>
    <row r="756" spans="1:27" x14ac:dyDescent="0.2">
      <c r="A756" s="73">
        <v>125</v>
      </c>
      <c r="B756" s="86">
        <f t="shared" si="215"/>
        <v>0</v>
      </c>
      <c r="C756" s="50">
        <f t="shared" si="197"/>
        <v>0</v>
      </c>
      <c r="D756" s="86">
        <f t="shared" si="198"/>
        <v>0</v>
      </c>
      <c r="E756" s="86">
        <f t="shared" si="199"/>
        <v>0</v>
      </c>
      <c r="F756" s="74">
        <f t="shared" si="200"/>
        <v>0</v>
      </c>
      <c r="G756" s="112">
        <f t="shared" si="201"/>
        <v>0</v>
      </c>
      <c r="H756" s="112">
        <f t="shared" si="202"/>
        <v>0</v>
      </c>
      <c r="I756" s="75">
        <f t="shared" si="203"/>
        <v>0</v>
      </c>
      <c r="J756" s="74"/>
      <c r="K756" s="75">
        <f t="shared" si="204"/>
        <v>0</v>
      </c>
      <c r="L756" s="156">
        <f t="shared" si="205"/>
        <v>0</v>
      </c>
      <c r="M756" s="157"/>
      <c r="N756" s="73">
        <v>125</v>
      </c>
      <c r="O756" s="86">
        <f t="shared" si="216"/>
        <v>-1.0913936421275139E-11</v>
      </c>
      <c r="P756" s="50">
        <f t="shared" si="206"/>
        <v>0</v>
      </c>
      <c r="Q756" s="86">
        <f t="shared" si="207"/>
        <v>0</v>
      </c>
      <c r="R756" s="86">
        <f t="shared" si="208"/>
        <v>0</v>
      </c>
      <c r="S756" s="74">
        <f t="shared" si="209"/>
        <v>-1.0913936421275139E-11</v>
      </c>
      <c r="T756" s="112">
        <f t="shared" si="210"/>
        <v>-5.8326580072613319E-12</v>
      </c>
      <c r="U756" s="112">
        <f t="shared" si="211"/>
        <v>0</v>
      </c>
      <c r="V756" s="75">
        <f t="shared" si="212"/>
        <v>0</v>
      </c>
      <c r="W756" s="74"/>
      <c r="X756" s="75">
        <f t="shared" si="213"/>
        <v>0</v>
      </c>
      <c r="Y756" s="156">
        <f t="shared" si="214"/>
        <v>-3.6289065407398638E-14</v>
      </c>
      <c r="Z756" s="46"/>
      <c r="AA756" s="107">
        <f t="shared" si="196"/>
        <v>0</v>
      </c>
    </row>
    <row r="757" spans="1:27" x14ac:dyDescent="0.2">
      <c r="A757" s="73">
        <v>126</v>
      </c>
      <c r="B757" s="86">
        <f t="shared" si="215"/>
        <v>0</v>
      </c>
      <c r="C757" s="50">
        <f t="shared" si="197"/>
        <v>0</v>
      </c>
      <c r="D757" s="86">
        <f t="shared" si="198"/>
        <v>0</v>
      </c>
      <c r="E757" s="86">
        <f t="shared" si="199"/>
        <v>0</v>
      </c>
      <c r="F757" s="74">
        <f t="shared" si="200"/>
        <v>0</v>
      </c>
      <c r="G757" s="112">
        <f t="shared" si="201"/>
        <v>0</v>
      </c>
      <c r="H757" s="112">
        <f t="shared" si="202"/>
        <v>0</v>
      </c>
      <c r="I757" s="75">
        <f t="shared" si="203"/>
        <v>0</v>
      </c>
      <c r="J757" s="74"/>
      <c r="K757" s="75">
        <f t="shared" si="204"/>
        <v>0</v>
      </c>
      <c r="L757" s="156">
        <f t="shared" si="205"/>
        <v>0</v>
      </c>
      <c r="M757" s="157"/>
      <c r="N757" s="73">
        <v>126</v>
      </c>
      <c r="O757" s="86">
        <f t="shared" si="216"/>
        <v>-1.0913936421275139E-11</v>
      </c>
      <c r="P757" s="50">
        <f t="shared" si="206"/>
        <v>0</v>
      </c>
      <c r="Q757" s="86">
        <f t="shared" si="207"/>
        <v>0</v>
      </c>
      <c r="R757" s="86">
        <f t="shared" si="208"/>
        <v>0</v>
      </c>
      <c r="S757" s="74">
        <f t="shared" si="209"/>
        <v>-1.0913936421275139E-11</v>
      </c>
      <c r="T757" s="112">
        <f t="shared" si="210"/>
        <v>-5.8034947172250247E-12</v>
      </c>
      <c r="U757" s="112">
        <f t="shared" si="211"/>
        <v>0</v>
      </c>
      <c r="V757" s="75">
        <f t="shared" si="212"/>
        <v>0</v>
      </c>
      <c r="W757" s="74"/>
      <c r="X757" s="75">
        <f t="shared" si="213"/>
        <v>0</v>
      </c>
      <c r="Y757" s="156">
        <f t="shared" si="214"/>
        <v>-3.6289065407398638E-14</v>
      </c>
      <c r="Z757" s="46"/>
      <c r="AA757" s="107">
        <f t="shared" si="196"/>
        <v>0</v>
      </c>
    </row>
    <row r="758" spans="1:27" x14ac:dyDescent="0.2">
      <c r="A758" s="73">
        <v>127</v>
      </c>
      <c r="B758" s="86">
        <f t="shared" si="215"/>
        <v>0</v>
      </c>
      <c r="C758" s="50">
        <f t="shared" si="197"/>
        <v>0</v>
      </c>
      <c r="D758" s="86">
        <f t="shared" si="198"/>
        <v>0</v>
      </c>
      <c r="E758" s="86">
        <f t="shared" si="199"/>
        <v>0</v>
      </c>
      <c r="F758" s="74">
        <f t="shared" si="200"/>
        <v>0</v>
      </c>
      <c r="G758" s="112">
        <f t="shared" si="201"/>
        <v>0</v>
      </c>
      <c r="H758" s="112">
        <f t="shared" si="202"/>
        <v>0</v>
      </c>
      <c r="I758" s="75">
        <f t="shared" si="203"/>
        <v>0</v>
      </c>
      <c r="J758" s="74"/>
      <c r="K758" s="75">
        <f t="shared" si="204"/>
        <v>0</v>
      </c>
      <c r="L758" s="156">
        <f t="shared" si="205"/>
        <v>0</v>
      </c>
      <c r="M758" s="157"/>
      <c r="N758" s="73">
        <v>127</v>
      </c>
      <c r="O758" s="86">
        <f t="shared" si="216"/>
        <v>-1.0913936421275139E-11</v>
      </c>
      <c r="P758" s="50">
        <f t="shared" si="206"/>
        <v>0</v>
      </c>
      <c r="Q758" s="86">
        <f t="shared" si="207"/>
        <v>0</v>
      </c>
      <c r="R758" s="86">
        <f t="shared" si="208"/>
        <v>0</v>
      </c>
      <c r="S758" s="74">
        <f t="shared" si="209"/>
        <v>-1.0913936421275139E-11</v>
      </c>
      <c r="T758" s="112">
        <f t="shared" si="210"/>
        <v>-5.7744772436388998E-12</v>
      </c>
      <c r="U758" s="112">
        <f t="shared" si="211"/>
        <v>0</v>
      </c>
      <c r="V758" s="75">
        <f t="shared" si="212"/>
        <v>0</v>
      </c>
      <c r="W758" s="74"/>
      <c r="X758" s="75">
        <f t="shared" si="213"/>
        <v>0</v>
      </c>
      <c r="Y758" s="156">
        <f t="shared" si="214"/>
        <v>-3.6289065407398638E-14</v>
      </c>
      <c r="Z758" s="46"/>
      <c r="AA758" s="107">
        <f t="shared" si="196"/>
        <v>0</v>
      </c>
    </row>
    <row r="759" spans="1:27" x14ac:dyDescent="0.2">
      <c r="A759" s="73">
        <v>128</v>
      </c>
      <c r="B759" s="86">
        <f t="shared" si="215"/>
        <v>0</v>
      </c>
      <c r="C759" s="50">
        <f t="shared" si="197"/>
        <v>0</v>
      </c>
      <c r="D759" s="86">
        <f t="shared" si="198"/>
        <v>0</v>
      </c>
      <c r="E759" s="86">
        <f t="shared" si="199"/>
        <v>0</v>
      </c>
      <c r="F759" s="74">
        <f t="shared" si="200"/>
        <v>0</v>
      </c>
      <c r="G759" s="112">
        <f t="shared" si="201"/>
        <v>0</v>
      </c>
      <c r="H759" s="112">
        <f t="shared" si="202"/>
        <v>0</v>
      </c>
      <c r="I759" s="75">
        <f t="shared" si="203"/>
        <v>0</v>
      </c>
      <c r="J759" s="74"/>
      <c r="K759" s="75">
        <f t="shared" si="204"/>
        <v>0</v>
      </c>
      <c r="L759" s="156">
        <f t="shared" si="205"/>
        <v>0</v>
      </c>
      <c r="M759" s="157"/>
      <c r="N759" s="73">
        <v>128</v>
      </c>
      <c r="O759" s="86">
        <f t="shared" si="216"/>
        <v>-1.0913936421275139E-11</v>
      </c>
      <c r="P759" s="50">
        <f t="shared" si="206"/>
        <v>0</v>
      </c>
      <c r="Q759" s="86">
        <f t="shared" si="207"/>
        <v>0</v>
      </c>
      <c r="R759" s="86">
        <f t="shared" si="208"/>
        <v>0</v>
      </c>
      <c r="S759" s="74">
        <f t="shared" si="209"/>
        <v>-1.0913936421275139E-11</v>
      </c>
      <c r="T759" s="112">
        <f t="shared" si="210"/>
        <v>-5.7456048574207056E-12</v>
      </c>
      <c r="U759" s="112">
        <f t="shared" si="211"/>
        <v>0</v>
      </c>
      <c r="V759" s="75">
        <f t="shared" si="212"/>
        <v>0</v>
      </c>
      <c r="W759" s="74"/>
      <c r="X759" s="75">
        <f t="shared" si="213"/>
        <v>0</v>
      </c>
      <c r="Y759" s="156">
        <f t="shared" si="214"/>
        <v>-3.6289065407398638E-14</v>
      </c>
      <c r="Z759" s="46"/>
      <c r="AA759" s="107">
        <f t="shared" ref="AA759:AA790" si="217">+V759-I759</f>
        <v>0</v>
      </c>
    </row>
    <row r="760" spans="1:27" x14ac:dyDescent="0.2">
      <c r="A760" s="73">
        <v>129</v>
      </c>
      <c r="B760" s="86">
        <f t="shared" si="215"/>
        <v>0</v>
      </c>
      <c r="C760" s="50">
        <f t="shared" ref="C760:C791" si="218">(IF(A760&lt;$B$613,PMT($B$614/12,$B$613,-$B$612,$B$617,0),IF(A760=$B$613,PMT($B$614/12,$B$613,-$B$612,$B$617,0)+$B$617,0)))</f>
        <v>0</v>
      </c>
      <c r="D760" s="86">
        <f t="shared" ref="D760:D791" si="219">IF(A760&lt;=$B$613,B760*$B$614/12,0)</f>
        <v>0</v>
      </c>
      <c r="E760" s="86">
        <f t="shared" ref="E760:E791" si="220">C760-D760</f>
        <v>0</v>
      </c>
      <c r="F760" s="74">
        <f t="shared" ref="F760:F791" si="221">(B760-E760)</f>
        <v>0</v>
      </c>
      <c r="G760" s="112">
        <f t="shared" ref="G760:G791" si="222">B760*(1-B$621)^($A760)</f>
        <v>0</v>
      </c>
      <c r="H760" s="112">
        <f t="shared" ref="H760:H791" si="223">IF(A760&lt;=$B$613,G760*$B$614/12,0)</f>
        <v>0</v>
      </c>
      <c r="I760" s="75">
        <f t="shared" ref="I760:I791" si="224">C760</f>
        <v>0</v>
      </c>
      <c r="J760" s="74"/>
      <c r="K760" s="75">
        <f t="shared" ref="K760:K791" si="225">C760</f>
        <v>0</v>
      </c>
      <c r="L760" s="156">
        <f t="shared" ref="L760:L791" si="226">F760/$B$612*100</f>
        <v>0</v>
      </c>
      <c r="M760" s="157"/>
      <c r="N760" s="73">
        <v>129</v>
      </c>
      <c r="O760" s="86">
        <f t="shared" si="216"/>
        <v>-1.0913936421275139E-11</v>
      </c>
      <c r="P760" s="50">
        <f t="shared" ref="P760:P791" si="227">(IF(N760&lt;$B$613,PMT($B$615/12,$B$613,-$B$612,$B$617,0),IF(N760=$B$613,PMT($B$615/12,$B$613,-$B$612,$B$617,0)+$B$617,0)))</f>
        <v>0</v>
      </c>
      <c r="Q760" s="86">
        <f t="shared" ref="Q760:Q791" si="228">IF(N760&lt;=$B$613,O760*$B$615/12,0)</f>
        <v>0</v>
      </c>
      <c r="R760" s="86">
        <f t="shared" ref="R760:R791" si="229">P760-Q760</f>
        <v>0</v>
      </c>
      <c r="S760" s="74">
        <f t="shared" ref="S760:S791" si="230">(O760-R760)</f>
        <v>-1.0913936421275139E-11</v>
      </c>
      <c r="T760" s="112">
        <f t="shared" ref="T760:T791" si="231">O760*(1-B$621)^($N760)</f>
        <v>-5.7168768331336015E-12</v>
      </c>
      <c r="U760" s="112">
        <f t="shared" ref="U760:U791" si="232">IF(N760&lt;=$B$613,T760*$B$615/12,0)</f>
        <v>0</v>
      </c>
      <c r="V760" s="75">
        <f t="shared" ref="V760:V791" si="233">P760</f>
        <v>0</v>
      </c>
      <c r="W760" s="74"/>
      <c r="X760" s="75">
        <f t="shared" ref="X760:X791" si="234">P760</f>
        <v>0</v>
      </c>
      <c r="Y760" s="156">
        <f t="shared" ref="Y760:Y791" si="235">S760/$B$612*100</f>
        <v>-3.6289065407398638E-14</v>
      </c>
      <c r="Z760" s="46"/>
      <c r="AA760" s="107">
        <f t="shared" si="217"/>
        <v>0</v>
      </c>
    </row>
    <row r="761" spans="1:27" x14ac:dyDescent="0.2">
      <c r="A761" s="73">
        <v>130</v>
      </c>
      <c r="B761" s="86">
        <f t="shared" ref="B761:B792" si="236">+F760</f>
        <v>0</v>
      </c>
      <c r="C761" s="50">
        <f t="shared" si="218"/>
        <v>0</v>
      </c>
      <c r="D761" s="86">
        <f t="shared" si="219"/>
        <v>0</v>
      </c>
      <c r="E761" s="86">
        <f t="shared" si="220"/>
        <v>0</v>
      </c>
      <c r="F761" s="74">
        <f t="shared" si="221"/>
        <v>0</v>
      </c>
      <c r="G761" s="112">
        <f t="shared" si="222"/>
        <v>0</v>
      </c>
      <c r="H761" s="112">
        <f t="shared" si="223"/>
        <v>0</v>
      </c>
      <c r="I761" s="75">
        <f t="shared" si="224"/>
        <v>0</v>
      </c>
      <c r="J761" s="74"/>
      <c r="K761" s="75">
        <f t="shared" si="225"/>
        <v>0</v>
      </c>
      <c r="L761" s="156">
        <f t="shared" si="226"/>
        <v>0</v>
      </c>
      <c r="M761" s="157"/>
      <c r="N761" s="73">
        <v>130</v>
      </c>
      <c r="O761" s="86">
        <f t="shared" ref="O761:O792" si="237">+S760</f>
        <v>-1.0913936421275139E-11</v>
      </c>
      <c r="P761" s="50">
        <f t="shared" si="227"/>
        <v>0</v>
      </c>
      <c r="Q761" s="86">
        <f t="shared" si="228"/>
        <v>0</v>
      </c>
      <c r="R761" s="86">
        <f t="shared" si="229"/>
        <v>0</v>
      </c>
      <c r="S761" s="74">
        <f t="shared" si="230"/>
        <v>-1.0913936421275139E-11</v>
      </c>
      <c r="T761" s="112">
        <f t="shared" si="231"/>
        <v>-5.6882924489679338E-12</v>
      </c>
      <c r="U761" s="112">
        <f t="shared" si="232"/>
        <v>0</v>
      </c>
      <c r="V761" s="75">
        <f t="shared" si="233"/>
        <v>0</v>
      </c>
      <c r="W761" s="74"/>
      <c r="X761" s="75">
        <f t="shared" si="234"/>
        <v>0</v>
      </c>
      <c r="Y761" s="156">
        <f t="shared" si="235"/>
        <v>-3.6289065407398638E-14</v>
      </c>
      <c r="Z761" s="46"/>
      <c r="AA761" s="107">
        <f t="shared" si="217"/>
        <v>0</v>
      </c>
    </row>
    <row r="762" spans="1:27" x14ac:dyDescent="0.2">
      <c r="A762" s="73">
        <v>131</v>
      </c>
      <c r="B762" s="86">
        <f t="shared" si="236"/>
        <v>0</v>
      </c>
      <c r="C762" s="50">
        <f t="shared" si="218"/>
        <v>0</v>
      </c>
      <c r="D762" s="86">
        <f t="shared" si="219"/>
        <v>0</v>
      </c>
      <c r="E762" s="86">
        <f t="shared" si="220"/>
        <v>0</v>
      </c>
      <c r="F762" s="74">
        <f t="shared" si="221"/>
        <v>0</v>
      </c>
      <c r="G762" s="112">
        <f t="shared" si="222"/>
        <v>0</v>
      </c>
      <c r="H762" s="112">
        <f t="shared" si="223"/>
        <v>0</v>
      </c>
      <c r="I762" s="75">
        <f t="shared" si="224"/>
        <v>0</v>
      </c>
      <c r="J762" s="74"/>
      <c r="K762" s="75">
        <f t="shared" si="225"/>
        <v>0</v>
      </c>
      <c r="L762" s="156">
        <f t="shared" si="226"/>
        <v>0</v>
      </c>
      <c r="M762" s="157"/>
      <c r="N762" s="73">
        <v>131</v>
      </c>
      <c r="O762" s="86">
        <f t="shared" si="237"/>
        <v>-1.0913936421275139E-11</v>
      </c>
      <c r="P762" s="50">
        <f t="shared" si="227"/>
        <v>0</v>
      </c>
      <c r="Q762" s="86">
        <f t="shared" si="228"/>
        <v>0</v>
      </c>
      <c r="R762" s="86">
        <f t="shared" si="229"/>
        <v>0</v>
      </c>
      <c r="S762" s="74">
        <f t="shared" si="230"/>
        <v>-1.0913936421275139E-11</v>
      </c>
      <c r="T762" s="112">
        <f t="shared" si="231"/>
        <v>-5.6598509867230938E-12</v>
      </c>
      <c r="U762" s="112">
        <f t="shared" si="232"/>
        <v>0</v>
      </c>
      <c r="V762" s="75">
        <f t="shared" si="233"/>
        <v>0</v>
      </c>
      <c r="W762" s="74"/>
      <c r="X762" s="75">
        <f t="shared" si="234"/>
        <v>0</v>
      </c>
      <c r="Y762" s="156">
        <f t="shared" si="235"/>
        <v>-3.6289065407398638E-14</v>
      </c>
      <c r="Z762" s="46"/>
      <c r="AA762" s="107">
        <f t="shared" si="217"/>
        <v>0</v>
      </c>
    </row>
    <row r="763" spans="1:27" x14ac:dyDescent="0.2">
      <c r="A763" s="73">
        <v>132</v>
      </c>
      <c r="B763" s="86">
        <f t="shared" si="236"/>
        <v>0</v>
      </c>
      <c r="C763" s="50">
        <f t="shared" si="218"/>
        <v>0</v>
      </c>
      <c r="D763" s="86">
        <f t="shared" si="219"/>
        <v>0</v>
      </c>
      <c r="E763" s="86">
        <f t="shared" si="220"/>
        <v>0</v>
      </c>
      <c r="F763" s="74">
        <f t="shared" si="221"/>
        <v>0</v>
      </c>
      <c r="G763" s="112">
        <f t="shared" si="222"/>
        <v>0</v>
      </c>
      <c r="H763" s="112">
        <f t="shared" si="223"/>
        <v>0</v>
      </c>
      <c r="I763" s="75">
        <f t="shared" si="224"/>
        <v>0</v>
      </c>
      <c r="J763" s="74"/>
      <c r="K763" s="75">
        <f t="shared" si="225"/>
        <v>0</v>
      </c>
      <c r="L763" s="156">
        <f t="shared" si="226"/>
        <v>0</v>
      </c>
      <c r="M763" s="157"/>
      <c r="N763" s="73">
        <v>132</v>
      </c>
      <c r="O763" s="86">
        <f t="shared" si="237"/>
        <v>-1.0913936421275139E-11</v>
      </c>
      <c r="P763" s="50">
        <f t="shared" si="227"/>
        <v>0</v>
      </c>
      <c r="Q763" s="86">
        <f t="shared" si="228"/>
        <v>0</v>
      </c>
      <c r="R763" s="86">
        <f t="shared" si="229"/>
        <v>0</v>
      </c>
      <c r="S763" s="74">
        <f t="shared" si="230"/>
        <v>-1.0913936421275139E-11</v>
      </c>
      <c r="T763" s="112">
        <f t="shared" si="231"/>
        <v>-5.6315517317894798E-12</v>
      </c>
      <c r="U763" s="112">
        <f t="shared" si="232"/>
        <v>0</v>
      </c>
      <c r="V763" s="75">
        <f t="shared" si="233"/>
        <v>0</v>
      </c>
      <c r="W763" s="74"/>
      <c r="X763" s="75">
        <f t="shared" si="234"/>
        <v>0</v>
      </c>
      <c r="Y763" s="156">
        <f t="shared" si="235"/>
        <v>-3.6289065407398638E-14</v>
      </c>
      <c r="Z763" s="46"/>
      <c r="AA763" s="107">
        <f t="shared" si="217"/>
        <v>0</v>
      </c>
    </row>
    <row r="764" spans="1:27" x14ac:dyDescent="0.2">
      <c r="A764" s="73">
        <v>133</v>
      </c>
      <c r="B764" s="86">
        <f t="shared" si="236"/>
        <v>0</v>
      </c>
      <c r="C764" s="50">
        <f t="shared" si="218"/>
        <v>0</v>
      </c>
      <c r="D764" s="86">
        <f t="shared" si="219"/>
        <v>0</v>
      </c>
      <c r="E764" s="86">
        <f t="shared" si="220"/>
        <v>0</v>
      </c>
      <c r="F764" s="74">
        <f t="shared" si="221"/>
        <v>0</v>
      </c>
      <c r="G764" s="112">
        <f t="shared" si="222"/>
        <v>0</v>
      </c>
      <c r="H764" s="112">
        <f t="shared" si="223"/>
        <v>0</v>
      </c>
      <c r="I764" s="75">
        <f t="shared" si="224"/>
        <v>0</v>
      </c>
      <c r="J764" s="74"/>
      <c r="K764" s="75">
        <f t="shared" si="225"/>
        <v>0</v>
      </c>
      <c r="L764" s="156">
        <f t="shared" si="226"/>
        <v>0</v>
      </c>
      <c r="M764" s="157"/>
      <c r="N764" s="73">
        <v>133</v>
      </c>
      <c r="O764" s="86">
        <f t="shared" si="237"/>
        <v>-1.0913936421275139E-11</v>
      </c>
      <c r="P764" s="50">
        <f t="shared" si="227"/>
        <v>0</v>
      </c>
      <c r="Q764" s="86">
        <f t="shared" si="228"/>
        <v>0</v>
      </c>
      <c r="R764" s="86">
        <f t="shared" si="229"/>
        <v>0</v>
      </c>
      <c r="S764" s="74">
        <f t="shared" si="230"/>
        <v>-1.0913936421275139E-11</v>
      </c>
      <c r="T764" s="112">
        <f t="shared" si="231"/>
        <v>-5.6033939731305321E-12</v>
      </c>
      <c r="U764" s="112">
        <f t="shared" si="232"/>
        <v>0</v>
      </c>
      <c r="V764" s="75">
        <f t="shared" si="233"/>
        <v>0</v>
      </c>
      <c r="W764" s="74"/>
      <c r="X764" s="75">
        <f t="shared" si="234"/>
        <v>0</v>
      </c>
      <c r="Y764" s="156">
        <f t="shared" si="235"/>
        <v>-3.6289065407398638E-14</v>
      </c>
      <c r="Z764" s="46"/>
      <c r="AA764" s="107">
        <f t="shared" si="217"/>
        <v>0</v>
      </c>
    </row>
    <row r="765" spans="1:27" x14ac:dyDescent="0.2">
      <c r="A765" s="73">
        <v>134</v>
      </c>
      <c r="B765" s="86">
        <f t="shared" si="236"/>
        <v>0</v>
      </c>
      <c r="C765" s="50">
        <f t="shared" si="218"/>
        <v>0</v>
      </c>
      <c r="D765" s="86">
        <f t="shared" si="219"/>
        <v>0</v>
      </c>
      <c r="E765" s="86">
        <f t="shared" si="220"/>
        <v>0</v>
      </c>
      <c r="F765" s="74">
        <f t="shared" si="221"/>
        <v>0</v>
      </c>
      <c r="G765" s="112">
        <f t="shared" si="222"/>
        <v>0</v>
      </c>
      <c r="H765" s="112">
        <f t="shared" si="223"/>
        <v>0</v>
      </c>
      <c r="I765" s="75">
        <f t="shared" si="224"/>
        <v>0</v>
      </c>
      <c r="J765" s="74"/>
      <c r="K765" s="75">
        <f t="shared" si="225"/>
        <v>0</v>
      </c>
      <c r="L765" s="156">
        <f t="shared" si="226"/>
        <v>0</v>
      </c>
      <c r="M765" s="157"/>
      <c r="N765" s="73">
        <v>134</v>
      </c>
      <c r="O765" s="86">
        <f t="shared" si="237"/>
        <v>-1.0913936421275139E-11</v>
      </c>
      <c r="P765" s="50">
        <f t="shared" si="227"/>
        <v>0</v>
      </c>
      <c r="Q765" s="86">
        <f t="shared" si="228"/>
        <v>0</v>
      </c>
      <c r="R765" s="86">
        <f t="shared" si="229"/>
        <v>0</v>
      </c>
      <c r="S765" s="74">
        <f t="shared" si="230"/>
        <v>-1.0913936421275139E-11</v>
      </c>
      <c r="T765" s="112">
        <f t="shared" si="231"/>
        <v>-5.575377003264879E-12</v>
      </c>
      <c r="U765" s="112">
        <f t="shared" si="232"/>
        <v>0</v>
      </c>
      <c r="V765" s="75">
        <f t="shared" si="233"/>
        <v>0</v>
      </c>
      <c r="W765" s="74"/>
      <c r="X765" s="75">
        <f t="shared" si="234"/>
        <v>0</v>
      </c>
      <c r="Y765" s="156">
        <f t="shared" si="235"/>
        <v>-3.6289065407398638E-14</v>
      </c>
      <c r="Z765" s="46"/>
      <c r="AA765" s="107">
        <f t="shared" si="217"/>
        <v>0</v>
      </c>
    </row>
    <row r="766" spans="1:27" x14ac:dyDescent="0.2">
      <c r="A766" s="73">
        <v>135</v>
      </c>
      <c r="B766" s="86">
        <f t="shared" si="236"/>
        <v>0</v>
      </c>
      <c r="C766" s="50">
        <f t="shared" si="218"/>
        <v>0</v>
      </c>
      <c r="D766" s="86">
        <f t="shared" si="219"/>
        <v>0</v>
      </c>
      <c r="E766" s="86">
        <f t="shared" si="220"/>
        <v>0</v>
      </c>
      <c r="F766" s="74">
        <f t="shared" si="221"/>
        <v>0</v>
      </c>
      <c r="G766" s="112">
        <f t="shared" si="222"/>
        <v>0</v>
      </c>
      <c r="H766" s="112">
        <f t="shared" si="223"/>
        <v>0</v>
      </c>
      <c r="I766" s="75">
        <f t="shared" si="224"/>
        <v>0</v>
      </c>
      <c r="J766" s="74"/>
      <c r="K766" s="75">
        <f t="shared" si="225"/>
        <v>0</v>
      </c>
      <c r="L766" s="156">
        <f t="shared" si="226"/>
        <v>0</v>
      </c>
      <c r="M766" s="157"/>
      <c r="N766" s="73">
        <v>135</v>
      </c>
      <c r="O766" s="86">
        <f t="shared" si="237"/>
        <v>-1.0913936421275139E-11</v>
      </c>
      <c r="P766" s="50">
        <f t="shared" si="227"/>
        <v>0</v>
      </c>
      <c r="Q766" s="86">
        <f t="shared" si="228"/>
        <v>0</v>
      </c>
      <c r="R766" s="86">
        <f t="shared" si="229"/>
        <v>0</v>
      </c>
      <c r="S766" s="74">
        <f t="shared" si="230"/>
        <v>-1.0913936421275139E-11</v>
      </c>
      <c r="T766" s="112">
        <f t="shared" si="231"/>
        <v>-5.5475001182485551E-12</v>
      </c>
      <c r="U766" s="112">
        <f t="shared" si="232"/>
        <v>0</v>
      </c>
      <c r="V766" s="75">
        <f t="shared" si="233"/>
        <v>0</v>
      </c>
      <c r="W766" s="74"/>
      <c r="X766" s="75">
        <f t="shared" si="234"/>
        <v>0</v>
      </c>
      <c r="Y766" s="156">
        <f t="shared" si="235"/>
        <v>-3.6289065407398638E-14</v>
      </c>
      <c r="Z766" s="46"/>
      <c r="AA766" s="107">
        <f t="shared" si="217"/>
        <v>0</v>
      </c>
    </row>
    <row r="767" spans="1:27" x14ac:dyDescent="0.2">
      <c r="A767" s="73">
        <v>136</v>
      </c>
      <c r="B767" s="86">
        <f t="shared" si="236"/>
        <v>0</v>
      </c>
      <c r="C767" s="50">
        <f t="shared" si="218"/>
        <v>0</v>
      </c>
      <c r="D767" s="86">
        <f t="shared" si="219"/>
        <v>0</v>
      </c>
      <c r="E767" s="86">
        <f t="shared" si="220"/>
        <v>0</v>
      </c>
      <c r="F767" s="74">
        <f t="shared" si="221"/>
        <v>0</v>
      </c>
      <c r="G767" s="112">
        <f t="shared" si="222"/>
        <v>0</v>
      </c>
      <c r="H767" s="112">
        <f t="shared" si="223"/>
        <v>0</v>
      </c>
      <c r="I767" s="75">
        <f t="shared" si="224"/>
        <v>0</v>
      </c>
      <c r="J767" s="74"/>
      <c r="K767" s="75">
        <f t="shared" si="225"/>
        <v>0</v>
      </c>
      <c r="L767" s="156">
        <f t="shared" si="226"/>
        <v>0</v>
      </c>
      <c r="M767" s="157"/>
      <c r="N767" s="73">
        <v>136</v>
      </c>
      <c r="O767" s="86">
        <f t="shared" si="237"/>
        <v>-1.0913936421275139E-11</v>
      </c>
      <c r="P767" s="50">
        <f t="shared" si="227"/>
        <v>0</v>
      </c>
      <c r="Q767" s="86">
        <f t="shared" si="228"/>
        <v>0</v>
      </c>
      <c r="R767" s="86">
        <f t="shared" si="229"/>
        <v>0</v>
      </c>
      <c r="S767" s="74">
        <f t="shared" si="230"/>
        <v>-1.0913936421275139E-11</v>
      </c>
      <c r="T767" s="112">
        <f t="shared" si="231"/>
        <v>-5.5197626176573118E-12</v>
      </c>
      <c r="U767" s="112">
        <f t="shared" si="232"/>
        <v>0</v>
      </c>
      <c r="V767" s="75">
        <f t="shared" si="233"/>
        <v>0</v>
      </c>
      <c r="W767" s="74"/>
      <c r="X767" s="75">
        <f t="shared" si="234"/>
        <v>0</v>
      </c>
      <c r="Y767" s="156">
        <f t="shared" si="235"/>
        <v>-3.6289065407398638E-14</v>
      </c>
      <c r="Z767" s="46"/>
      <c r="AA767" s="107">
        <f t="shared" si="217"/>
        <v>0</v>
      </c>
    </row>
    <row r="768" spans="1:27" x14ac:dyDescent="0.2">
      <c r="A768" s="73">
        <v>137</v>
      </c>
      <c r="B768" s="86">
        <f t="shared" si="236"/>
        <v>0</v>
      </c>
      <c r="C768" s="50">
        <f t="shared" si="218"/>
        <v>0</v>
      </c>
      <c r="D768" s="86">
        <f t="shared" si="219"/>
        <v>0</v>
      </c>
      <c r="E768" s="86">
        <f t="shared" si="220"/>
        <v>0</v>
      </c>
      <c r="F768" s="74">
        <f t="shared" si="221"/>
        <v>0</v>
      </c>
      <c r="G768" s="112">
        <f t="shared" si="222"/>
        <v>0</v>
      </c>
      <c r="H768" s="112">
        <f t="shared" si="223"/>
        <v>0</v>
      </c>
      <c r="I768" s="75">
        <f t="shared" si="224"/>
        <v>0</v>
      </c>
      <c r="J768" s="74"/>
      <c r="K768" s="75">
        <f t="shared" si="225"/>
        <v>0</v>
      </c>
      <c r="L768" s="156">
        <f t="shared" si="226"/>
        <v>0</v>
      </c>
      <c r="M768" s="157"/>
      <c r="N768" s="73">
        <v>137</v>
      </c>
      <c r="O768" s="86">
        <f t="shared" si="237"/>
        <v>-1.0913936421275139E-11</v>
      </c>
      <c r="P768" s="50">
        <f t="shared" si="227"/>
        <v>0</v>
      </c>
      <c r="Q768" s="86">
        <f t="shared" si="228"/>
        <v>0</v>
      </c>
      <c r="R768" s="86">
        <f t="shared" si="229"/>
        <v>0</v>
      </c>
      <c r="S768" s="74">
        <f t="shared" si="230"/>
        <v>-1.0913936421275139E-11</v>
      </c>
      <c r="T768" s="112">
        <f t="shared" si="231"/>
        <v>-5.4921638045690247E-12</v>
      </c>
      <c r="U768" s="112">
        <f t="shared" si="232"/>
        <v>0</v>
      </c>
      <c r="V768" s="75">
        <f t="shared" si="233"/>
        <v>0</v>
      </c>
      <c r="W768" s="74"/>
      <c r="X768" s="75">
        <f t="shared" si="234"/>
        <v>0</v>
      </c>
      <c r="Y768" s="156">
        <f t="shared" si="235"/>
        <v>-3.6289065407398638E-14</v>
      </c>
      <c r="Z768" s="46"/>
      <c r="AA768" s="107">
        <f t="shared" si="217"/>
        <v>0</v>
      </c>
    </row>
    <row r="769" spans="1:27" x14ac:dyDescent="0.2">
      <c r="A769" s="73">
        <v>138</v>
      </c>
      <c r="B769" s="86">
        <f t="shared" si="236"/>
        <v>0</v>
      </c>
      <c r="C769" s="50">
        <f t="shared" si="218"/>
        <v>0</v>
      </c>
      <c r="D769" s="86">
        <f t="shared" si="219"/>
        <v>0</v>
      </c>
      <c r="E769" s="86">
        <f t="shared" si="220"/>
        <v>0</v>
      </c>
      <c r="F769" s="74">
        <f t="shared" si="221"/>
        <v>0</v>
      </c>
      <c r="G769" s="112">
        <f t="shared" si="222"/>
        <v>0</v>
      </c>
      <c r="H769" s="112">
        <f t="shared" si="223"/>
        <v>0</v>
      </c>
      <c r="I769" s="75">
        <f t="shared" si="224"/>
        <v>0</v>
      </c>
      <c r="J769" s="74"/>
      <c r="K769" s="75">
        <f t="shared" si="225"/>
        <v>0</v>
      </c>
      <c r="L769" s="156">
        <f t="shared" si="226"/>
        <v>0</v>
      </c>
      <c r="M769" s="157"/>
      <c r="N769" s="73">
        <v>138</v>
      </c>
      <c r="O769" s="86">
        <f t="shared" si="237"/>
        <v>-1.0913936421275139E-11</v>
      </c>
      <c r="P769" s="50">
        <f t="shared" si="227"/>
        <v>0</v>
      </c>
      <c r="Q769" s="86">
        <f t="shared" si="228"/>
        <v>0</v>
      </c>
      <c r="R769" s="86">
        <f t="shared" si="229"/>
        <v>0</v>
      </c>
      <c r="S769" s="74">
        <f t="shared" si="230"/>
        <v>-1.0913936421275139E-11</v>
      </c>
      <c r="T769" s="112">
        <f t="shared" si="231"/>
        <v>-5.46470298554618E-12</v>
      </c>
      <c r="U769" s="112">
        <f t="shared" si="232"/>
        <v>0</v>
      </c>
      <c r="V769" s="75">
        <f t="shared" si="233"/>
        <v>0</v>
      </c>
      <c r="W769" s="74"/>
      <c r="X769" s="75">
        <f t="shared" si="234"/>
        <v>0</v>
      </c>
      <c r="Y769" s="156">
        <f t="shared" si="235"/>
        <v>-3.6289065407398638E-14</v>
      </c>
      <c r="Z769" s="46"/>
      <c r="AA769" s="107">
        <f t="shared" si="217"/>
        <v>0</v>
      </c>
    </row>
    <row r="770" spans="1:27" x14ac:dyDescent="0.2">
      <c r="A770" s="73">
        <v>139</v>
      </c>
      <c r="B770" s="86">
        <f t="shared" si="236"/>
        <v>0</v>
      </c>
      <c r="C770" s="50">
        <f t="shared" si="218"/>
        <v>0</v>
      </c>
      <c r="D770" s="86">
        <f t="shared" si="219"/>
        <v>0</v>
      </c>
      <c r="E770" s="86">
        <f t="shared" si="220"/>
        <v>0</v>
      </c>
      <c r="F770" s="74">
        <f t="shared" si="221"/>
        <v>0</v>
      </c>
      <c r="G770" s="112">
        <f t="shared" si="222"/>
        <v>0</v>
      </c>
      <c r="H770" s="112">
        <f t="shared" si="223"/>
        <v>0</v>
      </c>
      <c r="I770" s="75">
        <f t="shared" si="224"/>
        <v>0</v>
      </c>
      <c r="J770" s="74"/>
      <c r="K770" s="75">
        <f t="shared" si="225"/>
        <v>0</v>
      </c>
      <c r="L770" s="156">
        <f t="shared" si="226"/>
        <v>0</v>
      </c>
      <c r="M770" s="157"/>
      <c r="N770" s="73">
        <v>139</v>
      </c>
      <c r="O770" s="86">
        <f t="shared" si="237"/>
        <v>-1.0913936421275139E-11</v>
      </c>
      <c r="P770" s="50">
        <f t="shared" si="227"/>
        <v>0</v>
      </c>
      <c r="Q770" s="86">
        <f t="shared" si="228"/>
        <v>0</v>
      </c>
      <c r="R770" s="86">
        <f t="shared" si="229"/>
        <v>0</v>
      </c>
      <c r="S770" s="74">
        <f t="shared" si="230"/>
        <v>-1.0913936421275139E-11</v>
      </c>
      <c r="T770" s="112">
        <f t="shared" si="231"/>
        <v>-5.437379470618449E-12</v>
      </c>
      <c r="U770" s="112">
        <f t="shared" si="232"/>
        <v>0</v>
      </c>
      <c r="V770" s="75">
        <f t="shared" si="233"/>
        <v>0</v>
      </c>
      <c r="W770" s="74"/>
      <c r="X770" s="75">
        <f t="shared" si="234"/>
        <v>0</v>
      </c>
      <c r="Y770" s="156">
        <f t="shared" si="235"/>
        <v>-3.6289065407398638E-14</v>
      </c>
      <c r="Z770" s="46"/>
      <c r="AA770" s="107">
        <f t="shared" si="217"/>
        <v>0</v>
      </c>
    </row>
    <row r="771" spans="1:27" x14ac:dyDescent="0.2">
      <c r="A771" s="73">
        <v>140</v>
      </c>
      <c r="B771" s="86">
        <f t="shared" si="236"/>
        <v>0</v>
      </c>
      <c r="C771" s="50">
        <f t="shared" si="218"/>
        <v>0</v>
      </c>
      <c r="D771" s="86">
        <f t="shared" si="219"/>
        <v>0</v>
      </c>
      <c r="E771" s="86">
        <f t="shared" si="220"/>
        <v>0</v>
      </c>
      <c r="F771" s="74">
        <f t="shared" si="221"/>
        <v>0</v>
      </c>
      <c r="G771" s="112">
        <f t="shared" si="222"/>
        <v>0</v>
      </c>
      <c r="H771" s="112">
        <f t="shared" si="223"/>
        <v>0</v>
      </c>
      <c r="I771" s="75">
        <f t="shared" si="224"/>
        <v>0</v>
      </c>
      <c r="J771" s="74"/>
      <c r="K771" s="75">
        <f t="shared" si="225"/>
        <v>0</v>
      </c>
      <c r="L771" s="156">
        <f t="shared" si="226"/>
        <v>0</v>
      </c>
      <c r="M771" s="157"/>
      <c r="N771" s="73">
        <v>140</v>
      </c>
      <c r="O771" s="86">
        <f t="shared" si="237"/>
        <v>-1.0913936421275139E-11</v>
      </c>
      <c r="P771" s="50">
        <f t="shared" si="227"/>
        <v>0</v>
      </c>
      <c r="Q771" s="86">
        <f t="shared" si="228"/>
        <v>0</v>
      </c>
      <c r="R771" s="86">
        <f t="shared" si="229"/>
        <v>0</v>
      </c>
      <c r="S771" s="74">
        <f t="shared" si="230"/>
        <v>-1.0913936421275139E-11</v>
      </c>
      <c r="T771" s="112">
        <f t="shared" si="231"/>
        <v>-5.4101925732653573E-12</v>
      </c>
      <c r="U771" s="112">
        <f t="shared" si="232"/>
        <v>0</v>
      </c>
      <c r="V771" s="75">
        <f t="shared" si="233"/>
        <v>0</v>
      </c>
      <c r="W771" s="74"/>
      <c r="X771" s="75">
        <f t="shared" si="234"/>
        <v>0</v>
      </c>
      <c r="Y771" s="156">
        <f t="shared" si="235"/>
        <v>-3.6289065407398638E-14</v>
      </c>
      <c r="Z771" s="46"/>
      <c r="AA771" s="107">
        <f t="shared" si="217"/>
        <v>0</v>
      </c>
    </row>
    <row r="772" spans="1:27" x14ac:dyDescent="0.2">
      <c r="A772" s="73">
        <v>141</v>
      </c>
      <c r="B772" s="86">
        <f t="shared" si="236"/>
        <v>0</v>
      </c>
      <c r="C772" s="50">
        <f t="shared" si="218"/>
        <v>0</v>
      </c>
      <c r="D772" s="86">
        <f t="shared" si="219"/>
        <v>0</v>
      </c>
      <c r="E772" s="86">
        <f t="shared" si="220"/>
        <v>0</v>
      </c>
      <c r="F772" s="74">
        <f t="shared" si="221"/>
        <v>0</v>
      </c>
      <c r="G772" s="112">
        <f t="shared" si="222"/>
        <v>0</v>
      </c>
      <c r="H772" s="112">
        <f t="shared" si="223"/>
        <v>0</v>
      </c>
      <c r="I772" s="75">
        <f t="shared" si="224"/>
        <v>0</v>
      </c>
      <c r="J772" s="74"/>
      <c r="K772" s="75">
        <f t="shared" si="225"/>
        <v>0</v>
      </c>
      <c r="L772" s="156">
        <f t="shared" si="226"/>
        <v>0</v>
      </c>
      <c r="M772" s="157"/>
      <c r="N772" s="73">
        <v>141</v>
      </c>
      <c r="O772" s="86">
        <f t="shared" si="237"/>
        <v>-1.0913936421275139E-11</v>
      </c>
      <c r="P772" s="50">
        <f t="shared" si="227"/>
        <v>0</v>
      </c>
      <c r="Q772" s="86">
        <f t="shared" si="228"/>
        <v>0</v>
      </c>
      <c r="R772" s="86">
        <f t="shared" si="229"/>
        <v>0</v>
      </c>
      <c r="S772" s="74">
        <f t="shared" si="230"/>
        <v>-1.0913936421275139E-11</v>
      </c>
      <c r="T772" s="112">
        <f t="shared" si="231"/>
        <v>-5.3831416103990305E-12</v>
      </c>
      <c r="U772" s="112">
        <f t="shared" si="232"/>
        <v>0</v>
      </c>
      <c r="V772" s="75">
        <f t="shared" si="233"/>
        <v>0</v>
      </c>
      <c r="W772" s="74"/>
      <c r="X772" s="75">
        <f t="shared" si="234"/>
        <v>0</v>
      </c>
      <c r="Y772" s="156">
        <f t="shared" si="235"/>
        <v>-3.6289065407398638E-14</v>
      </c>
      <c r="Z772" s="46"/>
      <c r="AA772" s="107">
        <f t="shared" si="217"/>
        <v>0</v>
      </c>
    </row>
    <row r="773" spans="1:27" x14ac:dyDescent="0.2">
      <c r="A773" s="73">
        <v>142</v>
      </c>
      <c r="B773" s="86">
        <f t="shared" si="236"/>
        <v>0</v>
      </c>
      <c r="C773" s="50">
        <f t="shared" si="218"/>
        <v>0</v>
      </c>
      <c r="D773" s="86">
        <f t="shared" si="219"/>
        <v>0</v>
      </c>
      <c r="E773" s="86">
        <f t="shared" si="220"/>
        <v>0</v>
      </c>
      <c r="F773" s="74">
        <f t="shared" si="221"/>
        <v>0</v>
      </c>
      <c r="G773" s="112">
        <f t="shared" si="222"/>
        <v>0</v>
      </c>
      <c r="H773" s="112">
        <f t="shared" si="223"/>
        <v>0</v>
      </c>
      <c r="I773" s="75">
        <f t="shared" si="224"/>
        <v>0</v>
      </c>
      <c r="J773" s="74"/>
      <c r="K773" s="75">
        <f t="shared" si="225"/>
        <v>0</v>
      </c>
      <c r="L773" s="156">
        <f t="shared" si="226"/>
        <v>0</v>
      </c>
      <c r="M773" s="157"/>
      <c r="N773" s="73">
        <v>142</v>
      </c>
      <c r="O773" s="86">
        <f t="shared" si="237"/>
        <v>-1.0913936421275139E-11</v>
      </c>
      <c r="P773" s="50">
        <f t="shared" si="227"/>
        <v>0</v>
      </c>
      <c r="Q773" s="86">
        <f t="shared" si="228"/>
        <v>0</v>
      </c>
      <c r="R773" s="86">
        <f t="shared" si="229"/>
        <v>0</v>
      </c>
      <c r="S773" s="74">
        <f t="shared" si="230"/>
        <v>-1.0913936421275139E-11</v>
      </c>
      <c r="T773" s="112">
        <f t="shared" si="231"/>
        <v>-5.3562259023470359E-12</v>
      </c>
      <c r="U773" s="112">
        <f t="shared" si="232"/>
        <v>0</v>
      </c>
      <c r="V773" s="75">
        <f t="shared" si="233"/>
        <v>0</v>
      </c>
      <c r="W773" s="74"/>
      <c r="X773" s="75">
        <f t="shared" si="234"/>
        <v>0</v>
      </c>
      <c r="Y773" s="156">
        <f t="shared" si="235"/>
        <v>-3.6289065407398638E-14</v>
      </c>
      <c r="Z773" s="46"/>
      <c r="AA773" s="107">
        <f t="shared" si="217"/>
        <v>0</v>
      </c>
    </row>
    <row r="774" spans="1:27" x14ac:dyDescent="0.2">
      <c r="A774" s="73">
        <v>143</v>
      </c>
      <c r="B774" s="86">
        <f t="shared" si="236"/>
        <v>0</v>
      </c>
      <c r="C774" s="50">
        <f t="shared" si="218"/>
        <v>0</v>
      </c>
      <c r="D774" s="86">
        <f t="shared" si="219"/>
        <v>0</v>
      </c>
      <c r="E774" s="86">
        <f t="shared" si="220"/>
        <v>0</v>
      </c>
      <c r="F774" s="74">
        <f t="shared" si="221"/>
        <v>0</v>
      </c>
      <c r="G774" s="112">
        <f t="shared" si="222"/>
        <v>0</v>
      </c>
      <c r="H774" s="112">
        <f t="shared" si="223"/>
        <v>0</v>
      </c>
      <c r="I774" s="75">
        <f t="shared" si="224"/>
        <v>0</v>
      </c>
      <c r="J774" s="74"/>
      <c r="K774" s="75">
        <f t="shared" si="225"/>
        <v>0</v>
      </c>
      <c r="L774" s="156">
        <f t="shared" si="226"/>
        <v>0</v>
      </c>
      <c r="M774" s="157"/>
      <c r="N774" s="73">
        <v>143</v>
      </c>
      <c r="O774" s="86">
        <f t="shared" si="237"/>
        <v>-1.0913936421275139E-11</v>
      </c>
      <c r="P774" s="50">
        <f t="shared" si="227"/>
        <v>0</v>
      </c>
      <c r="Q774" s="86">
        <f t="shared" si="228"/>
        <v>0</v>
      </c>
      <c r="R774" s="86">
        <f t="shared" si="229"/>
        <v>0</v>
      </c>
      <c r="S774" s="74">
        <f t="shared" si="230"/>
        <v>-1.0913936421275139E-11</v>
      </c>
      <c r="T774" s="112">
        <f t="shared" si="231"/>
        <v>-5.3294447728353001E-12</v>
      </c>
      <c r="U774" s="112">
        <f t="shared" si="232"/>
        <v>0</v>
      </c>
      <c r="V774" s="75">
        <f t="shared" si="233"/>
        <v>0</v>
      </c>
      <c r="W774" s="74"/>
      <c r="X774" s="75">
        <f t="shared" si="234"/>
        <v>0</v>
      </c>
      <c r="Y774" s="156">
        <f t="shared" si="235"/>
        <v>-3.6289065407398638E-14</v>
      </c>
      <c r="Z774" s="46"/>
      <c r="AA774" s="107">
        <f t="shared" si="217"/>
        <v>0</v>
      </c>
    </row>
    <row r="775" spans="1:27" x14ac:dyDescent="0.2">
      <c r="A775" s="73">
        <v>144</v>
      </c>
      <c r="B775" s="86">
        <f t="shared" si="236"/>
        <v>0</v>
      </c>
      <c r="C775" s="50">
        <f t="shared" si="218"/>
        <v>0</v>
      </c>
      <c r="D775" s="86">
        <f t="shared" si="219"/>
        <v>0</v>
      </c>
      <c r="E775" s="86">
        <f t="shared" si="220"/>
        <v>0</v>
      </c>
      <c r="F775" s="74">
        <f t="shared" si="221"/>
        <v>0</v>
      </c>
      <c r="G775" s="112">
        <f t="shared" si="222"/>
        <v>0</v>
      </c>
      <c r="H775" s="112">
        <f t="shared" si="223"/>
        <v>0</v>
      </c>
      <c r="I775" s="75">
        <f t="shared" si="224"/>
        <v>0</v>
      </c>
      <c r="J775" s="74"/>
      <c r="K775" s="75">
        <f t="shared" si="225"/>
        <v>0</v>
      </c>
      <c r="L775" s="156">
        <f t="shared" si="226"/>
        <v>0</v>
      </c>
      <c r="M775" s="157"/>
      <c r="N775" s="73">
        <v>144</v>
      </c>
      <c r="O775" s="86">
        <f t="shared" si="237"/>
        <v>-1.0913936421275139E-11</v>
      </c>
      <c r="P775" s="50">
        <f t="shared" si="227"/>
        <v>0</v>
      </c>
      <c r="Q775" s="86">
        <f t="shared" si="228"/>
        <v>0</v>
      </c>
      <c r="R775" s="86">
        <f t="shared" si="229"/>
        <v>0</v>
      </c>
      <c r="S775" s="74">
        <f t="shared" si="230"/>
        <v>-1.0913936421275139E-11</v>
      </c>
      <c r="T775" s="112">
        <f t="shared" si="231"/>
        <v>-5.3027975489711236E-12</v>
      </c>
      <c r="U775" s="112">
        <f t="shared" si="232"/>
        <v>0</v>
      </c>
      <c r="V775" s="75">
        <f t="shared" si="233"/>
        <v>0</v>
      </c>
      <c r="W775" s="74"/>
      <c r="X775" s="75">
        <f t="shared" si="234"/>
        <v>0</v>
      </c>
      <c r="Y775" s="156">
        <f t="shared" si="235"/>
        <v>-3.6289065407398638E-14</v>
      </c>
      <c r="Z775" s="46"/>
      <c r="AA775" s="107">
        <f t="shared" si="217"/>
        <v>0</v>
      </c>
    </row>
    <row r="776" spans="1:27" x14ac:dyDescent="0.2">
      <c r="A776" s="73">
        <v>145</v>
      </c>
      <c r="B776" s="86">
        <f t="shared" si="236"/>
        <v>0</v>
      </c>
      <c r="C776" s="50">
        <f t="shared" si="218"/>
        <v>0</v>
      </c>
      <c r="D776" s="86">
        <f t="shared" si="219"/>
        <v>0</v>
      </c>
      <c r="E776" s="86">
        <f t="shared" si="220"/>
        <v>0</v>
      </c>
      <c r="F776" s="74">
        <f t="shared" si="221"/>
        <v>0</v>
      </c>
      <c r="G776" s="112">
        <f t="shared" si="222"/>
        <v>0</v>
      </c>
      <c r="H776" s="112">
        <f t="shared" si="223"/>
        <v>0</v>
      </c>
      <c r="I776" s="75">
        <f t="shared" si="224"/>
        <v>0</v>
      </c>
      <c r="J776" s="74"/>
      <c r="K776" s="75">
        <f t="shared" si="225"/>
        <v>0</v>
      </c>
      <c r="L776" s="156">
        <f t="shared" si="226"/>
        <v>0</v>
      </c>
      <c r="M776" s="157"/>
      <c r="N776" s="73">
        <v>145</v>
      </c>
      <c r="O776" s="86">
        <f t="shared" si="237"/>
        <v>-1.0913936421275139E-11</v>
      </c>
      <c r="P776" s="50">
        <f t="shared" si="227"/>
        <v>0</v>
      </c>
      <c r="Q776" s="86">
        <f t="shared" si="228"/>
        <v>0</v>
      </c>
      <c r="R776" s="86">
        <f t="shared" si="229"/>
        <v>0</v>
      </c>
      <c r="S776" s="74">
        <f t="shared" si="230"/>
        <v>-1.0913936421275139E-11</v>
      </c>
      <c r="T776" s="112">
        <f t="shared" si="231"/>
        <v>-5.2762835612262677E-12</v>
      </c>
      <c r="U776" s="112">
        <f t="shared" si="232"/>
        <v>0</v>
      </c>
      <c r="V776" s="75">
        <f t="shared" si="233"/>
        <v>0</v>
      </c>
      <c r="W776" s="74"/>
      <c r="X776" s="75">
        <f t="shared" si="234"/>
        <v>0</v>
      </c>
      <c r="Y776" s="156">
        <f t="shared" si="235"/>
        <v>-3.6289065407398638E-14</v>
      </c>
      <c r="Z776" s="46"/>
      <c r="AA776" s="107">
        <f t="shared" si="217"/>
        <v>0</v>
      </c>
    </row>
    <row r="777" spans="1:27" x14ac:dyDescent="0.2">
      <c r="A777" s="73">
        <v>146</v>
      </c>
      <c r="B777" s="86">
        <f t="shared" si="236"/>
        <v>0</v>
      </c>
      <c r="C777" s="50">
        <f t="shared" si="218"/>
        <v>0</v>
      </c>
      <c r="D777" s="86">
        <f t="shared" si="219"/>
        <v>0</v>
      </c>
      <c r="E777" s="86">
        <f t="shared" si="220"/>
        <v>0</v>
      </c>
      <c r="F777" s="74">
        <f t="shared" si="221"/>
        <v>0</v>
      </c>
      <c r="G777" s="112">
        <f t="shared" si="222"/>
        <v>0</v>
      </c>
      <c r="H777" s="112">
        <f t="shared" si="223"/>
        <v>0</v>
      </c>
      <c r="I777" s="75">
        <f t="shared" si="224"/>
        <v>0</v>
      </c>
      <c r="J777" s="74"/>
      <c r="K777" s="75">
        <f t="shared" si="225"/>
        <v>0</v>
      </c>
      <c r="L777" s="156">
        <f t="shared" si="226"/>
        <v>0</v>
      </c>
      <c r="M777" s="157"/>
      <c r="N777" s="73">
        <v>146</v>
      </c>
      <c r="O777" s="86">
        <f t="shared" si="237"/>
        <v>-1.0913936421275139E-11</v>
      </c>
      <c r="P777" s="50">
        <f t="shared" si="227"/>
        <v>0</v>
      </c>
      <c r="Q777" s="86">
        <f t="shared" si="228"/>
        <v>0</v>
      </c>
      <c r="R777" s="86">
        <f t="shared" si="229"/>
        <v>0</v>
      </c>
      <c r="S777" s="74">
        <f t="shared" si="230"/>
        <v>-1.0913936421275139E-11</v>
      </c>
      <c r="T777" s="112">
        <f t="shared" si="231"/>
        <v>-5.2499021434201366E-12</v>
      </c>
      <c r="U777" s="112">
        <f t="shared" si="232"/>
        <v>0</v>
      </c>
      <c r="V777" s="75">
        <f t="shared" si="233"/>
        <v>0</v>
      </c>
      <c r="W777" s="74"/>
      <c r="X777" s="75">
        <f t="shared" si="234"/>
        <v>0</v>
      </c>
      <c r="Y777" s="156">
        <f t="shared" si="235"/>
        <v>-3.6289065407398638E-14</v>
      </c>
      <c r="Z777" s="46"/>
      <c r="AA777" s="107">
        <f t="shared" si="217"/>
        <v>0</v>
      </c>
    </row>
    <row r="778" spans="1:27" x14ac:dyDescent="0.2">
      <c r="A778" s="73">
        <v>147</v>
      </c>
      <c r="B778" s="86">
        <f t="shared" si="236"/>
        <v>0</v>
      </c>
      <c r="C778" s="50">
        <f t="shared" si="218"/>
        <v>0</v>
      </c>
      <c r="D778" s="86">
        <f t="shared" si="219"/>
        <v>0</v>
      </c>
      <c r="E778" s="86">
        <f t="shared" si="220"/>
        <v>0</v>
      </c>
      <c r="F778" s="74">
        <f t="shared" si="221"/>
        <v>0</v>
      </c>
      <c r="G778" s="112">
        <f t="shared" si="222"/>
        <v>0</v>
      </c>
      <c r="H778" s="112">
        <f t="shared" si="223"/>
        <v>0</v>
      </c>
      <c r="I778" s="75">
        <f t="shared" si="224"/>
        <v>0</v>
      </c>
      <c r="J778" s="74"/>
      <c r="K778" s="75">
        <f t="shared" si="225"/>
        <v>0</v>
      </c>
      <c r="L778" s="156">
        <f t="shared" si="226"/>
        <v>0</v>
      </c>
      <c r="M778" s="157"/>
      <c r="N778" s="73">
        <v>147</v>
      </c>
      <c r="O778" s="86">
        <f t="shared" si="237"/>
        <v>-1.0913936421275139E-11</v>
      </c>
      <c r="P778" s="50">
        <f t="shared" si="227"/>
        <v>0</v>
      </c>
      <c r="Q778" s="86">
        <f t="shared" si="228"/>
        <v>0</v>
      </c>
      <c r="R778" s="86">
        <f t="shared" si="229"/>
        <v>0</v>
      </c>
      <c r="S778" s="74">
        <f t="shared" si="230"/>
        <v>-1.0913936421275139E-11</v>
      </c>
      <c r="T778" s="112">
        <f t="shared" si="231"/>
        <v>-5.2236526327030356E-12</v>
      </c>
      <c r="U778" s="112">
        <f t="shared" si="232"/>
        <v>0</v>
      </c>
      <c r="V778" s="75">
        <f t="shared" si="233"/>
        <v>0</v>
      </c>
      <c r="W778" s="74"/>
      <c r="X778" s="75">
        <f t="shared" si="234"/>
        <v>0</v>
      </c>
      <c r="Y778" s="156">
        <f t="shared" si="235"/>
        <v>-3.6289065407398638E-14</v>
      </c>
      <c r="Z778" s="46"/>
      <c r="AA778" s="107">
        <f t="shared" si="217"/>
        <v>0</v>
      </c>
    </row>
    <row r="779" spans="1:27" x14ac:dyDescent="0.2">
      <c r="A779" s="73">
        <v>148</v>
      </c>
      <c r="B779" s="86">
        <f t="shared" si="236"/>
        <v>0</v>
      </c>
      <c r="C779" s="50">
        <f t="shared" si="218"/>
        <v>0</v>
      </c>
      <c r="D779" s="86">
        <f t="shared" si="219"/>
        <v>0</v>
      </c>
      <c r="E779" s="86">
        <f t="shared" si="220"/>
        <v>0</v>
      </c>
      <c r="F779" s="74">
        <f t="shared" si="221"/>
        <v>0</v>
      </c>
      <c r="G779" s="112">
        <f t="shared" si="222"/>
        <v>0</v>
      </c>
      <c r="H779" s="112">
        <f t="shared" si="223"/>
        <v>0</v>
      </c>
      <c r="I779" s="75">
        <f t="shared" si="224"/>
        <v>0</v>
      </c>
      <c r="J779" s="74"/>
      <c r="K779" s="75">
        <f t="shared" si="225"/>
        <v>0</v>
      </c>
      <c r="L779" s="156">
        <f t="shared" si="226"/>
        <v>0</v>
      </c>
      <c r="M779" s="157"/>
      <c r="N779" s="73">
        <v>148</v>
      </c>
      <c r="O779" s="86">
        <f t="shared" si="237"/>
        <v>-1.0913936421275139E-11</v>
      </c>
      <c r="P779" s="50">
        <f t="shared" si="227"/>
        <v>0</v>
      </c>
      <c r="Q779" s="86">
        <f t="shared" si="228"/>
        <v>0</v>
      </c>
      <c r="R779" s="86">
        <f t="shared" si="229"/>
        <v>0</v>
      </c>
      <c r="S779" s="74">
        <f t="shared" si="230"/>
        <v>-1.0913936421275139E-11</v>
      </c>
      <c r="T779" s="112">
        <f t="shared" si="231"/>
        <v>-5.1975343695395203E-12</v>
      </c>
      <c r="U779" s="112">
        <f t="shared" si="232"/>
        <v>0</v>
      </c>
      <c r="V779" s="75">
        <f t="shared" si="233"/>
        <v>0</v>
      </c>
      <c r="W779" s="74"/>
      <c r="X779" s="75">
        <f t="shared" si="234"/>
        <v>0</v>
      </c>
      <c r="Y779" s="156">
        <f t="shared" si="235"/>
        <v>-3.6289065407398638E-14</v>
      </c>
      <c r="Z779" s="46"/>
      <c r="AA779" s="107">
        <f t="shared" si="217"/>
        <v>0</v>
      </c>
    </row>
    <row r="780" spans="1:27" x14ac:dyDescent="0.2">
      <c r="A780" s="73">
        <v>149</v>
      </c>
      <c r="B780" s="86">
        <f t="shared" si="236"/>
        <v>0</v>
      </c>
      <c r="C780" s="50">
        <f t="shared" si="218"/>
        <v>0</v>
      </c>
      <c r="D780" s="86">
        <f t="shared" si="219"/>
        <v>0</v>
      </c>
      <c r="E780" s="86">
        <f t="shared" si="220"/>
        <v>0</v>
      </c>
      <c r="F780" s="74">
        <f t="shared" si="221"/>
        <v>0</v>
      </c>
      <c r="G780" s="112">
        <f t="shared" si="222"/>
        <v>0</v>
      </c>
      <c r="H780" s="112">
        <f t="shared" si="223"/>
        <v>0</v>
      </c>
      <c r="I780" s="75">
        <f t="shared" si="224"/>
        <v>0</v>
      </c>
      <c r="J780" s="74"/>
      <c r="K780" s="75">
        <f t="shared" si="225"/>
        <v>0</v>
      </c>
      <c r="L780" s="156">
        <f t="shared" si="226"/>
        <v>0</v>
      </c>
      <c r="M780" s="157"/>
      <c r="N780" s="73">
        <v>149</v>
      </c>
      <c r="O780" s="86">
        <f t="shared" si="237"/>
        <v>-1.0913936421275139E-11</v>
      </c>
      <c r="P780" s="50">
        <f t="shared" si="227"/>
        <v>0</v>
      </c>
      <c r="Q780" s="86">
        <f t="shared" si="228"/>
        <v>0</v>
      </c>
      <c r="R780" s="86">
        <f t="shared" si="229"/>
        <v>0</v>
      </c>
      <c r="S780" s="74">
        <f t="shared" si="230"/>
        <v>-1.0913936421275139E-11</v>
      </c>
      <c r="T780" s="112">
        <f t="shared" si="231"/>
        <v>-5.1715466976918238E-12</v>
      </c>
      <c r="U780" s="112">
        <f t="shared" si="232"/>
        <v>0</v>
      </c>
      <c r="V780" s="75">
        <f t="shared" si="233"/>
        <v>0</v>
      </c>
      <c r="W780" s="74"/>
      <c r="X780" s="75">
        <f t="shared" si="234"/>
        <v>0</v>
      </c>
      <c r="Y780" s="156">
        <f t="shared" si="235"/>
        <v>-3.6289065407398638E-14</v>
      </c>
      <c r="Z780" s="46"/>
      <c r="AA780" s="107">
        <f t="shared" si="217"/>
        <v>0</v>
      </c>
    </row>
    <row r="781" spans="1:27" x14ac:dyDescent="0.2">
      <c r="A781" s="73">
        <v>150</v>
      </c>
      <c r="B781" s="86">
        <f t="shared" si="236"/>
        <v>0</v>
      </c>
      <c r="C781" s="50">
        <f t="shared" si="218"/>
        <v>0</v>
      </c>
      <c r="D781" s="86">
        <f t="shared" si="219"/>
        <v>0</v>
      </c>
      <c r="E781" s="86">
        <f t="shared" si="220"/>
        <v>0</v>
      </c>
      <c r="F781" s="74">
        <f t="shared" si="221"/>
        <v>0</v>
      </c>
      <c r="G781" s="112">
        <f t="shared" si="222"/>
        <v>0</v>
      </c>
      <c r="H781" s="112">
        <f t="shared" si="223"/>
        <v>0</v>
      </c>
      <c r="I781" s="75">
        <f t="shared" si="224"/>
        <v>0</v>
      </c>
      <c r="J781" s="74"/>
      <c r="K781" s="75">
        <f t="shared" si="225"/>
        <v>0</v>
      </c>
      <c r="L781" s="156">
        <f t="shared" si="226"/>
        <v>0</v>
      </c>
      <c r="M781" s="157"/>
      <c r="N781" s="73">
        <v>150</v>
      </c>
      <c r="O781" s="86">
        <f t="shared" si="237"/>
        <v>-1.0913936421275139E-11</v>
      </c>
      <c r="P781" s="50">
        <f t="shared" si="227"/>
        <v>0</v>
      </c>
      <c r="Q781" s="86">
        <f t="shared" si="228"/>
        <v>0</v>
      </c>
      <c r="R781" s="86">
        <f t="shared" si="229"/>
        <v>0</v>
      </c>
      <c r="S781" s="74">
        <f t="shared" si="230"/>
        <v>-1.0913936421275139E-11</v>
      </c>
      <c r="T781" s="112">
        <f t="shared" si="231"/>
        <v>-5.1456889642033647E-12</v>
      </c>
      <c r="U781" s="112">
        <f t="shared" si="232"/>
        <v>0</v>
      </c>
      <c r="V781" s="75">
        <f t="shared" si="233"/>
        <v>0</v>
      </c>
      <c r="W781" s="74"/>
      <c r="X781" s="75">
        <f t="shared" si="234"/>
        <v>0</v>
      </c>
      <c r="Y781" s="156">
        <f t="shared" si="235"/>
        <v>-3.6289065407398638E-14</v>
      </c>
      <c r="Z781" s="46"/>
      <c r="AA781" s="107">
        <f t="shared" si="217"/>
        <v>0</v>
      </c>
    </row>
    <row r="782" spans="1:27" x14ac:dyDescent="0.2">
      <c r="A782" s="73">
        <v>151</v>
      </c>
      <c r="B782" s="86">
        <f t="shared" si="236"/>
        <v>0</v>
      </c>
      <c r="C782" s="50">
        <f t="shared" si="218"/>
        <v>0</v>
      </c>
      <c r="D782" s="86">
        <f t="shared" si="219"/>
        <v>0</v>
      </c>
      <c r="E782" s="86">
        <f t="shared" si="220"/>
        <v>0</v>
      </c>
      <c r="F782" s="74">
        <f t="shared" si="221"/>
        <v>0</v>
      </c>
      <c r="G782" s="112">
        <f t="shared" si="222"/>
        <v>0</v>
      </c>
      <c r="H782" s="112">
        <f t="shared" si="223"/>
        <v>0</v>
      </c>
      <c r="I782" s="75">
        <f t="shared" si="224"/>
        <v>0</v>
      </c>
      <c r="J782" s="74"/>
      <c r="K782" s="75">
        <f t="shared" si="225"/>
        <v>0</v>
      </c>
      <c r="L782" s="156">
        <f t="shared" si="226"/>
        <v>0</v>
      </c>
      <c r="M782" s="157"/>
      <c r="N782" s="73">
        <v>151</v>
      </c>
      <c r="O782" s="86">
        <f t="shared" si="237"/>
        <v>-1.0913936421275139E-11</v>
      </c>
      <c r="P782" s="50">
        <f t="shared" si="227"/>
        <v>0</v>
      </c>
      <c r="Q782" s="86">
        <f t="shared" si="228"/>
        <v>0</v>
      </c>
      <c r="R782" s="86">
        <f t="shared" si="229"/>
        <v>0</v>
      </c>
      <c r="S782" s="74">
        <f t="shared" si="230"/>
        <v>-1.0913936421275139E-11</v>
      </c>
      <c r="T782" s="112">
        <f t="shared" si="231"/>
        <v>-5.1199605193823473E-12</v>
      </c>
      <c r="U782" s="112">
        <f t="shared" si="232"/>
        <v>0</v>
      </c>
      <c r="V782" s="75">
        <f t="shared" si="233"/>
        <v>0</v>
      </c>
      <c r="W782" s="74"/>
      <c r="X782" s="75">
        <f t="shared" si="234"/>
        <v>0</v>
      </c>
      <c r="Y782" s="156">
        <f t="shared" si="235"/>
        <v>-3.6289065407398638E-14</v>
      </c>
      <c r="Z782" s="46"/>
      <c r="AA782" s="107">
        <f t="shared" si="217"/>
        <v>0</v>
      </c>
    </row>
    <row r="783" spans="1:27" x14ac:dyDescent="0.2">
      <c r="A783" s="73">
        <v>152</v>
      </c>
      <c r="B783" s="86">
        <f t="shared" si="236"/>
        <v>0</v>
      </c>
      <c r="C783" s="50">
        <f t="shared" si="218"/>
        <v>0</v>
      </c>
      <c r="D783" s="86">
        <f t="shared" si="219"/>
        <v>0</v>
      </c>
      <c r="E783" s="86">
        <f t="shared" si="220"/>
        <v>0</v>
      </c>
      <c r="F783" s="74">
        <f t="shared" si="221"/>
        <v>0</v>
      </c>
      <c r="G783" s="112">
        <f t="shared" si="222"/>
        <v>0</v>
      </c>
      <c r="H783" s="112">
        <f t="shared" si="223"/>
        <v>0</v>
      </c>
      <c r="I783" s="75">
        <f t="shared" si="224"/>
        <v>0</v>
      </c>
      <c r="J783" s="74"/>
      <c r="K783" s="75">
        <f t="shared" si="225"/>
        <v>0</v>
      </c>
      <c r="L783" s="156">
        <f t="shared" si="226"/>
        <v>0</v>
      </c>
      <c r="M783" s="157"/>
      <c r="N783" s="73">
        <v>152</v>
      </c>
      <c r="O783" s="86">
        <f t="shared" si="237"/>
        <v>-1.0913936421275139E-11</v>
      </c>
      <c r="P783" s="50">
        <f t="shared" si="227"/>
        <v>0</v>
      </c>
      <c r="Q783" s="86">
        <f t="shared" si="228"/>
        <v>0</v>
      </c>
      <c r="R783" s="86">
        <f t="shared" si="229"/>
        <v>0</v>
      </c>
      <c r="S783" s="74">
        <f t="shared" si="230"/>
        <v>-1.0913936421275139E-11</v>
      </c>
      <c r="T783" s="112">
        <f t="shared" si="231"/>
        <v>-5.0943607167854355E-12</v>
      </c>
      <c r="U783" s="112">
        <f t="shared" si="232"/>
        <v>0</v>
      </c>
      <c r="V783" s="75">
        <f t="shared" si="233"/>
        <v>0</v>
      </c>
      <c r="W783" s="74"/>
      <c r="X783" s="75">
        <f t="shared" si="234"/>
        <v>0</v>
      </c>
      <c r="Y783" s="156">
        <f t="shared" si="235"/>
        <v>-3.6289065407398638E-14</v>
      </c>
      <c r="Z783" s="46"/>
      <c r="AA783" s="107">
        <f t="shared" si="217"/>
        <v>0</v>
      </c>
    </row>
    <row r="784" spans="1:27" x14ac:dyDescent="0.2">
      <c r="A784" s="73">
        <v>153</v>
      </c>
      <c r="B784" s="86">
        <f t="shared" si="236"/>
        <v>0</v>
      </c>
      <c r="C784" s="50">
        <f t="shared" si="218"/>
        <v>0</v>
      </c>
      <c r="D784" s="86">
        <f t="shared" si="219"/>
        <v>0</v>
      </c>
      <c r="E784" s="86">
        <f t="shared" si="220"/>
        <v>0</v>
      </c>
      <c r="F784" s="74">
        <f t="shared" si="221"/>
        <v>0</v>
      </c>
      <c r="G784" s="112">
        <f t="shared" si="222"/>
        <v>0</v>
      </c>
      <c r="H784" s="112">
        <f t="shared" si="223"/>
        <v>0</v>
      </c>
      <c r="I784" s="75">
        <f t="shared" si="224"/>
        <v>0</v>
      </c>
      <c r="J784" s="74"/>
      <c r="K784" s="75">
        <f t="shared" si="225"/>
        <v>0</v>
      </c>
      <c r="L784" s="156">
        <f t="shared" si="226"/>
        <v>0</v>
      </c>
      <c r="M784" s="157"/>
      <c r="N784" s="73">
        <v>153</v>
      </c>
      <c r="O784" s="86">
        <f t="shared" si="237"/>
        <v>-1.0913936421275139E-11</v>
      </c>
      <c r="P784" s="50">
        <f t="shared" si="227"/>
        <v>0</v>
      </c>
      <c r="Q784" s="86">
        <f t="shared" si="228"/>
        <v>0</v>
      </c>
      <c r="R784" s="86">
        <f t="shared" si="229"/>
        <v>0</v>
      </c>
      <c r="S784" s="74">
        <f t="shared" si="230"/>
        <v>-1.0913936421275139E-11</v>
      </c>
      <c r="T784" s="112">
        <f t="shared" si="231"/>
        <v>-5.0688889132015085E-12</v>
      </c>
      <c r="U784" s="112">
        <f t="shared" si="232"/>
        <v>0</v>
      </c>
      <c r="V784" s="75">
        <f t="shared" si="233"/>
        <v>0</v>
      </c>
      <c r="W784" s="74"/>
      <c r="X784" s="75">
        <f t="shared" si="234"/>
        <v>0</v>
      </c>
      <c r="Y784" s="156">
        <f t="shared" si="235"/>
        <v>-3.6289065407398638E-14</v>
      </c>
      <c r="Z784" s="46"/>
      <c r="AA784" s="107">
        <f t="shared" si="217"/>
        <v>0</v>
      </c>
    </row>
    <row r="785" spans="1:27" x14ac:dyDescent="0.2">
      <c r="A785" s="73">
        <v>154</v>
      </c>
      <c r="B785" s="86">
        <f t="shared" si="236"/>
        <v>0</v>
      </c>
      <c r="C785" s="50">
        <f t="shared" si="218"/>
        <v>0</v>
      </c>
      <c r="D785" s="86">
        <f t="shared" si="219"/>
        <v>0</v>
      </c>
      <c r="E785" s="86">
        <f t="shared" si="220"/>
        <v>0</v>
      </c>
      <c r="F785" s="74">
        <f t="shared" si="221"/>
        <v>0</v>
      </c>
      <c r="G785" s="112">
        <f t="shared" si="222"/>
        <v>0</v>
      </c>
      <c r="H785" s="112">
        <f t="shared" si="223"/>
        <v>0</v>
      </c>
      <c r="I785" s="75">
        <f t="shared" si="224"/>
        <v>0</v>
      </c>
      <c r="J785" s="74"/>
      <c r="K785" s="75">
        <f t="shared" si="225"/>
        <v>0</v>
      </c>
      <c r="L785" s="156">
        <f t="shared" si="226"/>
        <v>0</v>
      </c>
      <c r="M785" s="157"/>
      <c r="N785" s="73">
        <v>154</v>
      </c>
      <c r="O785" s="86">
        <f t="shared" si="237"/>
        <v>-1.0913936421275139E-11</v>
      </c>
      <c r="P785" s="50">
        <f t="shared" si="227"/>
        <v>0</v>
      </c>
      <c r="Q785" s="86">
        <f t="shared" si="228"/>
        <v>0</v>
      </c>
      <c r="R785" s="86">
        <f t="shared" si="229"/>
        <v>0</v>
      </c>
      <c r="S785" s="74">
        <f t="shared" si="230"/>
        <v>-1.0913936421275139E-11</v>
      </c>
      <c r="T785" s="112">
        <f t="shared" si="231"/>
        <v>-5.0435444686355014E-12</v>
      </c>
      <c r="U785" s="112">
        <f t="shared" si="232"/>
        <v>0</v>
      </c>
      <c r="V785" s="75">
        <f t="shared" si="233"/>
        <v>0</v>
      </c>
      <c r="W785" s="74"/>
      <c r="X785" s="75">
        <f t="shared" si="234"/>
        <v>0</v>
      </c>
      <c r="Y785" s="156">
        <f t="shared" si="235"/>
        <v>-3.6289065407398638E-14</v>
      </c>
      <c r="Z785" s="46"/>
      <c r="AA785" s="107">
        <f t="shared" si="217"/>
        <v>0</v>
      </c>
    </row>
    <row r="786" spans="1:27" x14ac:dyDescent="0.2">
      <c r="A786" s="73">
        <v>155</v>
      </c>
      <c r="B786" s="86">
        <f t="shared" si="236"/>
        <v>0</v>
      </c>
      <c r="C786" s="50">
        <f t="shared" si="218"/>
        <v>0</v>
      </c>
      <c r="D786" s="86">
        <f t="shared" si="219"/>
        <v>0</v>
      </c>
      <c r="E786" s="86">
        <f t="shared" si="220"/>
        <v>0</v>
      </c>
      <c r="F786" s="74">
        <f t="shared" si="221"/>
        <v>0</v>
      </c>
      <c r="G786" s="112">
        <f t="shared" si="222"/>
        <v>0</v>
      </c>
      <c r="H786" s="112">
        <f t="shared" si="223"/>
        <v>0</v>
      </c>
      <c r="I786" s="75">
        <f t="shared" si="224"/>
        <v>0</v>
      </c>
      <c r="J786" s="74"/>
      <c r="K786" s="75">
        <f t="shared" si="225"/>
        <v>0</v>
      </c>
      <c r="L786" s="156">
        <f t="shared" si="226"/>
        <v>0</v>
      </c>
      <c r="M786" s="157"/>
      <c r="N786" s="73">
        <v>155</v>
      </c>
      <c r="O786" s="86">
        <f t="shared" si="237"/>
        <v>-1.0913936421275139E-11</v>
      </c>
      <c r="P786" s="50">
        <f t="shared" si="227"/>
        <v>0</v>
      </c>
      <c r="Q786" s="86">
        <f t="shared" si="228"/>
        <v>0</v>
      </c>
      <c r="R786" s="86">
        <f t="shared" si="229"/>
        <v>0</v>
      </c>
      <c r="S786" s="74">
        <f t="shared" si="230"/>
        <v>-1.0913936421275139E-11</v>
      </c>
      <c r="T786" s="112">
        <f t="shared" si="231"/>
        <v>-5.0183267462923231E-12</v>
      </c>
      <c r="U786" s="112">
        <f t="shared" si="232"/>
        <v>0</v>
      </c>
      <c r="V786" s="75">
        <f t="shared" si="233"/>
        <v>0</v>
      </c>
      <c r="W786" s="74"/>
      <c r="X786" s="75">
        <f t="shared" si="234"/>
        <v>0</v>
      </c>
      <c r="Y786" s="156">
        <f t="shared" si="235"/>
        <v>-3.6289065407398638E-14</v>
      </c>
      <c r="Z786" s="46"/>
      <c r="AA786" s="107">
        <f t="shared" si="217"/>
        <v>0</v>
      </c>
    </row>
    <row r="787" spans="1:27" x14ac:dyDescent="0.2">
      <c r="A787" s="73">
        <v>156</v>
      </c>
      <c r="B787" s="86">
        <f t="shared" si="236"/>
        <v>0</v>
      </c>
      <c r="C787" s="50">
        <f t="shared" si="218"/>
        <v>0</v>
      </c>
      <c r="D787" s="86">
        <f t="shared" si="219"/>
        <v>0</v>
      </c>
      <c r="E787" s="86">
        <f t="shared" si="220"/>
        <v>0</v>
      </c>
      <c r="F787" s="74">
        <f t="shared" si="221"/>
        <v>0</v>
      </c>
      <c r="G787" s="112">
        <f t="shared" si="222"/>
        <v>0</v>
      </c>
      <c r="H787" s="112">
        <f t="shared" si="223"/>
        <v>0</v>
      </c>
      <c r="I787" s="75">
        <f t="shared" si="224"/>
        <v>0</v>
      </c>
      <c r="J787" s="74"/>
      <c r="K787" s="75">
        <f t="shared" si="225"/>
        <v>0</v>
      </c>
      <c r="L787" s="156">
        <f t="shared" si="226"/>
        <v>0</v>
      </c>
      <c r="M787" s="157"/>
      <c r="N787" s="73">
        <v>156</v>
      </c>
      <c r="O787" s="86">
        <f t="shared" si="237"/>
        <v>-1.0913936421275139E-11</v>
      </c>
      <c r="P787" s="50">
        <f t="shared" si="227"/>
        <v>0</v>
      </c>
      <c r="Q787" s="86">
        <f t="shared" si="228"/>
        <v>0</v>
      </c>
      <c r="R787" s="86">
        <f t="shared" si="229"/>
        <v>0</v>
      </c>
      <c r="S787" s="74">
        <f t="shared" si="230"/>
        <v>-1.0913936421275139E-11</v>
      </c>
      <c r="T787" s="112">
        <f t="shared" si="231"/>
        <v>-4.9932351125608622E-12</v>
      </c>
      <c r="U787" s="112">
        <f t="shared" si="232"/>
        <v>0</v>
      </c>
      <c r="V787" s="75">
        <f t="shared" si="233"/>
        <v>0</v>
      </c>
      <c r="W787" s="74"/>
      <c r="X787" s="75">
        <f t="shared" si="234"/>
        <v>0</v>
      </c>
      <c r="Y787" s="156">
        <f t="shared" si="235"/>
        <v>-3.6289065407398638E-14</v>
      </c>
      <c r="Z787" s="46"/>
      <c r="AA787" s="107">
        <f t="shared" si="217"/>
        <v>0</v>
      </c>
    </row>
    <row r="788" spans="1:27" x14ac:dyDescent="0.2">
      <c r="A788" s="73">
        <v>157</v>
      </c>
      <c r="B788" s="86">
        <f t="shared" si="236"/>
        <v>0</v>
      </c>
      <c r="C788" s="50">
        <f t="shared" si="218"/>
        <v>0</v>
      </c>
      <c r="D788" s="86">
        <f t="shared" si="219"/>
        <v>0</v>
      </c>
      <c r="E788" s="86">
        <f t="shared" si="220"/>
        <v>0</v>
      </c>
      <c r="F788" s="74">
        <f t="shared" si="221"/>
        <v>0</v>
      </c>
      <c r="G788" s="112">
        <f t="shared" si="222"/>
        <v>0</v>
      </c>
      <c r="H788" s="112">
        <f t="shared" si="223"/>
        <v>0</v>
      </c>
      <c r="I788" s="75">
        <f t="shared" si="224"/>
        <v>0</v>
      </c>
      <c r="J788" s="74"/>
      <c r="K788" s="75">
        <f t="shared" si="225"/>
        <v>0</v>
      </c>
      <c r="L788" s="156">
        <f t="shared" si="226"/>
        <v>0</v>
      </c>
      <c r="M788" s="157"/>
      <c r="N788" s="73">
        <v>157</v>
      </c>
      <c r="O788" s="86">
        <f t="shared" si="237"/>
        <v>-1.0913936421275139E-11</v>
      </c>
      <c r="P788" s="50">
        <f t="shared" si="227"/>
        <v>0</v>
      </c>
      <c r="Q788" s="86">
        <f t="shared" si="228"/>
        <v>0</v>
      </c>
      <c r="R788" s="86">
        <f t="shared" si="229"/>
        <v>0</v>
      </c>
      <c r="S788" s="74">
        <f t="shared" si="230"/>
        <v>-1.0913936421275139E-11</v>
      </c>
      <c r="T788" s="112">
        <f t="shared" si="231"/>
        <v>-4.9682689369980585E-12</v>
      </c>
      <c r="U788" s="112">
        <f t="shared" si="232"/>
        <v>0</v>
      </c>
      <c r="V788" s="75">
        <f t="shared" si="233"/>
        <v>0</v>
      </c>
      <c r="W788" s="74"/>
      <c r="X788" s="75">
        <f t="shared" si="234"/>
        <v>0</v>
      </c>
      <c r="Y788" s="156">
        <f t="shared" si="235"/>
        <v>-3.6289065407398638E-14</v>
      </c>
      <c r="Z788" s="46"/>
      <c r="AA788" s="107">
        <f t="shared" si="217"/>
        <v>0</v>
      </c>
    </row>
    <row r="789" spans="1:27" x14ac:dyDescent="0.2">
      <c r="A789" s="73">
        <v>158</v>
      </c>
      <c r="B789" s="86">
        <f t="shared" si="236"/>
        <v>0</v>
      </c>
      <c r="C789" s="50">
        <f t="shared" si="218"/>
        <v>0</v>
      </c>
      <c r="D789" s="86">
        <f t="shared" si="219"/>
        <v>0</v>
      </c>
      <c r="E789" s="86">
        <f t="shared" si="220"/>
        <v>0</v>
      </c>
      <c r="F789" s="74">
        <f t="shared" si="221"/>
        <v>0</v>
      </c>
      <c r="G789" s="112">
        <f t="shared" si="222"/>
        <v>0</v>
      </c>
      <c r="H789" s="112">
        <f t="shared" si="223"/>
        <v>0</v>
      </c>
      <c r="I789" s="75">
        <f t="shared" si="224"/>
        <v>0</v>
      </c>
      <c r="J789" s="74"/>
      <c r="K789" s="75">
        <f t="shared" si="225"/>
        <v>0</v>
      </c>
      <c r="L789" s="156">
        <f t="shared" si="226"/>
        <v>0</v>
      </c>
      <c r="M789" s="157"/>
      <c r="N789" s="73">
        <v>158</v>
      </c>
      <c r="O789" s="86">
        <f t="shared" si="237"/>
        <v>-1.0913936421275139E-11</v>
      </c>
      <c r="P789" s="50">
        <f t="shared" si="227"/>
        <v>0</v>
      </c>
      <c r="Q789" s="86">
        <f t="shared" si="228"/>
        <v>0</v>
      </c>
      <c r="R789" s="86">
        <f t="shared" si="229"/>
        <v>0</v>
      </c>
      <c r="S789" s="74">
        <f t="shared" si="230"/>
        <v>-1.0913936421275139E-11</v>
      </c>
      <c r="T789" s="112">
        <f t="shared" si="231"/>
        <v>-4.9434275923130678E-12</v>
      </c>
      <c r="U789" s="112">
        <f t="shared" si="232"/>
        <v>0</v>
      </c>
      <c r="V789" s="75">
        <f t="shared" si="233"/>
        <v>0</v>
      </c>
      <c r="W789" s="74"/>
      <c r="X789" s="75">
        <f t="shared" si="234"/>
        <v>0</v>
      </c>
      <c r="Y789" s="156">
        <f t="shared" si="235"/>
        <v>-3.6289065407398638E-14</v>
      </c>
      <c r="Z789" s="46"/>
      <c r="AA789" s="107">
        <f t="shared" si="217"/>
        <v>0</v>
      </c>
    </row>
    <row r="790" spans="1:27" x14ac:dyDescent="0.2">
      <c r="A790" s="73">
        <v>159</v>
      </c>
      <c r="B790" s="86">
        <f t="shared" si="236"/>
        <v>0</v>
      </c>
      <c r="C790" s="50">
        <f t="shared" si="218"/>
        <v>0</v>
      </c>
      <c r="D790" s="86">
        <f t="shared" si="219"/>
        <v>0</v>
      </c>
      <c r="E790" s="86">
        <f t="shared" si="220"/>
        <v>0</v>
      </c>
      <c r="F790" s="74">
        <f t="shared" si="221"/>
        <v>0</v>
      </c>
      <c r="G790" s="112">
        <f t="shared" si="222"/>
        <v>0</v>
      </c>
      <c r="H790" s="112">
        <f t="shared" si="223"/>
        <v>0</v>
      </c>
      <c r="I790" s="75">
        <f t="shared" si="224"/>
        <v>0</v>
      </c>
      <c r="J790" s="74"/>
      <c r="K790" s="75">
        <f t="shared" si="225"/>
        <v>0</v>
      </c>
      <c r="L790" s="156">
        <f t="shared" si="226"/>
        <v>0</v>
      </c>
      <c r="M790" s="157"/>
      <c r="N790" s="73">
        <v>159</v>
      </c>
      <c r="O790" s="86">
        <f t="shared" si="237"/>
        <v>-1.0913936421275139E-11</v>
      </c>
      <c r="P790" s="50">
        <f t="shared" si="227"/>
        <v>0</v>
      </c>
      <c r="Q790" s="86">
        <f t="shared" si="228"/>
        <v>0</v>
      </c>
      <c r="R790" s="86">
        <f t="shared" si="229"/>
        <v>0</v>
      </c>
      <c r="S790" s="74">
        <f t="shared" si="230"/>
        <v>-1.0913936421275139E-11</v>
      </c>
      <c r="T790" s="112">
        <f t="shared" si="231"/>
        <v>-4.918710454351502E-12</v>
      </c>
      <c r="U790" s="112">
        <f t="shared" si="232"/>
        <v>0</v>
      </c>
      <c r="V790" s="75">
        <f t="shared" si="233"/>
        <v>0</v>
      </c>
      <c r="W790" s="74"/>
      <c r="X790" s="75">
        <f t="shared" si="234"/>
        <v>0</v>
      </c>
      <c r="Y790" s="156">
        <f t="shared" si="235"/>
        <v>-3.6289065407398638E-14</v>
      </c>
      <c r="Z790" s="46"/>
      <c r="AA790" s="107">
        <f t="shared" si="217"/>
        <v>0</v>
      </c>
    </row>
    <row r="791" spans="1:27" x14ac:dyDescent="0.2">
      <c r="A791" s="73">
        <v>160</v>
      </c>
      <c r="B791" s="86">
        <f t="shared" si="236"/>
        <v>0</v>
      </c>
      <c r="C791" s="50">
        <f t="shared" si="218"/>
        <v>0</v>
      </c>
      <c r="D791" s="86">
        <f t="shared" si="219"/>
        <v>0</v>
      </c>
      <c r="E791" s="86">
        <f t="shared" si="220"/>
        <v>0</v>
      </c>
      <c r="F791" s="74">
        <f t="shared" si="221"/>
        <v>0</v>
      </c>
      <c r="G791" s="112">
        <f t="shared" si="222"/>
        <v>0</v>
      </c>
      <c r="H791" s="112">
        <f t="shared" si="223"/>
        <v>0</v>
      </c>
      <c r="I791" s="75">
        <f t="shared" si="224"/>
        <v>0</v>
      </c>
      <c r="J791" s="74"/>
      <c r="K791" s="75">
        <f t="shared" si="225"/>
        <v>0</v>
      </c>
      <c r="L791" s="156">
        <f t="shared" si="226"/>
        <v>0</v>
      </c>
      <c r="M791" s="157"/>
      <c r="N791" s="73">
        <v>160</v>
      </c>
      <c r="O791" s="86">
        <f t="shared" si="237"/>
        <v>-1.0913936421275139E-11</v>
      </c>
      <c r="P791" s="50">
        <f t="shared" si="227"/>
        <v>0</v>
      </c>
      <c r="Q791" s="86">
        <f t="shared" si="228"/>
        <v>0</v>
      </c>
      <c r="R791" s="86">
        <f t="shared" si="229"/>
        <v>0</v>
      </c>
      <c r="S791" s="74">
        <f t="shared" si="230"/>
        <v>-1.0913936421275139E-11</v>
      </c>
      <c r="T791" s="112">
        <f t="shared" si="231"/>
        <v>-4.8941169020797449E-12</v>
      </c>
      <c r="U791" s="112">
        <f t="shared" si="232"/>
        <v>0</v>
      </c>
      <c r="V791" s="75">
        <f t="shared" si="233"/>
        <v>0</v>
      </c>
      <c r="W791" s="74"/>
      <c r="X791" s="75">
        <f t="shared" si="234"/>
        <v>0</v>
      </c>
      <c r="Y791" s="156">
        <f t="shared" si="235"/>
        <v>-3.6289065407398638E-14</v>
      </c>
      <c r="Z791" s="46"/>
      <c r="AA791" s="107">
        <f t="shared" ref="AA791:AA812" si="238">+V791-I791</f>
        <v>0</v>
      </c>
    </row>
    <row r="792" spans="1:27" x14ac:dyDescent="0.2">
      <c r="A792" s="73">
        <v>161</v>
      </c>
      <c r="B792" s="86">
        <f t="shared" si="236"/>
        <v>0</v>
      </c>
      <c r="C792" s="50">
        <f t="shared" ref="C792:C812" si="239">(IF(A792&lt;$B$613,PMT($B$614/12,$B$613,-$B$612,$B$617,0),IF(A792=$B$613,PMT($B$614/12,$B$613,-$B$612,$B$617,0)+$B$617,0)))</f>
        <v>0</v>
      </c>
      <c r="D792" s="86">
        <f t="shared" ref="D792:D812" si="240">IF(A792&lt;=$B$613,B792*$B$614/12,0)</f>
        <v>0</v>
      </c>
      <c r="E792" s="86">
        <f t="shared" ref="E792:E823" si="241">C792-D792</f>
        <v>0</v>
      </c>
      <c r="F792" s="74">
        <f t="shared" ref="F792:F823" si="242">(B792-E792)</f>
        <v>0</v>
      </c>
      <c r="G792" s="112">
        <f t="shared" ref="G792:G812" si="243">B792*(1-B$621)^($A792)</f>
        <v>0</v>
      </c>
      <c r="H792" s="112">
        <f t="shared" ref="H792:H823" si="244">IF(A792&lt;=$B$613,G792*$B$614/12,0)</f>
        <v>0</v>
      </c>
      <c r="I792" s="75">
        <f t="shared" ref="I792:I812" si="245">C792</f>
        <v>0</v>
      </c>
      <c r="J792" s="74"/>
      <c r="K792" s="75">
        <f t="shared" ref="K792:K812" si="246">C792</f>
        <v>0</v>
      </c>
      <c r="L792" s="156">
        <f t="shared" ref="L792:L812" si="247">F792/$B$612*100</f>
        <v>0</v>
      </c>
      <c r="M792" s="157"/>
      <c r="N792" s="73">
        <v>161</v>
      </c>
      <c r="O792" s="86">
        <f t="shared" si="237"/>
        <v>-1.0913936421275139E-11</v>
      </c>
      <c r="P792" s="50">
        <f t="shared" ref="P792:P812" si="248">(IF(N792&lt;$B$613,PMT($B$615/12,$B$613,-$B$612,$B$617,0),IF(N792=$B$613,PMT($B$615/12,$B$613,-$B$612,$B$617,0)+$B$617,0)))</f>
        <v>0</v>
      </c>
      <c r="Q792" s="86">
        <f t="shared" ref="Q792:Q812" si="249">IF(N792&lt;=$B$613,O792*$B$615/12,0)</f>
        <v>0</v>
      </c>
      <c r="R792" s="86">
        <f t="shared" ref="R792:R823" si="250">P792-Q792</f>
        <v>0</v>
      </c>
      <c r="S792" s="74">
        <f t="shared" ref="S792:S823" si="251">(O792-R792)</f>
        <v>-1.0913936421275139E-11</v>
      </c>
      <c r="T792" s="112">
        <f t="shared" ref="T792:T812" si="252">O792*(1-B$621)^($N792)</f>
        <v>-4.8696463175693463E-12</v>
      </c>
      <c r="U792" s="112">
        <f t="shared" ref="U792:U823" si="253">IF(N792&lt;=$B$613,T792*$B$615/12,0)</f>
        <v>0</v>
      </c>
      <c r="V792" s="75">
        <f t="shared" ref="V792:V812" si="254">P792</f>
        <v>0</v>
      </c>
      <c r="W792" s="74"/>
      <c r="X792" s="75">
        <f t="shared" ref="X792:X812" si="255">P792</f>
        <v>0</v>
      </c>
      <c r="Y792" s="156">
        <f t="shared" ref="Y792:Y812" si="256">S792/$B$612*100</f>
        <v>-3.6289065407398638E-14</v>
      </c>
      <c r="Z792" s="46"/>
      <c r="AA792" s="107">
        <f t="shared" si="238"/>
        <v>0</v>
      </c>
    </row>
    <row r="793" spans="1:27" x14ac:dyDescent="0.2">
      <c r="A793" s="73">
        <v>162</v>
      </c>
      <c r="B793" s="86">
        <f t="shared" ref="B793:B812" si="257">+F792</f>
        <v>0</v>
      </c>
      <c r="C793" s="50">
        <f t="shared" si="239"/>
        <v>0</v>
      </c>
      <c r="D793" s="86">
        <f t="shared" si="240"/>
        <v>0</v>
      </c>
      <c r="E793" s="86">
        <f t="shared" si="241"/>
        <v>0</v>
      </c>
      <c r="F793" s="74">
        <f t="shared" si="242"/>
        <v>0</v>
      </c>
      <c r="G793" s="112">
        <f t="shared" si="243"/>
        <v>0</v>
      </c>
      <c r="H793" s="112">
        <f t="shared" si="244"/>
        <v>0</v>
      </c>
      <c r="I793" s="75">
        <f t="shared" si="245"/>
        <v>0</v>
      </c>
      <c r="J793" s="74"/>
      <c r="K793" s="75">
        <f t="shared" si="246"/>
        <v>0</v>
      </c>
      <c r="L793" s="156">
        <f t="shared" si="247"/>
        <v>0</v>
      </c>
      <c r="M793" s="157"/>
      <c r="N793" s="73">
        <v>162</v>
      </c>
      <c r="O793" s="86">
        <f t="shared" ref="O793:O812" si="258">+S792</f>
        <v>-1.0913936421275139E-11</v>
      </c>
      <c r="P793" s="50">
        <f t="shared" si="248"/>
        <v>0</v>
      </c>
      <c r="Q793" s="86">
        <f t="shared" si="249"/>
        <v>0</v>
      </c>
      <c r="R793" s="86">
        <f t="shared" si="250"/>
        <v>0</v>
      </c>
      <c r="S793" s="74">
        <f t="shared" si="251"/>
        <v>-1.0913936421275139E-11</v>
      </c>
      <c r="T793" s="112">
        <f t="shared" si="252"/>
        <v>-4.8452980859814992E-12</v>
      </c>
      <c r="U793" s="112">
        <f t="shared" si="253"/>
        <v>0</v>
      </c>
      <c r="V793" s="75">
        <f t="shared" si="254"/>
        <v>0</v>
      </c>
      <c r="W793" s="74"/>
      <c r="X793" s="75">
        <f t="shared" si="255"/>
        <v>0</v>
      </c>
      <c r="Y793" s="156">
        <f t="shared" si="256"/>
        <v>-3.6289065407398638E-14</v>
      </c>
      <c r="Z793" s="46"/>
      <c r="AA793" s="107">
        <f t="shared" si="238"/>
        <v>0</v>
      </c>
    </row>
    <row r="794" spans="1:27" x14ac:dyDescent="0.2">
      <c r="A794" s="73">
        <v>163</v>
      </c>
      <c r="B794" s="86">
        <f t="shared" si="257"/>
        <v>0</v>
      </c>
      <c r="C794" s="50">
        <f t="shared" si="239"/>
        <v>0</v>
      </c>
      <c r="D794" s="86">
        <f t="shared" si="240"/>
        <v>0</v>
      </c>
      <c r="E794" s="86">
        <f t="shared" si="241"/>
        <v>0</v>
      </c>
      <c r="F794" s="74">
        <f t="shared" si="242"/>
        <v>0</v>
      </c>
      <c r="G794" s="112">
        <f t="shared" si="243"/>
        <v>0</v>
      </c>
      <c r="H794" s="112">
        <f t="shared" si="244"/>
        <v>0</v>
      </c>
      <c r="I794" s="75">
        <f t="shared" si="245"/>
        <v>0</v>
      </c>
      <c r="J794" s="74"/>
      <c r="K794" s="75">
        <f t="shared" si="246"/>
        <v>0</v>
      </c>
      <c r="L794" s="156">
        <f t="shared" si="247"/>
        <v>0</v>
      </c>
      <c r="M794" s="157"/>
      <c r="N794" s="73">
        <v>163</v>
      </c>
      <c r="O794" s="86">
        <f t="shared" si="258"/>
        <v>-1.0913936421275139E-11</v>
      </c>
      <c r="P794" s="50">
        <f t="shared" si="248"/>
        <v>0</v>
      </c>
      <c r="Q794" s="86">
        <f t="shared" si="249"/>
        <v>0</v>
      </c>
      <c r="R794" s="86">
        <f t="shared" si="250"/>
        <v>0</v>
      </c>
      <c r="S794" s="74">
        <f t="shared" si="251"/>
        <v>-1.0913936421275139E-11</v>
      </c>
      <c r="T794" s="112">
        <f t="shared" si="252"/>
        <v>-4.8210715955515922E-12</v>
      </c>
      <c r="U794" s="112">
        <f t="shared" si="253"/>
        <v>0</v>
      </c>
      <c r="V794" s="75">
        <f t="shared" si="254"/>
        <v>0</v>
      </c>
      <c r="W794" s="74"/>
      <c r="X794" s="75">
        <f t="shared" si="255"/>
        <v>0</v>
      </c>
      <c r="Y794" s="156">
        <f t="shared" si="256"/>
        <v>-3.6289065407398638E-14</v>
      </c>
      <c r="Z794" s="46"/>
      <c r="AA794" s="107">
        <f t="shared" si="238"/>
        <v>0</v>
      </c>
    </row>
    <row r="795" spans="1:27" x14ac:dyDescent="0.2">
      <c r="A795" s="73">
        <v>164</v>
      </c>
      <c r="B795" s="86">
        <f t="shared" si="257"/>
        <v>0</v>
      </c>
      <c r="C795" s="50">
        <f t="shared" si="239"/>
        <v>0</v>
      </c>
      <c r="D795" s="86">
        <f t="shared" si="240"/>
        <v>0</v>
      </c>
      <c r="E795" s="86">
        <f t="shared" si="241"/>
        <v>0</v>
      </c>
      <c r="F795" s="74">
        <f t="shared" si="242"/>
        <v>0</v>
      </c>
      <c r="G795" s="112">
        <f t="shared" si="243"/>
        <v>0</v>
      </c>
      <c r="H795" s="112">
        <f t="shared" si="244"/>
        <v>0</v>
      </c>
      <c r="I795" s="75">
        <f t="shared" si="245"/>
        <v>0</v>
      </c>
      <c r="J795" s="74"/>
      <c r="K795" s="75">
        <f t="shared" si="246"/>
        <v>0</v>
      </c>
      <c r="L795" s="156">
        <f t="shared" si="247"/>
        <v>0</v>
      </c>
      <c r="M795" s="157"/>
      <c r="N795" s="73">
        <v>164</v>
      </c>
      <c r="O795" s="86">
        <f t="shared" si="258"/>
        <v>-1.0913936421275139E-11</v>
      </c>
      <c r="P795" s="50">
        <f t="shared" si="248"/>
        <v>0</v>
      </c>
      <c r="Q795" s="86">
        <f t="shared" si="249"/>
        <v>0</v>
      </c>
      <c r="R795" s="86">
        <f t="shared" si="250"/>
        <v>0</v>
      </c>
      <c r="S795" s="74">
        <f t="shared" si="251"/>
        <v>-1.0913936421275139E-11</v>
      </c>
      <c r="T795" s="112">
        <f t="shared" si="252"/>
        <v>-4.7969662375738341E-12</v>
      </c>
      <c r="U795" s="112">
        <f t="shared" si="253"/>
        <v>0</v>
      </c>
      <c r="V795" s="75">
        <f t="shared" si="254"/>
        <v>0</v>
      </c>
      <c r="W795" s="74"/>
      <c r="X795" s="75">
        <f t="shared" si="255"/>
        <v>0</v>
      </c>
      <c r="Y795" s="156">
        <f t="shared" si="256"/>
        <v>-3.6289065407398638E-14</v>
      </c>
      <c r="Z795" s="46"/>
      <c r="AA795" s="107">
        <f t="shared" si="238"/>
        <v>0</v>
      </c>
    </row>
    <row r="796" spans="1:27" x14ac:dyDescent="0.2">
      <c r="A796" s="73">
        <v>165</v>
      </c>
      <c r="B796" s="86">
        <f t="shared" si="257"/>
        <v>0</v>
      </c>
      <c r="C796" s="50">
        <f t="shared" si="239"/>
        <v>0</v>
      </c>
      <c r="D796" s="86">
        <f t="shared" si="240"/>
        <v>0</v>
      </c>
      <c r="E796" s="86">
        <f t="shared" si="241"/>
        <v>0</v>
      </c>
      <c r="F796" s="74">
        <f t="shared" si="242"/>
        <v>0</v>
      </c>
      <c r="G796" s="112">
        <f t="shared" si="243"/>
        <v>0</v>
      </c>
      <c r="H796" s="112">
        <f t="shared" si="244"/>
        <v>0</v>
      </c>
      <c r="I796" s="75">
        <f t="shared" si="245"/>
        <v>0</v>
      </c>
      <c r="J796" s="74"/>
      <c r="K796" s="75">
        <f t="shared" si="246"/>
        <v>0</v>
      </c>
      <c r="L796" s="156">
        <f t="shared" si="247"/>
        <v>0</v>
      </c>
      <c r="M796" s="157"/>
      <c r="N796" s="73">
        <v>165</v>
      </c>
      <c r="O796" s="86">
        <f t="shared" si="258"/>
        <v>-1.0913936421275139E-11</v>
      </c>
      <c r="P796" s="50">
        <f t="shared" si="248"/>
        <v>0</v>
      </c>
      <c r="Q796" s="86">
        <f t="shared" si="249"/>
        <v>0</v>
      </c>
      <c r="R796" s="86">
        <f t="shared" si="250"/>
        <v>0</v>
      </c>
      <c r="S796" s="74">
        <f t="shared" si="251"/>
        <v>-1.0913936421275139E-11</v>
      </c>
      <c r="T796" s="112">
        <f t="shared" si="252"/>
        <v>-4.7729814063859657E-12</v>
      </c>
      <c r="U796" s="112">
        <f t="shared" si="253"/>
        <v>0</v>
      </c>
      <c r="V796" s="75">
        <f t="shared" si="254"/>
        <v>0</v>
      </c>
      <c r="W796" s="74"/>
      <c r="X796" s="75">
        <f t="shared" si="255"/>
        <v>0</v>
      </c>
      <c r="Y796" s="156">
        <f t="shared" si="256"/>
        <v>-3.6289065407398638E-14</v>
      </c>
      <c r="Z796" s="46"/>
      <c r="AA796" s="107">
        <f t="shared" si="238"/>
        <v>0</v>
      </c>
    </row>
    <row r="797" spans="1:27" x14ac:dyDescent="0.2">
      <c r="A797" s="73">
        <v>166</v>
      </c>
      <c r="B797" s="86">
        <f t="shared" si="257"/>
        <v>0</v>
      </c>
      <c r="C797" s="50">
        <f t="shared" si="239"/>
        <v>0</v>
      </c>
      <c r="D797" s="86">
        <f t="shared" si="240"/>
        <v>0</v>
      </c>
      <c r="E797" s="86">
        <f t="shared" si="241"/>
        <v>0</v>
      </c>
      <c r="F797" s="74">
        <f t="shared" si="242"/>
        <v>0</v>
      </c>
      <c r="G797" s="112">
        <f t="shared" si="243"/>
        <v>0</v>
      </c>
      <c r="H797" s="112">
        <f t="shared" si="244"/>
        <v>0</v>
      </c>
      <c r="I797" s="75">
        <f t="shared" si="245"/>
        <v>0</v>
      </c>
      <c r="J797" s="74"/>
      <c r="K797" s="75">
        <f t="shared" si="246"/>
        <v>0</v>
      </c>
      <c r="L797" s="156">
        <f t="shared" si="247"/>
        <v>0</v>
      </c>
      <c r="M797" s="157"/>
      <c r="N797" s="73">
        <v>166</v>
      </c>
      <c r="O797" s="86">
        <f t="shared" si="258"/>
        <v>-1.0913936421275139E-11</v>
      </c>
      <c r="P797" s="50">
        <f t="shared" si="248"/>
        <v>0</v>
      </c>
      <c r="Q797" s="86">
        <f t="shared" si="249"/>
        <v>0</v>
      </c>
      <c r="R797" s="86">
        <f t="shared" si="250"/>
        <v>0</v>
      </c>
      <c r="S797" s="74">
        <f t="shared" si="251"/>
        <v>-1.0913936421275139E-11</v>
      </c>
      <c r="T797" s="112">
        <f t="shared" si="252"/>
        <v>-4.7491164993540352E-12</v>
      </c>
      <c r="U797" s="112">
        <f t="shared" si="253"/>
        <v>0</v>
      </c>
      <c r="V797" s="75">
        <f t="shared" si="254"/>
        <v>0</v>
      </c>
      <c r="W797" s="74"/>
      <c r="X797" s="75">
        <f t="shared" si="255"/>
        <v>0</v>
      </c>
      <c r="Y797" s="156">
        <f t="shared" si="256"/>
        <v>-3.6289065407398638E-14</v>
      </c>
      <c r="Z797" s="46"/>
      <c r="AA797" s="107">
        <f t="shared" si="238"/>
        <v>0</v>
      </c>
    </row>
    <row r="798" spans="1:27" x14ac:dyDescent="0.2">
      <c r="A798" s="73">
        <v>167</v>
      </c>
      <c r="B798" s="86">
        <f t="shared" si="257"/>
        <v>0</v>
      </c>
      <c r="C798" s="50">
        <f t="shared" si="239"/>
        <v>0</v>
      </c>
      <c r="D798" s="86">
        <f t="shared" si="240"/>
        <v>0</v>
      </c>
      <c r="E798" s="86">
        <f t="shared" si="241"/>
        <v>0</v>
      </c>
      <c r="F798" s="74">
        <f t="shared" si="242"/>
        <v>0</v>
      </c>
      <c r="G798" s="112">
        <f t="shared" si="243"/>
        <v>0</v>
      </c>
      <c r="H798" s="112">
        <f t="shared" si="244"/>
        <v>0</v>
      </c>
      <c r="I798" s="75">
        <f t="shared" si="245"/>
        <v>0</v>
      </c>
      <c r="J798" s="74"/>
      <c r="K798" s="75">
        <f t="shared" si="246"/>
        <v>0</v>
      </c>
      <c r="L798" s="156">
        <f t="shared" si="247"/>
        <v>0</v>
      </c>
      <c r="M798" s="157"/>
      <c r="N798" s="73">
        <v>167</v>
      </c>
      <c r="O798" s="86">
        <f t="shared" si="258"/>
        <v>-1.0913936421275139E-11</v>
      </c>
      <c r="P798" s="50">
        <f t="shared" si="248"/>
        <v>0</v>
      </c>
      <c r="Q798" s="86">
        <f t="shared" si="249"/>
        <v>0</v>
      </c>
      <c r="R798" s="86">
        <f t="shared" si="250"/>
        <v>0</v>
      </c>
      <c r="S798" s="74">
        <f t="shared" si="251"/>
        <v>-1.0913936421275139E-11</v>
      </c>
      <c r="T798" s="112">
        <f t="shared" si="252"/>
        <v>-4.725370916857265E-12</v>
      </c>
      <c r="U798" s="112">
        <f t="shared" si="253"/>
        <v>0</v>
      </c>
      <c r="V798" s="75">
        <f t="shared" si="254"/>
        <v>0</v>
      </c>
      <c r="W798" s="74"/>
      <c r="X798" s="75">
        <f t="shared" si="255"/>
        <v>0</v>
      </c>
      <c r="Y798" s="156">
        <f t="shared" si="256"/>
        <v>-3.6289065407398638E-14</v>
      </c>
      <c r="Z798" s="46"/>
      <c r="AA798" s="107">
        <f t="shared" si="238"/>
        <v>0</v>
      </c>
    </row>
    <row r="799" spans="1:27" x14ac:dyDescent="0.2">
      <c r="A799" s="73">
        <v>168</v>
      </c>
      <c r="B799" s="86">
        <f t="shared" si="257"/>
        <v>0</v>
      </c>
      <c r="C799" s="50">
        <f t="shared" si="239"/>
        <v>0</v>
      </c>
      <c r="D799" s="86">
        <f t="shared" si="240"/>
        <v>0</v>
      </c>
      <c r="E799" s="86">
        <f t="shared" si="241"/>
        <v>0</v>
      </c>
      <c r="F799" s="74">
        <f t="shared" si="242"/>
        <v>0</v>
      </c>
      <c r="G799" s="112">
        <f t="shared" si="243"/>
        <v>0</v>
      </c>
      <c r="H799" s="112">
        <f t="shared" si="244"/>
        <v>0</v>
      </c>
      <c r="I799" s="75">
        <f t="shared" si="245"/>
        <v>0</v>
      </c>
      <c r="J799" s="74"/>
      <c r="K799" s="75">
        <f t="shared" si="246"/>
        <v>0</v>
      </c>
      <c r="L799" s="156">
        <f t="shared" si="247"/>
        <v>0</v>
      </c>
      <c r="M799" s="157"/>
      <c r="N799" s="73">
        <v>168</v>
      </c>
      <c r="O799" s="86">
        <f t="shared" si="258"/>
        <v>-1.0913936421275139E-11</v>
      </c>
      <c r="P799" s="50">
        <f t="shared" si="248"/>
        <v>0</v>
      </c>
      <c r="Q799" s="86">
        <f t="shared" si="249"/>
        <v>0</v>
      </c>
      <c r="R799" s="86">
        <f t="shared" si="250"/>
        <v>0</v>
      </c>
      <c r="S799" s="74">
        <f t="shared" si="251"/>
        <v>-1.0913936421275139E-11</v>
      </c>
      <c r="T799" s="112">
        <f t="shared" si="252"/>
        <v>-4.7017440622729781E-12</v>
      </c>
      <c r="U799" s="112">
        <f t="shared" si="253"/>
        <v>0</v>
      </c>
      <c r="V799" s="75">
        <f t="shared" si="254"/>
        <v>0</v>
      </c>
      <c r="W799" s="74"/>
      <c r="X799" s="75">
        <f t="shared" si="255"/>
        <v>0</v>
      </c>
      <c r="Y799" s="156">
        <f t="shared" si="256"/>
        <v>-3.6289065407398638E-14</v>
      </c>
      <c r="Z799" s="46"/>
      <c r="AA799" s="107">
        <f t="shared" si="238"/>
        <v>0</v>
      </c>
    </row>
    <row r="800" spans="1:27" x14ac:dyDescent="0.2">
      <c r="A800" s="73">
        <v>169</v>
      </c>
      <c r="B800" s="86">
        <f t="shared" si="257"/>
        <v>0</v>
      </c>
      <c r="C800" s="50">
        <f t="shared" si="239"/>
        <v>0</v>
      </c>
      <c r="D800" s="86">
        <f t="shared" si="240"/>
        <v>0</v>
      </c>
      <c r="E800" s="86">
        <f t="shared" si="241"/>
        <v>0</v>
      </c>
      <c r="F800" s="74">
        <f t="shared" si="242"/>
        <v>0</v>
      </c>
      <c r="G800" s="112">
        <f t="shared" si="243"/>
        <v>0</v>
      </c>
      <c r="H800" s="112">
        <f t="shared" si="244"/>
        <v>0</v>
      </c>
      <c r="I800" s="75">
        <f t="shared" si="245"/>
        <v>0</v>
      </c>
      <c r="J800" s="74"/>
      <c r="K800" s="75">
        <f t="shared" si="246"/>
        <v>0</v>
      </c>
      <c r="L800" s="156">
        <f t="shared" si="247"/>
        <v>0</v>
      </c>
      <c r="M800" s="157"/>
      <c r="N800" s="73">
        <v>169</v>
      </c>
      <c r="O800" s="86">
        <f t="shared" si="258"/>
        <v>-1.0913936421275139E-11</v>
      </c>
      <c r="P800" s="50">
        <f t="shared" si="248"/>
        <v>0</v>
      </c>
      <c r="Q800" s="86">
        <f t="shared" si="249"/>
        <v>0</v>
      </c>
      <c r="R800" s="86">
        <f t="shared" si="250"/>
        <v>0</v>
      </c>
      <c r="S800" s="74">
        <f t="shared" si="251"/>
        <v>-1.0913936421275139E-11</v>
      </c>
      <c r="T800" s="112">
        <f t="shared" si="252"/>
        <v>-4.6782353419616133E-12</v>
      </c>
      <c r="U800" s="112">
        <f t="shared" si="253"/>
        <v>0</v>
      </c>
      <c r="V800" s="75">
        <f t="shared" si="254"/>
        <v>0</v>
      </c>
      <c r="W800" s="74"/>
      <c r="X800" s="75">
        <f t="shared" si="255"/>
        <v>0</v>
      </c>
      <c r="Y800" s="156">
        <f t="shared" si="256"/>
        <v>-3.6289065407398638E-14</v>
      </c>
      <c r="Z800" s="46"/>
      <c r="AA800" s="107">
        <f t="shared" si="238"/>
        <v>0</v>
      </c>
    </row>
    <row r="801" spans="1:27" x14ac:dyDescent="0.2">
      <c r="A801" s="73">
        <v>170</v>
      </c>
      <c r="B801" s="86">
        <f t="shared" si="257"/>
        <v>0</v>
      </c>
      <c r="C801" s="50">
        <f t="shared" si="239"/>
        <v>0</v>
      </c>
      <c r="D801" s="86">
        <f t="shared" si="240"/>
        <v>0</v>
      </c>
      <c r="E801" s="86">
        <f t="shared" si="241"/>
        <v>0</v>
      </c>
      <c r="F801" s="74">
        <f t="shared" si="242"/>
        <v>0</v>
      </c>
      <c r="G801" s="112">
        <f t="shared" si="243"/>
        <v>0</v>
      </c>
      <c r="H801" s="112">
        <f t="shared" si="244"/>
        <v>0</v>
      </c>
      <c r="I801" s="75">
        <f t="shared" si="245"/>
        <v>0</v>
      </c>
      <c r="J801" s="74"/>
      <c r="K801" s="75">
        <f t="shared" si="246"/>
        <v>0</v>
      </c>
      <c r="L801" s="156">
        <f t="shared" si="247"/>
        <v>0</v>
      </c>
      <c r="M801" s="157"/>
      <c r="N801" s="73">
        <v>170</v>
      </c>
      <c r="O801" s="86">
        <f t="shared" si="258"/>
        <v>-1.0913936421275139E-11</v>
      </c>
      <c r="P801" s="50">
        <f t="shared" si="248"/>
        <v>0</v>
      </c>
      <c r="Q801" s="86">
        <f t="shared" si="249"/>
        <v>0</v>
      </c>
      <c r="R801" s="86">
        <f t="shared" si="250"/>
        <v>0</v>
      </c>
      <c r="S801" s="74">
        <f t="shared" si="251"/>
        <v>-1.0913936421275139E-11</v>
      </c>
      <c r="T801" s="112">
        <f t="shared" si="252"/>
        <v>-4.6548441652518061E-12</v>
      </c>
      <c r="U801" s="112">
        <f t="shared" si="253"/>
        <v>0</v>
      </c>
      <c r="V801" s="75">
        <f t="shared" si="254"/>
        <v>0</v>
      </c>
      <c r="W801" s="74"/>
      <c r="X801" s="75">
        <f t="shared" si="255"/>
        <v>0</v>
      </c>
      <c r="Y801" s="156">
        <f t="shared" si="256"/>
        <v>-3.6289065407398638E-14</v>
      </c>
      <c r="Z801" s="46"/>
      <c r="AA801" s="107">
        <f t="shared" si="238"/>
        <v>0</v>
      </c>
    </row>
    <row r="802" spans="1:27" x14ac:dyDescent="0.2">
      <c r="A802" s="73">
        <v>171</v>
      </c>
      <c r="B802" s="86">
        <f t="shared" si="257"/>
        <v>0</v>
      </c>
      <c r="C802" s="50">
        <f t="shared" si="239"/>
        <v>0</v>
      </c>
      <c r="D802" s="86">
        <f t="shared" si="240"/>
        <v>0</v>
      </c>
      <c r="E802" s="86">
        <f t="shared" si="241"/>
        <v>0</v>
      </c>
      <c r="F802" s="74">
        <f t="shared" si="242"/>
        <v>0</v>
      </c>
      <c r="G802" s="112">
        <f t="shared" si="243"/>
        <v>0</v>
      </c>
      <c r="H802" s="112">
        <f t="shared" si="244"/>
        <v>0</v>
      </c>
      <c r="I802" s="75">
        <f t="shared" si="245"/>
        <v>0</v>
      </c>
      <c r="J802" s="74"/>
      <c r="K802" s="75">
        <f t="shared" si="246"/>
        <v>0</v>
      </c>
      <c r="L802" s="156">
        <f t="shared" si="247"/>
        <v>0</v>
      </c>
      <c r="M802" s="157"/>
      <c r="N802" s="73">
        <v>171</v>
      </c>
      <c r="O802" s="86">
        <f t="shared" si="258"/>
        <v>-1.0913936421275139E-11</v>
      </c>
      <c r="P802" s="50">
        <f t="shared" si="248"/>
        <v>0</v>
      </c>
      <c r="Q802" s="86">
        <f t="shared" si="249"/>
        <v>0</v>
      </c>
      <c r="R802" s="86">
        <f t="shared" si="250"/>
        <v>0</v>
      </c>
      <c r="S802" s="74">
        <f t="shared" si="251"/>
        <v>-1.0913936421275139E-11</v>
      </c>
      <c r="T802" s="112">
        <f t="shared" si="252"/>
        <v>-4.631569944425546E-12</v>
      </c>
      <c r="U802" s="112">
        <f t="shared" si="253"/>
        <v>0</v>
      </c>
      <c r="V802" s="75">
        <f t="shared" si="254"/>
        <v>0</v>
      </c>
      <c r="W802" s="74"/>
      <c r="X802" s="75">
        <f t="shared" si="255"/>
        <v>0</v>
      </c>
      <c r="Y802" s="156">
        <f t="shared" si="256"/>
        <v>-3.6289065407398638E-14</v>
      </c>
      <c r="Z802" s="46"/>
      <c r="AA802" s="107">
        <f t="shared" si="238"/>
        <v>0</v>
      </c>
    </row>
    <row r="803" spans="1:27" x14ac:dyDescent="0.2">
      <c r="A803" s="73">
        <v>172</v>
      </c>
      <c r="B803" s="86">
        <f t="shared" si="257"/>
        <v>0</v>
      </c>
      <c r="C803" s="50">
        <f t="shared" si="239"/>
        <v>0</v>
      </c>
      <c r="D803" s="86">
        <f t="shared" si="240"/>
        <v>0</v>
      </c>
      <c r="E803" s="86">
        <f t="shared" si="241"/>
        <v>0</v>
      </c>
      <c r="F803" s="74">
        <f t="shared" si="242"/>
        <v>0</v>
      </c>
      <c r="G803" s="112">
        <f t="shared" si="243"/>
        <v>0</v>
      </c>
      <c r="H803" s="112">
        <f t="shared" si="244"/>
        <v>0</v>
      </c>
      <c r="I803" s="75">
        <f t="shared" si="245"/>
        <v>0</v>
      </c>
      <c r="J803" s="74"/>
      <c r="K803" s="75">
        <f t="shared" si="246"/>
        <v>0</v>
      </c>
      <c r="L803" s="156">
        <f t="shared" si="247"/>
        <v>0</v>
      </c>
      <c r="M803" s="157"/>
      <c r="N803" s="73">
        <v>172</v>
      </c>
      <c r="O803" s="86">
        <f t="shared" si="258"/>
        <v>-1.0913936421275139E-11</v>
      </c>
      <c r="P803" s="50">
        <f t="shared" si="248"/>
        <v>0</v>
      </c>
      <c r="Q803" s="86">
        <f t="shared" si="249"/>
        <v>0</v>
      </c>
      <c r="R803" s="86">
        <f t="shared" si="250"/>
        <v>0</v>
      </c>
      <c r="S803" s="74">
        <f t="shared" si="251"/>
        <v>-1.0913936421275139E-11</v>
      </c>
      <c r="T803" s="112">
        <f t="shared" si="252"/>
        <v>-4.6084120947034189E-12</v>
      </c>
      <c r="U803" s="112">
        <f t="shared" si="253"/>
        <v>0</v>
      </c>
      <c r="V803" s="75">
        <f t="shared" si="254"/>
        <v>0</v>
      </c>
      <c r="W803" s="74"/>
      <c r="X803" s="75">
        <f t="shared" si="255"/>
        <v>0</v>
      </c>
      <c r="Y803" s="156">
        <f t="shared" si="256"/>
        <v>-3.6289065407398638E-14</v>
      </c>
      <c r="Z803" s="46"/>
      <c r="AA803" s="107">
        <f t="shared" si="238"/>
        <v>0</v>
      </c>
    </row>
    <row r="804" spans="1:27" x14ac:dyDescent="0.2">
      <c r="A804" s="73">
        <v>173</v>
      </c>
      <c r="B804" s="86">
        <f t="shared" si="257"/>
        <v>0</v>
      </c>
      <c r="C804" s="50">
        <f t="shared" si="239"/>
        <v>0</v>
      </c>
      <c r="D804" s="86">
        <f t="shared" si="240"/>
        <v>0</v>
      </c>
      <c r="E804" s="86">
        <f t="shared" si="241"/>
        <v>0</v>
      </c>
      <c r="F804" s="74">
        <f t="shared" si="242"/>
        <v>0</v>
      </c>
      <c r="G804" s="112">
        <f t="shared" si="243"/>
        <v>0</v>
      </c>
      <c r="H804" s="112">
        <f t="shared" si="244"/>
        <v>0</v>
      </c>
      <c r="I804" s="75">
        <f t="shared" si="245"/>
        <v>0</v>
      </c>
      <c r="J804" s="74"/>
      <c r="K804" s="75">
        <f t="shared" si="246"/>
        <v>0</v>
      </c>
      <c r="L804" s="156">
        <f t="shared" si="247"/>
        <v>0</v>
      </c>
      <c r="M804" s="157"/>
      <c r="N804" s="73">
        <v>173</v>
      </c>
      <c r="O804" s="86">
        <f t="shared" si="258"/>
        <v>-1.0913936421275139E-11</v>
      </c>
      <c r="P804" s="50">
        <f t="shared" si="248"/>
        <v>0</v>
      </c>
      <c r="Q804" s="86">
        <f t="shared" si="249"/>
        <v>0</v>
      </c>
      <c r="R804" s="86">
        <f t="shared" si="250"/>
        <v>0</v>
      </c>
      <c r="S804" s="74">
        <f t="shared" si="251"/>
        <v>-1.0913936421275139E-11</v>
      </c>
      <c r="T804" s="112">
        <f t="shared" si="252"/>
        <v>-4.5853700342299025E-12</v>
      </c>
      <c r="U804" s="112">
        <f t="shared" si="253"/>
        <v>0</v>
      </c>
      <c r="V804" s="75">
        <f t="shared" si="254"/>
        <v>0</v>
      </c>
      <c r="W804" s="74"/>
      <c r="X804" s="75">
        <f t="shared" si="255"/>
        <v>0</v>
      </c>
      <c r="Y804" s="156">
        <f t="shared" si="256"/>
        <v>-3.6289065407398638E-14</v>
      </c>
      <c r="Z804" s="46"/>
      <c r="AA804" s="107">
        <f t="shared" si="238"/>
        <v>0</v>
      </c>
    </row>
    <row r="805" spans="1:27" x14ac:dyDescent="0.2">
      <c r="A805" s="73">
        <v>174</v>
      </c>
      <c r="B805" s="86">
        <f t="shared" si="257"/>
        <v>0</v>
      </c>
      <c r="C805" s="50">
        <f t="shared" si="239"/>
        <v>0</v>
      </c>
      <c r="D805" s="86">
        <f t="shared" si="240"/>
        <v>0</v>
      </c>
      <c r="E805" s="86">
        <f t="shared" si="241"/>
        <v>0</v>
      </c>
      <c r="F805" s="74">
        <f t="shared" si="242"/>
        <v>0</v>
      </c>
      <c r="G805" s="112">
        <f t="shared" si="243"/>
        <v>0</v>
      </c>
      <c r="H805" s="112">
        <f t="shared" si="244"/>
        <v>0</v>
      </c>
      <c r="I805" s="75">
        <f t="shared" si="245"/>
        <v>0</v>
      </c>
      <c r="J805" s="74"/>
      <c r="K805" s="75">
        <f t="shared" si="246"/>
        <v>0</v>
      </c>
      <c r="L805" s="156">
        <f t="shared" si="247"/>
        <v>0</v>
      </c>
      <c r="M805" s="157"/>
      <c r="N805" s="73">
        <v>174</v>
      </c>
      <c r="O805" s="86">
        <f t="shared" si="258"/>
        <v>-1.0913936421275139E-11</v>
      </c>
      <c r="P805" s="50">
        <f t="shared" si="248"/>
        <v>0</v>
      </c>
      <c r="Q805" s="86">
        <f t="shared" si="249"/>
        <v>0</v>
      </c>
      <c r="R805" s="86">
        <f t="shared" si="250"/>
        <v>0</v>
      </c>
      <c r="S805" s="74">
        <f t="shared" si="251"/>
        <v>-1.0913936421275139E-11</v>
      </c>
      <c r="T805" s="112">
        <f t="shared" si="252"/>
        <v>-4.5624431840587529E-12</v>
      </c>
      <c r="U805" s="112">
        <f t="shared" si="253"/>
        <v>0</v>
      </c>
      <c r="V805" s="75">
        <f t="shared" si="254"/>
        <v>0</v>
      </c>
      <c r="W805" s="74"/>
      <c r="X805" s="75">
        <f t="shared" si="255"/>
        <v>0</v>
      </c>
      <c r="Y805" s="156">
        <f t="shared" si="256"/>
        <v>-3.6289065407398638E-14</v>
      </c>
      <c r="Z805" s="46"/>
      <c r="AA805" s="107">
        <f t="shared" si="238"/>
        <v>0</v>
      </c>
    </row>
    <row r="806" spans="1:27" x14ac:dyDescent="0.2">
      <c r="A806" s="73">
        <v>175</v>
      </c>
      <c r="B806" s="86">
        <f t="shared" si="257"/>
        <v>0</v>
      </c>
      <c r="C806" s="50">
        <f t="shared" si="239"/>
        <v>0</v>
      </c>
      <c r="D806" s="86">
        <f t="shared" si="240"/>
        <v>0</v>
      </c>
      <c r="E806" s="86">
        <f t="shared" si="241"/>
        <v>0</v>
      </c>
      <c r="F806" s="74">
        <f t="shared" si="242"/>
        <v>0</v>
      </c>
      <c r="G806" s="112">
        <f t="shared" si="243"/>
        <v>0</v>
      </c>
      <c r="H806" s="112">
        <f t="shared" si="244"/>
        <v>0</v>
      </c>
      <c r="I806" s="75">
        <f t="shared" si="245"/>
        <v>0</v>
      </c>
      <c r="J806" s="74"/>
      <c r="K806" s="75">
        <f t="shared" si="246"/>
        <v>0</v>
      </c>
      <c r="L806" s="156">
        <f t="shared" si="247"/>
        <v>0</v>
      </c>
      <c r="M806" s="157"/>
      <c r="N806" s="73">
        <v>175</v>
      </c>
      <c r="O806" s="86">
        <f t="shared" si="258"/>
        <v>-1.0913936421275139E-11</v>
      </c>
      <c r="P806" s="50">
        <f t="shared" si="248"/>
        <v>0</v>
      </c>
      <c r="Q806" s="86">
        <f t="shared" si="249"/>
        <v>0</v>
      </c>
      <c r="R806" s="86">
        <f t="shared" si="250"/>
        <v>0</v>
      </c>
      <c r="S806" s="74">
        <f t="shared" si="251"/>
        <v>-1.0913936421275139E-11</v>
      </c>
      <c r="T806" s="112">
        <f t="shared" si="252"/>
        <v>-4.5396309681384591E-12</v>
      </c>
      <c r="U806" s="112">
        <f t="shared" si="253"/>
        <v>0</v>
      </c>
      <c r="V806" s="75">
        <f t="shared" si="254"/>
        <v>0</v>
      </c>
      <c r="W806" s="74"/>
      <c r="X806" s="75">
        <f t="shared" si="255"/>
        <v>0</v>
      </c>
      <c r="Y806" s="156">
        <f t="shared" si="256"/>
        <v>-3.6289065407398638E-14</v>
      </c>
      <c r="Z806" s="46"/>
      <c r="AA806" s="107">
        <f t="shared" si="238"/>
        <v>0</v>
      </c>
    </row>
    <row r="807" spans="1:27" x14ac:dyDescent="0.2">
      <c r="A807" s="73">
        <v>176</v>
      </c>
      <c r="B807" s="86">
        <f t="shared" si="257"/>
        <v>0</v>
      </c>
      <c r="C807" s="50">
        <f t="shared" si="239"/>
        <v>0</v>
      </c>
      <c r="D807" s="86">
        <f t="shared" si="240"/>
        <v>0</v>
      </c>
      <c r="E807" s="86">
        <f t="shared" si="241"/>
        <v>0</v>
      </c>
      <c r="F807" s="74">
        <f t="shared" si="242"/>
        <v>0</v>
      </c>
      <c r="G807" s="112">
        <f t="shared" si="243"/>
        <v>0</v>
      </c>
      <c r="H807" s="112">
        <f t="shared" si="244"/>
        <v>0</v>
      </c>
      <c r="I807" s="75">
        <f t="shared" si="245"/>
        <v>0</v>
      </c>
      <c r="J807" s="74"/>
      <c r="K807" s="75">
        <f t="shared" si="246"/>
        <v>0</v>
      </c>
      <c r="L807" s="156">
        <f t="shared" si="247"/>
        <v>0</v>
      </c>
      <c r="M807" s="157"/>
      <c r="N807" s="73">
        <v>176</v>
      </c>
      <c r="O807" s="86">
        <f t="shared" si="258"/>
        <v>-1.0913936421275139E-11</v>
      </c>
      <c r="P807" s="50">
        <f t="shared" si="248"/>
        <v>0</v>
      </c>
      <c r="Q807" s="86">
        <f t="shared" si="249"/>
        <v>0</v>
      </c>
      <c r="R807" s="86">
        <f t="shared" si="250"/>
        <v>0</v>
      </c>
      <c r="S807" s="74">
        <f t="shared" si="251"/>
        <v>-1.0913936421275139E-11</v>
      </c>
      <c r="T807" s="112">
        <f t="shared" si="252"/>
        <v>-4.5169328132977671E-12</v>
      </c>
      <c r="U807" s="112">
        <f t="shared" si="253"/>
        <v>0</v>
      </c>
      <c r="V807" s="75">
        <f t="shared" si="254"/>
        <v>0</v>
      </c>
      <c r="W807" s="74"/>
      <c r="X807" s="75">
        <f t="shared" si="255"/>
        <v>0</v>
      </c>
      <c r="Y807" s="156">
        <f t="shared" si="256"/>
        <v>-3.6289065407398638E-14</v>
      </c>
      <c r="Z807" s="46"/>
      <c r="AA807" s="107">
        <f t="shared" si="238"/>
        <v>0</v>
      </c>
    </row>
    <row r="808" spans="1:27" x14ac:dyDescent="0.2">
      <c r="A808" s="73">
        <v>177</v>
      </c>
      <c r="B808" s="86">
        <f t="shared" si="257"/>
        <v>0</v>
      </c>
      <c r="C808" s="50">
        <f t="shared" si="239"/>
        <v>0</v>
      </c>
      <c r="D808" s="86">
        <f t="shared" si="240"/>
        <v>0</v>
      </c>
      <c r="E808" s="86">
        <f t="shared" si="241"/>
        <v>0</v>
      </c>
      <c r="F808" s="74">
        <f t="shared" si="242"/>
        <v>0</v>
      </c>
      <c r="G808" s="112">
        <f t="shared" si="243"/>
        <v>0</v>
      </c>
      <c r="H808" s="112">
        <f t="shared" si="244"/>
        <v>0</v>
      </c>
      <c r="I808" s="75">
        <f t="shared" si="245"/>
        <v>0</v>
      </c>
      <c r="J808" s="74"/>
      <c r="K808" s="75">
        <f t="shared" si="246"/>
        <v>0</v>
      </c>
      <c r="L808" s="156">
        <f t="shared" si="247"/>
        <v>0</v>
      </c>
      <c r="M808" s="157"/>
      <c r="N808" s="73">
        <v>177</v>
      </c>
      <c r="O808" s="86">
        <f t="shared" si="258"/>
        <v>-1.0913936421275139E-11</v>
      </c>
      <c r="P808" s="50">
        <f t="shared" si="248"/>
        <v>0</v>
      </c>
      <c r="Q808" s="86">
        <f t="shared" si="249"/>
        <v>0</v>
      </c>
      <c r="R808" s="86">
        <f t="shared" si="250"/>
        <v>0</v>
      </c>
      <c r="S808" s="74">
        <f t="shared" si="251"/>
        <v>-1.0913936421275139E-11</v>
      </c>
      <c r="T808" s="112">
        <f t="shared" si="252"/>
        <v>-4.4943481492312777E-12</v>
      </c>
      <c r="U808" s="112">
        <f t="shared" si="253"/>
        <v>0</v>
      </c>
      <c r="V808" s="75">
        <f t="shared" si="254"/>
        <v>0</v>
      </c>
      <c r="W808" s="74"/>
      <c r="X808" s="75">
        <f t="shared" si="255"/>
        <v>0</v>
      </c>
      <c r="Y808" s="156">
        <f t="shared" si="256"/>
        <v>-3.6289065407398638E-14</v>
      </c>
      <c r="Z808" s="46"/>
      <c r="AA808" s="107">
        <f t="shared" si="238"/>
        <v>0</v>
      </c>
    </row>
    <row r="809" spans="1:27" x14ac:dyDescent="0.2">
      <c r="A809" s="73">
        <v>178</v>
      </c>
      <c r="B809" s="86">
        <f t="shared" si="257"/>
        <v>0</v>
      </c>
      <c r="C809" s="50">
        <f t="shared" si="239"/>
        <v>0</v>
      </c>
      <c r="D809" s="86">
        <f t="shared" si="240"/>
        <v>0</v>
      </c>
      <c r="E809" s="86">
        <f t="shared" si="241"/>
        <v>0</v>
      </c>
      <c r="F809" s="74">
        <f t="shared" si="242"/>
        <v>0</v>
      </c>
      <c r="G809" s="112">
        <f t="shared" si="243"/>
        <v>0</v>
      </c>
      <c r="H809" s="112">
        <f t="shared" si="244"/>
        <v>0</v>
      </c>
      <c r="I809" s="75">
        <f t="shared" si="245"/>
        <v>0</v>
      </c>
      <c r="J809" s="74"/>
      <c r="K809" s="75">
        <f t="shared" si="246"/>
        <v>0</v>
      </c>
      <c r="L809" s="156">
        <f t="shared" si="247"/>
        <v>0</v>
      </c>
      <c r="M809" s="157"/>
      <c r="N809" s="73">
        <v>178</v>
      </c>
      <c r="O809" s="86">
        <f t="shared" si="258"/>
        <v>-1.0913936421275139E-11</v>
      </c>
      <c r="P809" s="50">
        <f t="shared" si="248"/>
        <v>0</v>
      </c>
      <c r="Q809" s="86">
        <f t="shared" si="249"/>
        <v>0</v>
      </c>
      <c r="R809" s="86">
        <f t="shared" si="250"/>
        <v>0</v>
      </c>
      <c r="S809" s="74">
        <f t="shared" si="251"/>
        <v>-1.0913936421275139E-11</v>
      </c>
      <c r="T809" s="112">
        <f t="shared" si="252"/>
        <v>-4.471876408485121E-12</v>
      </c>
      <c r="U809" s="112">
        <f t="shared" si="253"/>
        <v>0</v>
      </c>
      <c r="V809" s="75">
        <f t="shared" si="254"/>
        <v>0</v>
      </c>
      <c r="W809" s="74"/>
      <c r="X809" s="75">
        <f t="shared" si="255"/>
        <v>0</v>
      </c>
      <c r="Y809" s="156">
        <f t="shared" si="256"/>
        <v>-3.6289065407398638E-14</v>
      </c>
      <c r="Z809" s="46"/>
      <c r="AA809" s="107">
        <f t="shared" si="238"/>
        <v>0</v>
      </c>
    </row>
    <row r="810" spans="1:27" x14ac:dyDescent="0.2">
      <c r="A810" s="73">
        <v>179</v>
      </c>
      <c r="B810" s="86">
        <f t="shared" si="257"/>
        <v>0</v>
      </c>
      <c r="C810" s="50">
        <f t="shared" si="239"/>
        <v>0</v>
      </c>
      <c r="D810" s="86">
        <f t="shared" si="240"/>
        <v>0</v>
      </c>
      <c r="E810" s="86">
        <f t="shared" si="241"/>
        <v>0</v>
      </c>
      <c r="F810" s="74">
        <f t="shared" si="242"/>
        <v>0</v>
      </c>
      <c r="G810" s="112">
        <f t="shared" si="243"/>
        <v>0</v>
      </c>
      <c r="H810" s="112">
        <f t="shared" si="244"/>
        <v>0</v>
      </c>
      <c r="I810" s="75">
        <f t="shared" si="245"/>
        <v>0</v>
      </c>
      <c r="J810" s="74"/>
      <c r="K810" s="75">
        <f t="shared" si="246"/>
        <v>0</v>
      </c>
      <c r="L810" s="156">
        <f t="shared" si="247"/>
        <v>0</v>
      </c>
      <c r="M810" s="157"/>
      <c r="N810" s="73">
        <v>179</v>
      </c>
      <c r="O810" s="86">
        <f t="shared" si="258"/>
        <v>-1.0913936421275139E-11</v>
      </c>
      <c r="P810" s="50">
        <f t="shared" si="248"/>
        <v>0</v>
      </c>
      <c r="Q810" s="86">
        <f t="shared" si="249"/>
        <v>0</v>
      </c>
      <c r="R810" s="86">
        <f t="shared" si="250"/>
        <v>0</v>
      </c>
      <c r="S810" s="74">
        <f t="shared" si="251"/>
        <v>-1.0913936421275139E-11</v>
      </c>
      <c r="T810" s="112">
        <f t="shared" si="252"/>
        <v>-4.4495170264426956E-12</v>
      </c>
      <c r="U810" s="112">
        <f t="shared" si="253"/>
        <v>0</v>
      </c>
      <c r="V810" s="75">
        <f t="shared" si="254"/>
        <v>0</v>
      </c>
      <c r="W810" s="74"/>
      <c r="X810" s="75">
        <f t="shared" si="255"/>
        <v>0</v>
      </c>
      <c r="Y810" s="156">
        <f t="shared" si="256"/>
        <v>-3.6289065407398638E-14</v>
      </c>
      <c r="Z810" s="46"/>
      <c r="AA810" s="107">
        <f t="shared" si="238"/>
        <v>0</v>
      </c>
    </row>
    <row r="811" spans="1:27" x14ac:dyDescent="0.2">
      <c r="A811" s="73">
        <v>180</v>
      </c>
      <c r="B811" s="86">
        <f t="shared" si="257"/>
        <v>0</v>
      </c>
      <c r="C811" s="50">
        <f t="shared" si="239"/>
        <v>0</v>
      </c>
      <c r="D811" s="86">
        <f t="shared" si="240"/>
        <v>0</v>
      </c>
      <c r="E811" s="86">
        <f t="shared" si="241"/>
        <v>0</v>
      </c>
      <c r="F811" s="74">
        <f t="shared" si="242"/>
        <v>0</v>
      </c>
      <c r="G811" s="112">
        <f t="shared" si="243"/>
        <v>0</v>
      </c>
      <c r="H811" s="112">
        <f t="shared" si="244"/>
        <v>0</v>
      </c>
      <c r="I811" s="75">
        <f t="shared" si="245"/>
        <v>0</v>
      </c>
      <c r="J811" s="74"/>
      <c r="K811" s="75">
        <f t="shared" si="246"/>
        <v>0</v>
      </c>
      <c r="L811" s="156">
        <f t="shared" si="247"/>
        <v>0</v>
      </c>
      <c r="M811" s="157"/>
      <c r="N811" s="73">
        <v>180</v>
      </c>
      <c r="O811" s="86">
        <f t="shared" si="258"/>
        <v>-1.0913936421275139E-11</v>
      </c>
      <c r="P811" s="50">
        <f t="shared" si="248"/>
        <v>0</v>
      </c>
      <c r="Q811" s="86">
        <f t="shared" si="249"/>
        <v>0</v>
      </c>
      <c r="R811" s="86">
        <f t="shared" si="250"/>
        <v>0</v>
      </c>
      <c r="S811" s="74">
        <f t="shared" si="251"/>
        <v>-1.0913936421275139E-11</v>
      </c>
      <c r="T811" s="112">
        <f t="shared" si="252"/>
        <v>-4.4272694413104823E-12</v>
      </c>
      <c r="U811" s="112">
        <f t="shared" si="253"/>
        <v>0</v>
      </c>
      <c r="V811" s="75">
        <f t="shared" si="254"/>
        <v>0</v>
      </c>
      <c r="W811" s="74"/>
      <c r="X811" s="75">
        <f t="shared" si="255"/>
        <v>0</v>
      </c>
      <c r="Y811" s="156">
        <f t="shared" si="256"/>
        <v>-3.6289065407398638E-14</v>
      </c>
      <c r="Z811" s="46"/>
      <c r="AA811" s="107">
        <f t="shared" si="238"/>
        <v>0</v>
      </c>
    </row>
    <row r="812" spans="1:27" x14ac:dyDescent="0.2">
      <c r="A812" s="73">
        <v>181</v>
      </c>
      <c r="B812" s="86">
        <f t="shared" si="257"/>
        <v>0</v>
      </c>
      <c r="C812" s="50">
        <f t="shared" si="239"/>
        <v>0</v>
      </c>
      <c r="D812" s="86">
        <f t="shared" si="240"/>
        <v>0</v>
      </c>
      <c r="E812" s="86">
        <f t="shared" si="241"/>
        <v>0</v>
      </c>
      <c r="F812" s="74">
        <f t="shared" si="242"/>
        <v>0</v>
      </c>
      <c r="G812" s="112">
        <f t="shared" si="243"/>
        <v>0</v>
      </c>
      <c r="H812" s="112">
        <f t="shared" si="244"/>
        <v>0</v>
      </c>
      <c r="I812" s="75">
        <f t="shared" si="245"/>
        <v>0</v>
      </c>
      <c r="J812" s="74"/>
      <c r="K812" s="75">
        <f t="shared" si="246"/>
        <v>0</v>
      </c>
      <c r="L812" s="156">
        <f t="shared" si="247"/>
        <v>0</v>
      </c>
      <c r="M812" s="157"/>
      <c r="N812" s="73">
        <v>181</v>
      </c>
      <c r="O812" s="86">
        <f t="shared" si="258"/>
        <v>-1.0913936421275139E-11</v>
      </c>
      <c r="P812" s="50">
        <f t="shared" si="248"/>
        <v>0</v>
      </c>
      <c r="Q812" s="86">
        <f t="shared" si="249"/>
        <v>0</v>
      </c>
      <c r="R812" s="86">
        <f t="shared" si="250"/>
        <v>0</v>
      </c>
      <c r="S812" s="74">
        <f t="shared" si="251"/>
        <v>-1.0913936421275139E-11</v>
      </c>
      <c r="T812" s="112">
        <f t="shared" si="252"/>
        <v>-4.4051330941039301E-12</v>
      </c>
      <c r="U812" s="112">
        <f t="shared" si="253"/>
        <v>0</v>
      </c>
      <c r="V812" s="75">
        <f t="shared" si="254"/>
        <v>0</v>
      </c>
      <c r="W812" s="74"/>
      <c r="X812" s="75">
        <f t="shared" si="255"/>
        <v>0</v>
      </c>
      <c r="Y812" s="156">
        <f t="shared" si="256"/>
        <v>-3.6289065407398638E-14</v>
      </c>
      <c r="Z812" s="46"/>
      <c r="AA812" s="107">
        <f t="shared" si="238"/>
        <v>0</v>
      </c>
    </row>
  </sheetData>
  <mergeCells count="6">
    <mergeCell ref="N627:Y627"/>
    <mergeCell ref="D613:E613"/>
    <mergeCell ref="B3:M3"/>
    <mergeCell ref="D617:E617"/>
    <mergeCell ref="B6:B10"/>
    <mergeCell ref="A627:L627"/>
  </mergeCells>
  <conditionalFormatting sqref="E34:M34">
    <cfRule type="cellIs" dxfId="0" priority="1" operator="greaterThan">
      <formula>$D$33</formula>
    </cfRule>
  </conditionalFormatting>
  <printOptions horizontalCentered="1"/>
  <pageMargins left="0" right="0" top="0.78740157480314965" bottom="0.78740157480314965" header="0" footer="0"/>
  <pageSetup scale="95"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E812"/>
  <sheetViews>
    <sheetView showGridLines="0" tabSelected="1" topLeftCell="A647" zoomScale="130" zoomScaleNormal="130" workbookViewId="0">
      <selection activeCell="C667" sqref="C667"/>
    </sheetView>
  </sheetViews>
  <sheetFormatPr baseColWidth="10" defaultColWidth="11.42578125" defaultRowHeight="12" outlineLevelRow="1" x14ac:dyDescent="0.2"/>
  <cols>
    <col min="1" max="1" width="27.42578125" style="1" customWidth="1"/>
    <col min="2" max="2" width="43.42578125" style="2" customWidth="1"/>
    <col min="3" max="3" width="10.28515625" style="1" bestFit="1" customWidth="1"/>
    <col min="4" max="4" width="40.85546875" style="1" customWidth="1"/>
    <col min="5" max="15" width="11.42578125" style="1" customWidth="1"/>
    <col min="16" max="16384" width="11.42578125" style="1"/>
  </cols>
  <sheetData>
    <row r="1" spans="2:13" hidden="1" outlineLevel="1" x14ac:dyDescent="0.2">
      <c r="D1" s="3">
        <f>IF(OR(ISBLANK(#REF!),ISBLANK(#REF!),ISBLANK(D$25),ISBLANK(D$23)),0,1)</f>
        <v>1</v>
      </c>
      <c r="E1" s="3">
        <f>IF(OR(ISBLANK(#REF!),ISBLANK(#REF!),ISBLANK(E$25),ISBLANK(E$23)),0,1)</f>
        <v>0</v>
      </c>
      <c r="F1" s="3">
        <f>IF(OR(ISBLANK(#REF!),ISBLANK(#REF!),ISBLANK(F$25),ISBLANK(F$23)),0,1)</f>
        <v>0</v>
      </c>
      <c r="G1" s="3">
        <f>IF(OR(ISBLANK(#REF!),ISBLANK(#REF!),ISBLANK(G$25),ISBLANK(G$23)),0,1)</f>
        <v>0</v>
      </c>
      <c r="H1" s="3">
        <f>IF(OR(ISBLANK(#REF!),ISBLANK(#REF!),ISBLANK(H$25),ISBLANK(H$23)),0,1)</f>
        <v>0</v>
      </c>
      <c r="I1" s="3">
        <f>IF(OR(ISBLANK(#REF!),ISBLANK(#REF!),ISBLANK(I$25),ISBLANK(I$23)),0,1)</f>
        <v>0</v>
      </c>
      <c r="J1" s="3">
        <f>IF(OR(ISBLANK(#REF!),ISBLANK(#REF!),ISBLANK(J$25),ISBLANK(J$23)),0,1)</f>
        <v>0</v>
      </c>
      <c r="K1" s="3">
        <f>IF(OR(ISBLANK(#REF!),ISBLANK(#REF!),ISBLANK(K$25),ISBLANK(K$23)),0,1)</f>
        <v>0</v>
      </c>
      <c r="L1" s="3">
        <f>IF(OR(ISBLANK(#REF!),ISBLANK(#REF!),ISBLANK(L$25),ISBLANK(L$23)),0,1)</f>
        <v>0</v>
      </c>
      <c r="M1" s="3">
        <f>IF(OR(ISBLANK(#REF!),ISBLANK(#REF!),ISBLANK(M$25),ISBLANK(M$23)),0,1)</f>
        <v>0</v>
      </c>
    </row>
    <row r="2" spans="2:13" collapsed="1" x14ac:dyDescent="0.2"/>
    <row r="3" spans="2:13" ht="36" customHeight="1" x14ac:dyDescent="0.2">
      <c r="B3" s="239" t="s">
        <v>0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</row>
    <row r="5" spans="2:13" x14ac:dyDescent="0.2"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</row>
    <row r="6" spans="2:13" x14ac:dyDescent="0.2">
      <c r="B6" s="240" t="s">
        <v>1</v>
      </c>
      <c r="D6" s="19" t="s">
        <v>2</v>
      </c>
      <c r="M6" s="15"/>
    </row>
    <row r="7" spans="2:13" x14ac:dyDescent="0.2">
      <c r="B7" s="241"/>
      <c r="D7" s="101"/>
      <c r="M7" s="15"/>
    </row>
    <row r="8" spans="2:13" hidden="1" x14ac:dyDescent="0.2">
      <c r="B8" s="241"/>
      <c r="D8" s="20"/>
      <c r="M8" s="15"/>
    </row>
    <row r="9" spans="2:13" hidden="1" x14ac:dyDescent="0.2">
      <c r="B9" s="241"/>
      <c r="D9" s="23"/>
      <c r="M9" s="15"/>
    </row>
    <row r="10" spans="2:13" hidden="1" x14ac:dyDescent="0.2">
      <c r="B10" s="241"/>
      <c r="D10" s="24"/>
      <c r="M10" s="15"/>
    </row>
    <row r="11" spans="2:13" hidden="1" x14ac:dyDescent="0.2">
      <c r="B11" s="16"/>
      <c r="C11" s="5"/>
      <c r="D11" s="17"/>
      <c r="E11" s="5"/>
      <c r="F11" s="5"/>
      <c r="G11" s="5"/>
      <c r="H11" s="5"/>
      <c r="I11" s="5"/>
      <c r="J11" s="5"/>
      <c r="K11" s="5"/>
      <c r="L11" s="5"/>
      <c r="M11" s="18"/>
    </row>
    <row r="14" spans="2:13" ht="21" customHeight="1" x14ac:dyDescent="0.2">
      <c r="D14" s="9" t="s">
        <v>3</v>
      </c>
      <c r="E14" s="9" t="s">
        <v>4</v>
      </c>
      <c r="F14" s="9" t="s">
        <v>5</v>
      </c>
      <c r="G14" s="9" t="s">
        <v>6</v>
      </c>
      <c r="H14" s="9" t="s">
        <v>7</v>
      </c>
      <c r="I14" s="9" t="s">
        <v>8</v>
      </c>
      <c r="J14" s="9" t="s">
        <v>9</v>
      </c>
      <c r="K14" s="9" t="s">
        <v>10</v>
      </c>
      <c r="L14" s="9" t="s">
        <v>11</v>
      </c>
      <c r="M14" s="9" t="s">
        <v>12</v>
      </c>
    </row>
    <row r="15" spans="2:13" x14ac:dyDescent="0.2">
      <c r="D15" s="188"/>
      <c r="E15" s="7"/>
      <c r="F15" s="7"/>
      <c r="G15" s="7"/>
      <c r="H15" s="7"/>
      <c r="I15" s="7"/>
      <c r="J15" s="7"/>
      <c r="K15" s="7"/>
      <c r="L15" s="7"/>
      <c r="M15" s="7"/>
    </row>
    <row r="16" spans="2:13" x14ac:dyDescent="0.2">
      <c r="B16" s="6" t="s">
        <v>13</v>
      </c>
      <c r="D16" s="188"/>
      <c r="E16" s="7"/>
      <c r="F16" s="7"/>
      <c r="G16" s="7"/>
      <c r="H16" s="7"/>
      <c r="I16" s="7"/>
      <c r="J16" s="7"/>
      <c r="K16" s="7"/>
      <c r="L16" s="7"/>
      <c r="M16" s="7"/>
    </row>
    <row r="17" spans="2:16" outlineLevel="1" x14ac:dyDescent="0.2">
      <c r="B17" s="117" t="s">
        <v>14</v>
      </c>
      <c r="D17" s="180"/>
      <c r="E17" s="7"/>
      <c r="F17" s="7"/>
      <c r="G17" s="7"/>
      <c r="H17" s="7"/>
      <c r="I17" s="7"/>
      <c r="J17" s="7"/>
      <c r="K17" s="7"/>
      <c r="L17" s="7"/>
      <c r="M17" s="7"/>
    </row>
    <row r="18" spans="2:16" outlineLevel="1" x14ac:dyDescent="0.2">
      <c r="B18" s="4" t="s">
        <v>15</v>
      </c>
      <c r="D18" s="180"/>
      <c r="E18" s="7"/>
      <c r="F18" s="7"/>
      <c r="G18" s="7"/>
      <c r="H18" s="7"/>
      <c r="I18" s="7"/>
      <c r="J18" s="7"/>
      <c r="K18" s="7"/>
      <c r="L18" s="7"/>
      <c r="M18" s="7"/>
    </row>
    <row r="19" spans="2:16" outlineLevel="1" x14ac:dyDescent="0.2">
      <c r="B19" s="4" t="s">
        <v>16</v>
      </c>
      <c r="D19" s="118"/>
      <c r="E19" s="7"/>
      <c r="F19" s="7"/>
      <c r="G19" s="7"/>
      <c r="H19" s="7"/>
      <c r="I19" s="7"/>
      <c r="J19" s="7"/>
      <c r="K19" s="7"/>
      <c r="L19" s="7"/>
      <c r="M19" s="7"/>
      <c r="N19" s="92"/>
    </row>
    <row r="20" spans="2:16" outlineLevel="1" x14ac:dyDescent="0.2">
      <c r="B20" s="4" t="s">
        <v>17</v>
      </c>
      <c r="D20" s="180">
        <f>compensation!B4</f>
        <v>3900</v>
      </c>
      <c r="E20" s="7"/>
      <c r="F20" s="7"/>
      <c r="G20" s="7"/>
      <c r="H20" s="7"/>
      <c r="I20" s="7"/>
      <c r="J20" s="7"/>
      <c r="K20" s="7"/>
      <c r="L20" s="7"/>
      <c r="M20" s="7"/>
      <c r="N20" s="92"/>
    </row>
    <row r="21" spans="2:16" outlineLevel="1" x14ac:dyDescent="0.2">
      <c r="B21" s="4" t="s">
        <v>18</v>
      </c>
      <c r="D21" s="118"/>
      <c r="E21" s="7"/>
      <c r="F21" s="7"/>
      <c r="G21" s="7"/>
      <c r="H21" s="7"/>
      <c r="I21" s="7"/>
      <c r="J21" s="7"/>
      <c r="K21" s="7"/>
      <c r="L21" s="7"/>
      <c r="M21" s="7"/>
    </row>
    <row r="22" spans="2:16" ht="11.25" customHeight="1" x14ac:dyDescent="0.2">
      <c r="B22" s="4" t="s">
        <v>19</v>
      </c>
      <c r="D22" s="207">
        <f>+compensation!B5</f>
        <v>30075</v>
      </c>
      <c r="E22" s="26"/>
      <c r="F22" s="26"/>
      <c r="G22" s="26"/>
      <c r="H22" s="26"/>
      <c r="I22" s="26"/>
      <c r="J22" s="26"/>
      <c r="K22" s="26"/>
      <c r="L22" s="26"/>
      <c r="M22" s="26"/>
    </row>
    <row r="23" spans="2:16" ht="11.25" customHeight="1" outlineLevel="1" x14ac:dyDescent="0.2">
      <c r="B23" s="4" t="s">
        <v>20</v>
      </c>
      <c r="D23" s="208">
        <f>+IF(D20=0,D24,D24-1)</f>
        <v>35</v>
      </c>
      <c r="E23" s="11"/>
      <c r="F23" s="11"/>
      <c r="G23" s="11"/>
      <c r="H23" s="11"/>
      <c r="I23" s="11"/>
      <c r="J23" s="11"/>
      <c r="K23" s="11"/>
      <c r="L23" s="11"/>
      <c r="M23" s="11"/>
      <c r="N23" s="98"/>
    </row>
    <row r="24" spans="2:16" ht="11.25" customHeight="1" x14ac:dyDescent="0.2">
      <c r="B24" s="4" t="s">
        <v>21</v>
      </c>
      <c r="D24" s="208">
        <f>compensation!B7</f>
        <v>36</v>
      </c>
      <c r="E24" s="11"/>
      <c r="F24" s="11"/>
      <c r="G24" s="11"/>
      <c r="H24" s="11"/>
      <c r="I24" s="11"/>
      <c r="J24" s="11"/>
      <c r="K24" s="11"/>
      <c r="L24" s="11"/>
      <c r="M24" s="11"/>
      <c r="N24" s="210"/>
    </row>
    <row r="25" spans="2:16" x14ac:dyDescent="0.2">
      <c r="B25" s="4" t="s">
        <v>22</v>
      </c>
      <c r="D25" s="209">
        <f>+compensation!B8</f>
        <v>7.8E-2</v>
      </c>
      <c r="E25" s="10"/>
      <c r="F25" s="10"/>
      <c r="G25" s="10"/>
      <c r="H25" s="10"/>
      <c r="I25" s="10"/>
      <c r="J25" s="10"/>
      <c r="K25" s="10"/>
      <c r="L25" s="10"/>
      <c r="M25" s="10"/>
      <c r="N25" s="93"/>
      <c r="O25" s="93"/>
    </row>
    <row r="26" spans="2:16" x14ac:dyDescent="0.2">
      <c r="B26" s="4" t="s">
        <v>23</v>
      </c>
      <c r="D26" s="28">
        <f>+compensation!B11</f>
        <v>5.9499999999999997E-2</v>
      </c>
      <c r="E26" s="10"/>
      <c r="F26" s="10"/>
      <c r="G26" s="10"/>
      <c r="H26" s="10"/>
      <c r="I26" s="10"/>
      <c r="J26" s="10"/>
      <c r="K26" s="10"/>
      <c r="L26" s="10"/>
      <c r="M26" s="10"/>
      <c r="N26" s="93"/>
    </row>
    <row r="27" spans="2:16" x14ac:dyDescent="0.2">
      <c r="B27" s="4" t="s">
        <v>24</v>
      </c>
      <c r="D27" s="28">
        <f>+D29/D22</f>
        <v>0.6062067054585758</v>
      </c>
      <c r="E27" s="10"/>
      <c r="F27" s="10"/>
      <c r="G27" s="10"/>
      <c r="H27" s="10"/>
      <c r="I27" s="10"/>
      <c r="J27" s="10"/>
      <c r="K27" s="10"/>
      <c r="L27" s="10"/>
      <c r="M27" s="10"/>
    </row>
    <row r="28" spans="2:16" hidden="1" outlineLevel="1" x14ac:dyDescent="0.2">
      <c r="B28" s="4" t="s">
        <v>25</v>
      </c>
      <c r="D28" s="27"/>
      <c r="E28" s="27" t="str">
        <f t="shared" ref="E28:M28" si="0">IF(E22=0,"",E27*E22)</f>
        <v/>
      </c>
      <c r="F28" s="27" t="str">
        <f t="shared" si="0"/>
        <v/>
      </c>
      <c r="G28" s="27" t="str">
        <f t="shared" si="0"/>
        <v/>
      </c>
      <c r="H28" s="27" t="str">
        <f t="shared" si="0"/>
        <v/>
      </c>
      <c r="I28" s="27" t="str">
        <f t="shared" si="0"/>
        <v/>
      </c>
      <c r="J28" s="27" t="str">
        <f t="shared" si="0"/>
        <v/>
      </c>
      <c r="K28" s="27" t="str">
        <f t="shared" si="0"/>
        <v/>
      </c>
      <c r="L28" s="27" t="str">
        <f t="shared" si="0"/>
        <v/>
      </c>
      <c r="M28" s="91" t="str">
        <f t="shared" si="0"/>
        <v/>
      </c>
      <c r="N28" s="183" t="e">
        <f>+D28/D17</f>
        <v>#DIV/0!</v>
      </c>
      <c r="O28" s="184"/>
      <c r="P28" s="95"/>
    </row>
    <row r="29" spans="2:16" ht="11.45" customHeight="1" collapsed="1" x14ac:dyDescent="0.2">
      <c r="B29" s="4" t="s">
        <v>26</v>
      </c>
      <c r="D29" s="207">
        <f>+compensation!B9</f>
        <v>18231.666666666668</v>
      </c>
      <c r="E29" s="27"/>
      <c r="F29" s="27"/>
      <c r="G29" s="27"/>
      <c r="H29" s="27"/>
      <c r="I29" s="27"/>
      <c r="J29" s="27"/>
      <c r="K29" s="27"/>
      <c r="L29" s="27"/>
      <c r="M29" s="91"/>
      <c r="N29" s="182">
        <f>+D29/D22</f>
        <v>0.6062067054585758</v>
      </c>
      <c r="P29" s="95"/>
    </row>
    <row r="30" spans="2:16" hidden="1" outlineLevel="1" x14ac:dyDescent="0.2">
      <c r="B30" s="2" t="s">
        <v>27</v>
      </c>
      <c r="D30" s="88"/>
      <c r="E30" s="27"/>
      <c r="F30" s="27"/>
      <c r="G30" s="27"/>
      <c r="H30" s="27"/>
      <c r="I30" s="27"/>
      <c r="J30" s="27"/>
      <c r="K30" s="27"/>
      <c r="L30" s="27"/>
      <c r="M30" s="91"/>
      <c r="N30" s="185"/>
      <c r="O30" s="185"/>
      <c r="P30" s="95"/>
    </row>
    <row r="31" spans="2:16" collapsed="1" x14ac:dyDescent="0.2">
      <c r="D31" s="188"/>
      <c r="E31" s="7"/>
      <c r="F31" s="7"/>
      <c r="G31" s="7"/>
      <c r="H31" s="7"/>
      <c r="I31" s="7"/>
      <c r="J31" s="7"/>
      <c r="K31" s="7"/>
      <c r="L31" s="7"/>
      <c r="M31" s="7"/>
      <c r="N31" s="185"/>
      <c r="O31" s="186"/>
    </row>
    <row r="32" spans="2:16" ht="21" customHeight="1" x14ac:dyDescent="0.2">
      <c r="B32" s="6" t="s">
        <v>28</v>
      </c>
      <c r="D32" s="188"/>
      <c r="E32" s="7"/>
      <c r="F32" s="7"/>
      <c r="G32" s="7"/>
      <c r="H32" s="7"/>
      <c r="I32" s="7"/>
      <c r="J32" s="7"/>
      <c r="K32" s="7"/>
      <c r="L32" s="7"/>
      <c r="M32" s="7"/>
      <c r="N32" s="185"/>
      <c r="O32" s="185"/>
    </row>
    <row r="33" spans="2:18" hidden="1" outlineLevel="1" x14ac:dyDescent="0.2">
      <c r="B33" s="4" t="s">
        <v>29</v>
      </c>
      <c r="D33" s="88">
        <v>0</v>
      </c>
      <c r="E33" s="28" t="str">
        <f t="shared" ref="E33:M33" si="1">IF(E22=0,"",2.5%)</f>
        <v/>
      </c>
      <c r="F33" s="28" t="str">
        <f t="shared" si="1"/>
        <v/>
      </c>
      <c r="G33" s="28" t="str">
        <f t="shared" si="1"/>
        <v/>
      </c>
      <c r="H33" s="28" t="str">
        <f t="shared" si="1"/>
        <v/>
      </c>
      <c r="I33" s="28" t="str">
        <f t="shared" si="1"/>
        <v/>
      </c>
      <c r="J33" s="28" t="str">
        <f t="shared" si="1"/>
        <v/>
      </c>
      <c r="K33" s="28" t="str">
        <f t="shared" si="1"/>
        <v/>
      </c>
      <c r="L33" s="28" t="str">
        <f t="shared" si="1"/>
        <v/>
      </c>
      <c r="M33" s="28" t="str">
        <f t="shared" si="1"/>
        <v/>
      </c>
      <c r="N33" s="185"/>
      <c r="O33" s="185"/>
    </row>
    <row r="34" spans="2:18" collapsed="1" x14ac:dyDescent="0.2">
      <c r="B34" s="4" t="s">
        <v>30</v>
      </c>
      <c r="D34" s="181"/>
      <c r="E34" s="10"/>
      <c r="F34" s="10"/>
      <c r="G34" s="10"/>
      <c r="H34" s="10"/>
      <c r="I34" s="10"/>
      <c r="J34" s="10"/>
      <c r="K34" s="10"/>
      <c r="L34" s="10"/>
      <c r="M34" s="10"/>
      <c r="N34" s="185"/>
      <c r="O34" s="185"/>
    </row>
    <row r="35" spans="2:18" x14ac:dyDescent="0.2">
      <c r="D35" s="7"/>
      <c r="E35" s="7"/>
      <c r="F35" s="7"/>
      <c r="G35" s="7"/>
      <c r="H35" s="7"/>
      <c r="I35" s="7"/>
      <c r="J35" s="7"/>
      <c r="K35" s="7"/>
      <c r="L35" s="7"/>
      <c r="M35" s="7"/>
      <c r="N35" s="185"/>
      <c r="O35" s="185"/>
      <c r="R35" s="120"/>
    </row>
    <row r="36" spans="2:18" ht="21" customHeight="1" x14ac:dyDescent="0.2">
      <c r="B36" s="119" t="s">
        <v>31</v>
      </c>
      <c r="D36" s="8">
        <f t="shared" ref="D36:M36" si="2">IF(D1=0,"",(D25*D40-D33)-(D26*D43-D34))</f>
        <v>4.0850751905037064E-2</v>
      </c>
      <c r="E36" s="8" t="str">
        <f t="shared" si="2"/>
        <v/>
      </c>
      <c r="F36" s="8" t="str">
        <f t="shared" si="2"/>
        <v/>
      </c>
      <c r="G36" s="8" t="str">
        <f t="shared" si="2"/>
        <v/>
      </c>
      <c r="H36" s="8" t="str">
        <f t="shared" si="2"/>
        <v/>
      </c>
      <c r="I36" s="8" t="str">
        <f t="shared" si="2"/>
        <v/>
      </c>
      <c r="J36" s="8" t="str">
        <f t="shared" si="2"/>
        <v/>
      </c>
      <c r="K36" s="8" t="str">
        <f t="shared" si="2"/>
        <v/>
      </c>
      <c r="L36" s="8" t="str">
        <f t="shared" si="2"/>
        <v/>
      </c>
      <c r="M36" s="8" t="str">
        <f t="shared" si="2"/>
        <v/>
      </c>
      <c r="N36" s="185"/>
      <c r="O36" s="185"/>
      <c r="R36" s="120"/>
    </row>
    <row r="37" spans="2:18" ht="21" customHeight="1" x14ac:dyDescent="0.2">
      <c r="B37" s="119" t="s">
        <v>32</v>
      </c>
      <c r="D37" s="89">
        <f>IF(D36="","",D22*D36)</f>
        <v>1228.5863635439896</v>
      </c>
      <c r="E37" s="8"/>
      <c r="F37" s="8"/>
      <c r="G37" s="8"/>
      <c r="H37" s="8"/>
      <c r="I37" s="8"/>
      <c r="J37" s="8"/>
      <c r="K37" s="8"/>
      <c r="L37" s="8"/>
      <c r="M37" s="90"/>
      <c r="N37" s="187">
        <f>+D37*1.2</f>
        <v>1474.3036362527876</v>
      </c>
      <c r="O37" s="184" t="s">
        <v>33</v>
      </c>
      <c r="P37" s="95"/>
      <c r="Q37" s="110"/>
      <c r="R37" s="111"/>
    </row>
    <row r="38" spans="2:18" ht="21" customHeight="1" x14ac:dyDescent="0.2">
      <c r="B38" s="119" t="s">
        <v>34</v>
      </c>
      <c r="D38" s="89">
        <f>'CALCULETTE (2)'!C632</f>
        <v>459.82616350758974</v>
      </c>
      <c r="E38" s="8"/>
      <c r="F38" s="8"/>
      <c r="G38" s="8"/>
      <c r="H38" s="8"/>
      <c r="I38" s="8"/>
      <c r="J38" s="8"/>
      <c r="K38" s="8"/>
      <c r="L38" s="8"/>
      <c r="M38" s="8"/>
      <c r="N38" s="187" t="e">
        <f>+(ROUND(PMT(D26/12,IF(IF(D20=0,0,1)&gt;0,+D24-1,D24-0),-(FV(D26/12,0,0/(1+D30),-(((1-ROUND(D20/D19,5))/(1+D30))-0)*(1+D26*(+D24-(IF(IF(D20=0,0,1)&gt;0,+D24-1,D24-0)+0))/12),1)),ROUND(+D28/D19,5)/(1+D30)-0,1)*(1+D30),6)*D19)</f>
        <v>#DIV/0!</v>
      </c>
      <c r="O38" s="184" t="s">
        <v>33</v>
      </c>
      <c r="P38" s="110"/>
      <c r="Q38" s="96"/>
    </row>
    <row r="39" spans="2:18" x14ac:dyDescent="0.2">
      <c r="D39" s="120"/>
      <c r="E39" s="120"/>
    </row>
    <row r="40" spans="2:18" s="36" customFormat="1" hidden="1" outlineLevel="1" x14ac:dyDescent="0.2">
      <c r="B40" s="34" t="s">
        <v>35</v>
      </c>
      <c r="D40" s="35">
        <f t="shared" ref="D40:M40" si="3">IF(D$1=0,"",SUM(D53:D232)/12)</f>
        <v>2.1931442195925439</v>
      </c>
      <c r="E40" s="35" t="str">
        <f t="shared" si="3"/>
        <v/>
      </c>
      <c r="F40" s="35" t="str">
        <f t="shared" si="3"/>
        <v/>
      </c>
      <c r="G40" s="35" t="str">
        <f t="shared" si="3"/>
        <v/>
      </c>
      <c r="H40" s="35" t="str">
        <f t="shared" si="3"/>
        <v/>
      </c>
      <c r="I40" s="35" t="str">
        <f t="shared" si="3"/>
        <v/>
      </c>
      <c r="J40" s="35" t="str">
        <f t="shared" si="3"/>
        <v/>
      </c>
      <c r="K40" s="35" t="str">
        <f t="shared" si="3"/>
        <v/>
      </c>
      <c r="L40" s="35" t="str">
        <f t="shared" si="3"/>
        <v/>
      </c>
      <c r="M40" s="35" t="str">
        <f t="shared" si="3"/>
        <v/>
      </c>
      <c r="O40" s="96"/>
      <c r="P40" s="97"/>
    </row>
    <row r="41" spans="2:18" s="36" customFormat="1" hidden="1" outlineLevel="1" x14ac:dyDescent="0.2">
      <c r="B41" s="81" t="s">
        <v>36</v>
      </c>
      <c r="D41" s="83">
        <f>D40*D22</f>
        <v>65958.812404245764</v>
      </c>
      <c r="E41" s="82"/>
      <c r="F41" s="82"/>
      <c r="G41" s="82"/>
      <c r="H41" s="82"/>
      <c r="I41" s="82"/>
      <c r="J41" s="82"/>
      <c r="K41" s="82"/>
      <c r="L41" s="82"/>
      <c r="M41" s="82"/>
      <c r="P41" s="95"/>
    </row>
    <row r="42" spans="2:18" s="30" customFormat="1" hidden="1" outlineLevel="1" x14ac:dyDescent="0.2">
      <c r="B42" s="31" t="s">
        <v>37</v>
      </c>
      <c r="D42" s="32">
        <f t="shared" ref="D42:M42" si="4">IF(D22=0,"",D40*D22*D25)</f>
        <v>5144.7873675311694</v>
      </c>
      <c r="E42" s="32" t="str">
        <f t="shared" si="4"/>
        <v/>
      </c>
      <c r="F42" s="32" t="str">
        <f t="shared" si="4"/>
        <v/>
      </c>
      <c r="G42" s="32" t="str">
        <f t="shared" si="4"/>
        <v/>
      </c>
      <c r="H42" s="32" t="str">
        <f t="shared" si="4"/>
        <v/>
      </c>
      <c r="I42" s="32" t="str">
        <f t="shared" si="4"/>
        <v/>
      </c>
      <c r="J42" s="32" t="str">
        <f t="shared" si="4"/>
        <v/>
      </c>
      <c r="K42" s="32" t="str">
        <f t="shared" si="4"/>
        <v/>
      </c>
      <c r="L42" s="32" t="str">
        <f t="shared" si="4"/>
        <v/>
      </c>
      <c r="M42" s="32" t="str">
        <f t="shared" si="4"/>
        <v/>
      </c>
      <c r="P42" s="95"/>
    </row>
    <row r="43" spans="2:18" s="36" customFormat="1" hidden="1" outlineLevel="1" x14ac:dyDescent="0.2">
      <c r="B43" s="34" t="s">
        <v>38</v>
      </c>
      <c r="D43" s="35">
        <f t="shared" ref="D43:M43" si="5">IF(D$1=0,"",SUM(D235:D596)/12)</f>
        <v>2.188478944927418</v>
      </c>
      <c r="E43" s="35" t="str">
        <f t="shared" si="5"/>
        <v/>
      </c>
      <c r="F43" s="35" t="str">
        <f t="shared" si="5"/>
        <v/>
      </c>
      <c r="G43" s="35" t="str">
        <f t="shared" si="5"/>
        <v/>
      </c>
      <c r="H43" s="35" t="str">
        <f t="shared" si="5"/>
        <v/>
      </c>
      <c r="I43" s="35" t="str">
        <f t="shared" si="5"/>
        <v/>
      </c>
      <c r="J43" s="35" t="str">
        <f t="shared" si="5"/>
        <v/>
      </c>
      <c r="K43" s="35" t="str">
        <f t="shared" si="5"/>
        <v/>
      </c>
      <c r="L43" s="35" t="str">
        <f t="shared" si="5"/>
        <v/>
      </c>
      <c r="M43" s="35" t="str">
        <f t="shared" si="5"/>
        <v/>
      </c>
    </row>
    <row r="44" spans="2:18" s="36" customFormat="1" hidden="1" outlineLevel="1" x14ac:dyDescent="0.2">
      <c r="B44" s="81" t="s">
        <v>36</v>
      </c>
      <c r="D44" s="83">
        <f>D43*D22</f>
        <v>65818.504268692093</v>
      </c>
      <c r="E44" s="82"/>
      <c r="F44" s="82"/>
      <c r="G44" s="82"/>
      <c r="H44" s="82"/>
      <c r="I44" s="82"/>
      <c r="J44" s="82"/>
      <c r="K44" s="82"/>
      <c r="L44" s="82"/>
      <c r="M44" s="82"/>
      <c r="P44" s="95"/>
    </row>
    <row r="45" spans="2:18" s="30" customFormat="1" hidden="1" outlineLevel="1" x14ac:dyDescent="0.2">
      <c r="B45" s="31" t="s">
        <v>39</v>
      </c>
      <c r="D45" s="33">
        <f t="shared" ref="D45:M45" si="6">IF(D22=0,"",D43*D22*D26)</f>
        <v>3916.2010039871793</v>
      </c>
      <c r="E45" s="33" t="str">
        <f t="shared" si="6"/>
        <v/>
      </c>
      <c r="F45" s="33" t="str">
        <f t="shared" si="6"/>
        <v/>
      </c>
      <c r="G45" s="33" t="str">
        <f t="shared" si="6"/>
        <v/>
      </c>
      <c r="H45" s="33" t="str">
        <f t="shared" si="6"/>
        <v/>
      </c>
      <c r="I45" s="33" t="str">
        <f t="shared" si="6"/>
        <v/>
      </c>
      <c r="J45" s="33" t="str">
        <f t="shared" si="6"/>
        <v/>
      </c>
      <c r="K45" s="33" t="str">
        <f t="shared" si="6"/>
        <v/>
      </c>
      <c r="L45" s="33" t="str">
        <f t="shared" si="6"/>
        <v/>
      </c>
      <c r="M45" s="33" t="str">
        <f t="shared" si="6"/>
        <v/>
      </c>
      <c r="O45" s="109"/>
      <c r="P45" s="95"/>
    </row>
    <row r="46" spans="2:18" s="30" customFormat="1" hidden="1" outlineLevel="1" x14ac:dyDescent="0.2">
      <c r="B46" s="37" t="s">
        <v>40</v>
      </c>
      <c r="C46" s="1"/>
      <c r="D46" s="40">
        <f t="shared" ref="D46:M46" si="7">IF(D22=0,"",D42-D45)</f>
        <v>1228.58636354399</v>
      </c>
      <c r="E46" s="40" t="str">
        <f t="shared" si="7"/>
        <v/>
      </c>
      <c r="F46" s="40" t="str">
        <f t="shared" si="7"/>
        <v/>
      </c>
      <c r="G46" s="40" t="str">
        <f t="shared" si="7"/>
        <v/>
      </c>
      <c r="H46" s="40" t="str">
        <f t="shared" si="7"/>
        <v/>
      </c>
      <c r="I46" s="40" t="str">
        <f t="shared" si="7"/>
        <v/>
      </c>
      <c r="J46" s="40" t="str">
        <f t="shared" si="7"/>
        <v/>
      </c>
      <c r="K46" s="40" t="str">
        <f t="shared" si="7"/>
        <v/>
      </c>
      <c r="L46" s="40" t="str">
        <f t="shared" si="7"/>
        <v/>
      </c>
      <c r="M46" s="40" t="str">
        <f t="shared" si="7"/>
        <v/>
      </c>
      <c r="O46" s="109"/>
    </row>
    <row r="47" spans="2:18" hidden="1" outlineLevel="1" x14ac:dyDescent="0.2">
      <c r="B47" s="38" t="s">
        <v>41</v>
      </c>
      <c r="D47" s="41">
        <f t="shared" ref="D47:M47" si="8">IF(D22=0,"",D33*D22)</f>
        <v>0</v>
      </c>
      <c r="E47" s="41" t="str">
        <f t="shared" si="8"/>
        <v/>
      </c>
      <c r="F47" s="41" t="str">
        <f t="shared" si="8"/>
        <v/>
      </c>
      <c r="G47" s="41" t="str">
        <f t="shared" si="8"/>
        <v/>
      </c>
      <c r="H47" s="41" t="str">
        <f t="shared" si="8"/>
        <v/>
      </c>
      <c r="I47" s="41" t="str">
        <f t="shared" si="8"/>
        <v/>
      </c>
      <c r="J47" s="41" t="str">
        <f t="shared" si="8"/>
        <v/>
      </c>
      <c r="K47" s="41" t="str">
        <f t="shared" si="8"/>
        <v/>
      </c>
      <c r="L47" s="41" t="str">
        <f t="shared" si="8"/>
        <v/>
      </c>
      <c r="M47" s="41" t="str">
        <f t="shared" si="8"/>
        <v/>
      </c>
    </row>
    <row r="48" spans="2:18" hidden="1" outlineLevel="1" x14ac:dyDescent="0.2">
      <c r="B48" s="38" t="s">
        <v>42</v>
      </c>
      <c r="D48" s="41">
        <f t="shared" ref="D48:M48" si="9">IF(D22=0,"",D22*D34)</f>
        <v>0</v>
      </c>
      <c r="E48" s="41" t="str">
        <f t="shared" si="9"/>
        <v/>
      </c>
      <c r="F48" s="41" t="str">
        <f t="shared" si="9"/>
        <v/>
      </c>
      <c r="G48" s="41" t="str">
        <f t="shared" si="9"/>
        <v/>
      </c>
      <c r="H48" s="41" t="str">
        <f t="shared" si="9"/>
        <v/>
      </c>
      <c r="I48" s="41" t="str">
        <f t="shared" si="9"/>
        <v/>
      </c>
      <c r="J48" s="41" t="str">
        <f t="shared" si="9"/>
        <v/>
      </c>
      <c r="K48" s="41" t="str">
        <f t="shared" si="9"/>
        <v/>
      </c>
      <c r="L48" s="41" t="str">
        <f t="shared" si="9"/>
        <v/>
      </c>
      <c r="M48" s="41" t="str">
        <f t="shared" si="9"/>
        <v/>
      </c>
      <c r="O48" s="110"/>
    </row>
    <row r="49" spans="2:18" hidden="1" outlineLevel="1" x14ac:dyDescent="0.2">
      <c r="B49" s="39" t="s">
        <v>43</v>
      </c>
      <c r="D49" s="42">
        <f t="shared" ref="D49:M49" si="10">IF(D22=0,"",D47-D48)</f>
        <v>0</v>
      </c>
      <c r="E49" s="42" t="str">
        <f t="shared" si="10"/>
        <v/>
      </c>
      <c r="F49" s="42" t="str">
        <f t="shared" si="10"/>
        <v/>
      </c>
      <c r="G49" s="42" t="str">
        <f t="shared" si="10"/>
        <v/>
      </c>
      <c r="H49" s="42" t="str">
        <f t="shared" si="10"/>
        <v/>
      </c>
      <c r="I49" s="42" t="str">
        <f t="shared" si="10"/>
        <v/>
      </c>
      <c r="J49" s="42" t="str">
        <f t="shared" si="10"/>
        <v/>
      </c>
      <c r="K49" s="42" t="str">
        <f t="shared" si="10"/>
        <v/>
      </c>
      <c r="L49" s="42" t="str">
        <f t="shared" si="10"/>
        <v/>
      </c>
      <c r="M49" s="42" t="str">
        <f t="shared" si="10"/>
        <v/>
      </c>
      <c r="O49" s="110"/>
      <c r="P49" s="95"/>
    </row>
    <row r="50" spans="2:18" collapsed="1" x14ac:dyDescent="0.2">
      <c r="D50" s="29"/>
    </row>
    <row r="51" spans="2:18" x14ac:dyDescent="0.2">
      <c r="D51" s="29"/>
    </row>
    <row r="52" spans="2:18" hidden="1" outlineLevel="1" x14ac:dyDescent="0.2">
      <c r="B52" s="21" t="s">
        <v>44</v>
      </c>
      <c r="R52" s="1">
        <v>607.70360000000005</v>
      </c>
    </row>
    <row r="53" spans="2:18" hidden="1" outlineLevel="1" x14ac:dyDescent="0.2">
      <c r="B53" s="2">
        <v>0</v>
      </c>
      <c r="D53" s="22">
        <f>IF(B53&lt;$D$24,(+'CALCULETTE (2)'!T632/'CALCULETTE (2)'!$B$612),0)</f>
        <v>0.995</v>
      </c>
      <c r="E53" s="22" t="str">
        <f t="shared" ref="E53:M53" si="11">IF(E$1=0,"",1)</f>
        <v/>
      </c>
      <c r="F53" s="22" t="str">
        <f t="shared" si="11"/>
        <v/>
      </c>
      <c r="G53" s="22" t="str">
        <f t="shared" si="11"/>
        <v/>
      </c>
      <c r="H53" s="22" t="str">
        <f t="shared" si="11"/>
        <v/>
      </c>
      <c r="I53" s="22" t="str">
        <f t="shared" si="11"/>
        <v/>
      </c>
      <c r="J53" s="22" t="str">
        <f t="shared" si="11"/>
        <v/>
      </c>
      <c r="K53" s="22" t="str">
        <f t="shared" si="11"/>
        <v/>
      </c>
      <c r="L53" s="22" t="str">
        <f t="shared" si="11"/>
        <v/>
      </c>
      <c r="M53" s="22" t="str">
        <f t="shared" si="11"/>
        <v/>
      </c>
      <c r="N53" s="103"/>
      <c r="O53" s="102"/>
      <c r="R53" s="1">
        <v>789.71069999999997</v>
      </c>
    </row>
    <row r="54" spans="2:18" hidden="1" outlineLevel="1" x14ac:dyDescent="0.2">
      <c r="B54" s="2">
        <f t="shared" ref="B54:B85" si="12">B53+1</f>
        <v>1</v>
      </c>
      <c r="D54" s="22">
        <f>IF(B54&lt;$D$24,(+'CALCULETTE (2)'!T633/'CALCULETTE (2)'!$B$612),0)</f>
        <v>0.98006904703726916</v>
      </c>
      <c r="E54" s="22" t="str">
        <f t="shared" ref="E54:E85" si="13">IF(E$1=0,"",IF($B54&lt;E$23,E53+PPMT(E$25/12,$B54,E$23,E$53,-E$27,0),IF($B54=E$23,E53+PPMT(E$25/12,$B54,E$23,E$53,-E$27,0)-E$27,0)))</f>
        <v/>
      </c>
      <c r="F54" s="22" t="str">
        <f t="shared" ref="F54:F85" si="14">IF(F$1=0,"",IF($B54&lt;F$23,F53+PPMT(F$25/12,$B54,F$23,F$53,-F$27,0),IF($B54=F$23,F53+PPMT(F$25/12,$B54,F$23,F$53,-F$27,0)-F$27,0)))</f>
        <v/>
      </c>
      <c r="G54" s="22" t="str">
        <f t="shared" ref="G54:G85" si="15">IF(G$1=0,"",IF($B54&lt;G$23,G53+PPMT(G$25/12,$B54,G$23,G$53,-G$27,0),IF($B54=G$23,G53+PPMT(G$25/12,$B54,G$23,G$53,-G$27,0)-G$27,0)))</f>
        <v/>
      </c>
      <c r="H54" s="22" t="str">
        <f t="shared" ref="H54:H85" si="16">IF(H$1=0,"",IF($B54&lt;H$23,H53+PPMT(H$25/12,$B54,H$23,H$53,-H$27,0),IF($B54=H$23,H53+PPMT(H$25/12,$B54,H$23,H$53,-H$27,0)-H$27,0)))</f>
        <v/>
      </c>
      <c r="I54" s="22" t="str">
        <f t="shared" ref="I54:I85" si="17">IF(I$1=0,"",IF($B54&lt;I$23,I53+PPMT(I$25/12,$B54,I$23,I$53,-I$27,0),IF($B54=I$23,I53+PPMT(I$25/12,$B54,I$23,I$53,-I$27,0)-I$27,0)))</f>
        <v/>
      </c>
      <c r="J54" s="22" t="str">
        <f t="shared" ref="J54:J85" si="18">IF(J$1=0,"",IF($B54&lt;J$23,J53+PPMT(J$25/12,$B54,J$23,J$53,-J$27,0),IF($B54=J$23,J53+PPMT(J$25/12,$B54,J$23,J$53,-J$27,0)-J$27,0)))</f>
        <v/>
      </c>
      <c r="K54" s="22" t="str">
        <f t="shared" ref="K54:K85" si="19">IF(K$1=0,"",IF($B54&lt;K$23,K53+PPMT(K$25/12,$B54,K$23,K$53,-K$27,0),IF($B54=K$23,K53+PPMT(K$25/12,$B54,K$23,K$53,-K$27,0)-K$27,0)))</f>
        <v/>
      </c>
      <c r="L54" s="22" t="str">
        <f t="shared" ref="L54:L85" si="20">IF(L$1=0,"",IF($B54&lt;L$23,L53+PPMT(L$25/12,$B54,L$23,L$53,-L$27,0),IF($B54=L$23,L53+PPMT(L$25/12,$B54,L$23,L$53,-L$27,0)-L$27,0)))</f>
        <v/>
      </c>
      <c r="M54" s="22" t="str">
        <f t="shared" ref="M54:M85" si="21">IF(M$1=0,"",IF($B54&lt;M$23,M53+PPMT(M$25/12,$B54,M$23,M$53,-M$27,0),IF($B54=M$23,M53+PPMT(M$25/12,$B54,M$23,M$53,-M$27,0)-M$27,0)))</f>
        <v/>
      </c>
      <c r="N54" s="103"/>
      <c r="O54" s="102"/>
      <c r="R54" s="1">
        <v>670.68190000000004</v>
      </c>
    </row>
    <row r="55" spans="2:18" hidden="1" outlineLevel="1" x14ac:dyDescent="0.2">
      <c r="B55" s="2">
        <f t="shared" si="12"/>
        <v>2</v>
      </c>
      <c r="D55" s="22">
        <f>IF(B55&lt;$D$24,(+'CALCULETTE (2)'!T634/'CALCULETTE (2)'!$B$612),0)</f>
        <v>0.9651981384783791</v>
      </c>
      <c r="E55" s="22" t="str">
        <f t="shared" si="13"/>
        <v/>
      </c>
      <c r="F55" s="22" t="str">
        <f t="shared" si="14"/>
        <v/>
      </c>
      <c r="G55" s="22" t="str">
        <f t="shared" si="15"/>
        <v/>
      </c>
      <c r="H55" s="22" t="str">
        <f t="shared" si="16"/>
        <v/>
      </c>
      <c r="I55" s="22" t="str">
        <f t="shared" si="17"/>
        <v/>
      </c>
      <c r="J55" s="22" t="str">
        <f t="shared" si="18"/>
        <v/>
      </c>
      <c r="K55" s="22" t="str">
        <f t="shared" si="19"/>
        <v/>
      </c>
      <c r="L55" s="22" t="str">
        <f t="shared" si="20"/>
        <v/>
      </c>
      <c r="M55" s="22" t="str">
        <f t="shared" si="21"/>
        <v/>
      </c>
      <c r="N55" s="103"/>
      <c r="O55" s="102"/>
      <c r="R55" s="1">
        <v>720.06370000000004</v>
      </c>
    </row>
    <row r="56" spans="2:18" hidden="1" outlineLevel="1" x14ac:dyDescent="0.2">
      <c r="B56" s="2">
        <f t="shared" si="12"/>
        <v>3</v>
      </c>
      <c r="D56" s="22">
        <f>IF(B56&lt;$D$24,(+'CALCULETTE (2)'!T635/'CALCULETTE (2)'!$B$612),0)</f>
        <v>0.9503869526606058</v>
      </c>
      <c r="E56" s="22" t="str">
        <f t="shared" si="13"/>
        <v/>
      </c>
      <c r="F56" s="22" t="str">
        <f t="shared" si="14"/>
        <v/>
      </c>
      <c r="G56" s="22" t="str">
        <f t="shared" si="15"/>
        <v/>
      </c>
      <c r="H56" s="22" t="str">
        <f t="shared" si="16"/>
        <v/>
      </c>
      <c r="I56" s="22" t="str">
        <f t="shared" si="17"/>
        <v/>
      </c>
      <c r="J56" s="22" t="str">
        <f t="shared" si="18"/>
        <v/>
      </c>
      <c r="K56" s="22" t="str">
        <f t="shared" si="19"/>
        <v/>
      </c>
      <c r="L56" s="22" t="str">
        <f t="shared" si="20"/>
        <v/>
      </c>
      <c r="M56" s="22" t="str">
        <f t="shared" si="21"/>
        <v/>
      </c>
      <c r="N56" s="103"/>
      <c r="O56" s="102"/>
      <c r="R56" s="1">
        <v>326.07979999999998</v>
      </c>
    </row>
    <row r="57" spans="2:18" hidden="1" outlineLevel="1" x14ac:dyDescent="0.2">
      <c r="B57" s="2">
        <f t="shared" si="12"/>
        <v>4</v>
      </c>
      <c r="D57" s="22">
        <f>IF(B57&lt;$D$24,(+'CALCULETTE (2)'!T636/'CALCULETTE (2)'!$B$612),0)</f>
        <v>0.93563516949807501</v>
      </c>
      <c r="E57" s="22" t="str">
        <f t="shared" si="13"/>
        <v/>
      </c>
      <c r="F57" s="22" t="str">
        <f t="shared" si="14"/>
        <v/>
      </c>
      <c r="G57" s="22" t="str">
        <f t="shared" si="15"/>
        <v/>
      </c>
      <c r="H57" s="22" t="str">
        <f t="shared" si="16"/>
        <v/>
      </c>
      <c r="I57" s="22" t="str">
        <f t="shared" si="17"/>
        <v/>
      </c>
      <c r="J57" s="22" t="str">
        <f t="shared" si="18"/>
        <v/>
      </c>
      <c r="K57" s="22" t="str">
        <f t="shared" si="19"/>
        <v/>
      </c>
      <c r="L57" s="22" t="str">
        <f t="shared" si="20"/>
        <v/>
      </c>
      <c r="M57" s="22" t="str">
        <f t="shared" si="21"/>
        <v/>
      </c>
      <c r="N57" s="103"/>
      <c r="O57" s="102"/>
      <c r="R57" s="1">
        <v>731.30920000000003</v>
      </c>
    </row>
    <row r="58" spans="2:18" hidden="1" outlineLevel="1" x14ac:dyDescent="0.2">
      <c r="B58" s="2">
        <f t="shared" si="12"/>
        <v>5</v>
      </c>
      <c r="D58" s="22">
        <f>IF(B58&lt;$D$24,(+'CALCULETTE (2)'!T637/'CALCULETTE (2)'!$B$612),0)</f>
        <v>0.92094247047383104</v>
      </c>
      <c r="E58" s="22" t="str">
        <f t="shared" si="13"/>
        <v/>
      </c>
      <c r="F58" s="22" t="str">
        <f t="shared" si="14"/>
        <v/>
      </c>
      <c r="G58" s="22" t="str">
        <f t="shared" si="15"/>
        <v/>
      </c>
      <c r="H58" s="22" t="str">
        <f t="shared" si="16"/>
        <v/>
      </c>
      <c r="I58" s="22" t="str">
        <f t="shared" si="17"/>
        <v/>
      </c>
      <c r="J58" s="22" t="str">
        <f t="shared" si="18"/>
        <v/>
      </c>
      <c r="K58" s="22" t="str">
        <f t="shared" si="19"/>
        <v/>
      </c>
      <c r="L58" s="22" t="str">
        <f t="shared" si="20"/>
        <v/>
      </c>
      <c r="M58" s="22" t="str">
        <f t="shared" si="21"/>
        <v/>
      </c>
      <c r="N58" s="103"/>
      <c r="O58" s="102"/>
      <c r="R58" s="1">
        <v>414.49380000000002</v>
      </c>
    </row>
    <row r="59" spans="2:18" hidden="1" outlineLevel="1" x14ac:dyDescent="0.2">
      <c r="B59" s="2">
        <f t="shared" si="12"/>
        <v>6</v>
      </c>
      <c r="D59" s="22">
        <f>IF(B59&lt;$D$24,(+'CALCULETTE (2)'!T638/'CALCULETTE (2)'!$B$612),0)</f>
        <v>0.90630853863194638</v>
      </c>
      <c r="E59" s="22" t="str">
        <f t="shared" si="13"/>
        <v/>
      </c>
      <c r="F59" s="22" t="str">
        <f t="shared" si="14"/>
        <v/>
      </c>
      <c r="G59" s="22" t="str">
        <f t="shared" si="15"/>
        <v/>
      </c>
      <c r="H59" s="22" t="str">
        <f t="shared" si="16"/>
        <v/>
      </c>
      <c r="I59" s="22" t="str">
        <f t="shared" si="17"/>
        <v/>
      </c>
      <c r="J59" s="22" t="str">
        <f t="shared" si="18"/>
        <v/>
      </c>
      <c r="K59" s="22" t="str">
        <f t="shared" si="19"/>
        <v/>
      </c>
      <c r="L59" s="22" t="str">
        <f t="shared" si="20"/>
        <v/>
      </c>
      <c r="M59" s="22" t="str">
        <f t="shared" si="21"/>
        <v/>
      </c>
      <c r="N59" s="103"/>
      <c r="O59" s="102"/>
      <c r="R59" s="1">
        <v>570.59929999999997</v>
      </c>
    </row>
    <row r="60" spans="2:18" hidden="1" outlineLevel="1" x14ac:dyDescent="0.2">
      <c r="B60" s="2">
        <f t="shared" si="12"/>
        <v>7</v>
      </c>
      <c r="D60" s="22">
        <f>IF(B60&lt;$D$24,(+'CALCULETTE (2)'!T639/'CALCULETTE (2)'!$B$612),0)</f>
        <v>0.89173305856967011</v>
      </c>
      <c r="E60" s="22" t="str">
        <f t="shared" si="13"/>
        <v/>
      </c>
      <c r="F60" s="22" t="str">
        <f t="shared" si="14"/>
        <v/>
      </c>
      <c r="G60" s="22" t="str">
        <f t="shared" si="15"/>
        <v/>
      </c>
      <c r="H60" s="22" t="str">
        <f t="shared" si="16"/>
        <v/>
      </c>
      <c r="I60" s="22" t="str">
        <f t="shared" si="17"/>
        <v/>
      </c>
      <c r="J60" s="22" t="str">
        <f t="shared" si="18"/>
        <v/>
      </c>
      <c r="K60" s="22" t="str">
        <f t="shared" si="19"/>
        <v/>
      </c>
      <c r="L60" s="22" t="str">
        <f t="shared" si="20"/>
        <v/>
      </c>
      <c r="M60" s="22" t="str">
        <f t="shared" si="21"/>
        <v/>
      </c>
      <c r="N60" s="103"/>
      <c r="O60" s="102"/>
      <c r="R60" s="1">
        <v>701.29100000000005</v>
      </c>
    </row>
    <row r="61" spans="2:18" hidden="1" outlineLevel="1" x14ac:dyDescent="0.2">
      <c r="B61" s="2">
        <f t="shared" si="12"/>
        <v>8</v>
      </c>
      <c r="D61" s="22">
        <f>IF(B61&lt;$D$24,(+'CALCULETTE (2)'!T640/'CALCULETTE (2)'!$B$612),0)</f>
        <v>0.87721571642961615</v>
      </c>
      <c r="E61" s="22" t="str">
        <f t="shared" si="13"/>
        <v/>
      </c>
      <c r="F61" s="22" t="str">
        <f t="shared" si="14"/>
        <v/>
      </c>
      <c r="G61" s="22" t="str">
        <f t="shared" si="15"/>
        <v/>
      </c>
      <c r="H61" s="22" t="str">
        <f t="shared" si="16"/>
        <v/>
      </c>
      <c r="I61" s="22" t="str">
        <f t="shared" si="17"/>
        <v/>
      </c>
      <c r="J61" s="22" t="str">
        <f t="shared" si="18"/>
        <v/>
      </c>
      <c r="K61" s="22" t="str">
        <f t="shared" si="19"/>
        <v/>
      </c>
      <c r="L61" s="22" t="str">
        <f t="shared" si="20"/>
        <v/>
      </c>
      <c r="M61" s="22" t="str">
        <f t="shared" si="21"/>
        <v/>
      </c>
      <c r="N61" s="103"/>
      <c r="O61" s="102"/>
      <c r="R61" s="1">
        <v>411.47719999999998</v>
      </c>
    </row>
    <row r="62" spans="2:18" hidden="1" outlineLevel="1" x14ac:dyDescent="0.2">
      <c r="B62" s="2">
        <f t="shared" si="12"/>
        <v>9</v>
      </c>
      <c r="D62" s="22">
        <f>IF(B62&lt;$D$24,(+'CALCULETTE (2)'!T641/'CALCULETTE (2)'!$B$612),0)</f>
        <v>0.86275619989198926</v>
      </c>
      <c r="E62" s="22" t="str">
        <f t="shared" si="13"/>
        <v/>
      </c>
      <c r="F62" s="22" t="str">
        <f t="shared" si="14"/>
        <v/>
      </c>
      <c r="G62" s="22" t="str">
        <f t="shared" si="15"/>
        <v/>
      </c>
      <c r="H62" s="22" t="str">
        <f t="shared" si="16"/>
        <v/>
      </c>
      <c r="I62" s="22" t="str">
        <f t="shared" si="17"/>
        <v/>
      </c>
      <c r="J62" s="22" t="str">
        <f t="shared" si="18"/>
        <v/>
      </c>
      <c r="K62" s="22" t="str">
        <f t="shared" si="19"/>
        <v/>
      </c>
      <c r="L62" s="22" t="str">
        <f t="shared" si="20"/>
        <v/>
      </c>
      <c r="M62" s="22" t="str">
        <f t="shared" si="21"/>
        <v/>
      </c>
      <c r="N62" s="103"/>
      <c r="O62" s="102"/>
      <c r="R62" s="1">
        <v>629.67020000000002</v>
      </c>
    </row>
    <row r="63" spans="2:18" hidden="1" outlineLevel="1" x14ac:dyDescent="0.2">
      <c r="B63" s="2">
        <f t="shared" si="12"/>
        <v>10</v>
      </c>
      <c r="D63" s="22">
        <f>IF(B63&lt;$D$24,(+'CALCULETTE (2)'!T642/'CALCULETTE (2)'!$B$612),0)</f>
        <v>0.84835419816685065</v>
      </c>
      <c r="E63" s="22" t="str">
        <f t="shared" si="13"/>
        <v/>
      </c>
      <c r="F63" s="22" t="str">
        <f t="shared" si="14"/>
        <v/>
      </c>
      <c r="G63" s="22" t="str">
        <f t="shared" si="15"/>
        <v/>
      </c>
      <c r="H63" s="22" t="str">
        <f t="shared" si="16"/>
        <v/>
      </c>
      <c r="I63" s="22" t="str">
        <f t="shared" si="17"/>
        <v/>
      </c>
      <c r="J63" s="22" t="str">
        <f t="shared" si="18"/>
        <v/>
      </c>
      <c r="K63" s="22" t="str">
        <f t="shared" si="19"/>
        <v/>
      </c>
      <c r="L63" s="22" t="str">
        <f t="shared" si="20"/>
        <v/>
      </c>
      <c r="M63" s="22" t="str">
        <f t="shared" si="21"/>
        <v/>
      </c>
      <c r="N63" s="103"/>
      <c r="O63" s="102"/>
      <c r="R63" s="1">
        <v>745.95330000000001</v>
      </c>
    </row>
    <row r="64" spans="2:18" hidden="1" outlineLevel="1" x14ac:dyDescent="0.2">
      <c r="B64" s="2">
        <f t="shared" si="12"/>
        <v>11</v>
      </c>
      <c r="D64" s="22">
        <f>IF(B64&lt;$D$24,(+'CALCULETTE (2)'!T643/'CALCULETTE (2)'!$B$612),0)</f>
        <v>0.83400940198642304</v>
      </c>
      <c r="E64" s="22" t="str">
        <f t="shared" si="13"/>
        <v/>
      </c>
      <c r="F64" s="22" t="str">
        <f t="shared" si="14"/>
        <v/>
      </c>
      <c r="G64" s="22" t="str">
        <f t="shared" si="15"/>
        <v/>
      </c>
      <c r="H64" s="22" t="str">
        <f t="shared" si="16"/>
        <v/>
      </c>
      <c r="I64" s="22" t="str">
        <f t="shared" si="17"/>
        <v/>
      </c>
      <c r="J64" s="22" t="str">
        <f t="shared" si="18"/>
        <v/>
      </c>
      <c r="K64" s="22" t="str">
        <f t="shared" si="19"/>
        <v/>
      </c>
      <c r="L64" s="22" t="str">
        <f t="shared" si="20"/>
        <v/>
      </c>
      <c r="M64" s="22" t="str">
        <f t="shared" si="21"/>
        <v/>
      </c>
      <c r="N64" s="103"/>
      <c r="O64" s="102"/>
      <c r="R64" s="1">
        <v>584.23019999999997</v>
      </c>
    </row>
    <row r="65" spans="2:18" hidden="1" outlineLevel="1" x14ac:dyDescent="0.2">
      <c r="B65" s="2">
        <f t="shared" si="12"/>
        <v>12</v>
      </c>
      <c r="D65" s="22">
        <f>IF(B65&lt;$D$24,(+'CALCULETTE (2)'!T644/'CALCULETTE (2)'!$B$612),0)</f>
        <v>0.81972150359743179</v>
      </c>
      <c r="E65" s="22" t="str">
        <f t="shared" si="13"/>
        <v/>
      </c>
      <c r="F65" s="22" t="str">
        <f t="shared" si="14"/>
        <v/>
      </c>
      <c r="G65" s="22" t="str">
        <f t="shared" si="15"/>
        <v/>
      </c>
      <c r="H65" s="22" t="str">
        <f t="shared" si="16"/>
        <v/>
      </c>
      <c r="I65" s="22" t="str">
        <f t="shared" si="17"/>
        <v/>
      </c>
      <c r="J65" s="22" t="str">
        <f t="shared" si="18"/>
        <v/>
      </c>
      <c r="K65" s="22" t="str">
        <f t="shared" si="19"/>
        <v/>
      </c>
      <c r="L65" s="22" t="str">
        <f t="shared" si="20"/>
        <v/>
      </c>
      <c r="M65" s="22" t="str">
        <f t="shared" si="21"/>
        <v/>
      </c>
      <c r="N65" s="103"/>
      <c r="O65" s="102"/>
      <c r="R65" s="1">
        <v>607.70209999999997</v>
      </c>
    </row>
    <row r="66" spans="2:18" hidden="1" outlineLevel="1" x14ac:dyDescent="0.2">
      <c r="B66" s="2">
        <f t="shared" si="12"/>
        <v>13</v>
      </c>
      <c r="D66" s="22">
        <f>IF(B66&lt;$D$24,(+'CALCULETTE (2)'!T645/'CALCULETTE (2)'!$B$612),0)</f>
        <v>0.80549019675348665</v>
      </c>
      <c r="E66" s="22" t="str">
        <f t="shared" si="13"/>
        <v/>
      </c>
      <c r="F66" s="22" t="str">
        <f t="shared" si="14"/>
        <v/>
      </c>
      <c r="G66" s="22" t="str">
        <f t="shared" si="15"/>
        <v/>
      </c>
      <c r="H66" s="22" t="str">
        <f t="shared" si="16"/>
        <v/>
      </c>
      <c r="I66" s="22" t="str">
        <f t="shared" si="17"/>
        <v/>
      </c>
      <c r="J66" s="22" t="str">
        <f t="shared" si="18"/>
        <v/>
      </c>
      <c r="K66" s="22" t="str">
        <f t="shared" si="19"/>
        <v/>
      </c>
      <c r="L66" s="22" t="str">
        <f t="shared" si="20"/>
        <v/>
      </c>
      <c r="M66" s="22" t="str">
        <f t="shared" si="21"/>
        <v/>
      </c>
      <c r="N66" s="103"/>
      <c r="O66" s="102"/>
      <c r="R66" s="1">
        <v>323.62909999999999</v>
      </c>
    </row>
    <row r="67" spans="2:18" hidden="1" outlineLevel="1" x14ac:dyDescent="0.2">
      <c r="B67" s="2">
        <f t="shared" si="12"/>
        <v>14</v>
      </c>
      <c r="D67" s="22">
        <f>IF(B67&lt;$D$24,(+'CALCULETTE (2)'!T646/'CALCULETTE (2)'!$B$612),0)</f>
        <v>0.7913151767075004</v>
      </c>
      <c r="E67" s="22" t="str">
        <f t="shared" si="13"/>
        <v/>
      </c>
      <c r="F67" s="22" t="str">
        <f t="shared" si="14"/>
        <v/>
      </c>
      <c r="G67" s="22" t="str">
        <f t="shared" si="15"/>
        <v/>
      </c>
      <c r="H67" s="22" t="str">
        <f t="shared" si="16"/>
        <v/>
      </c>
      <c r="I67" s="22" t="str">
        <f t="shared" si="17"/>
        <v/>
      </c>
      <c r="J67" s="22" t="str">
        <f t="shared" si="18"/>
        <v/>
      </c>
      <c r="K67" s="22" t="str">
        <f t="shared" si="19"/>
        <v/>
      </c>
      <c r="L67" s="22" t="str">
        <f t="shared" si="20"/>
        <v/>
      </c>
      <c r="M67" s="22" t="str">
        <f t="shared" si="21"/>
        <v/>
      </c>
      <c r="N67" s="103"/>
      <c r="O67" s="102"/>
      <c r="R67" s="1">
        <v>309.87040000000002</v>
      </c>
    </row>
    <row r="68" spans="2:18" hidden="1" outlineLevel="1" x14ac:dyDescent="0.2">
      <c r="B68" s="2">
        <f t="shared" si="12"/>
        <v>15</v>
      </c>
      <c r="D68" s="22">
        <f>IF(B68&lt;$D$24,(+'CALCULETTE (2)'!T647/'CALCULETTE (2)'!$B$612),0)</f>
        <v>0.77719614020414518</v>
      </c>
      <c r="E68" s="22" t="str">
        <f t="shared" si="13"/>
        <v/>
      </c>
      <c r="F68" s="22" t="str">
        <f t="shared" si="14"/>
        <v/>
      </c>
      <c r="G68" s="22" t="str">
        <f t="shared" si="15"/>
        <v/>
      </c>
      <c r="H68" s="22" t="str">
        <f t="shared" si="16"/>
        <v/>
      </c>
      <c r="I68" s="22" t="str">
        <f t="shared" si="17"/>
        <v/>
      </c>
      <c r="J68" s="22" t="str">
        <f t="shared" si="18"/>
        <v/>
      </c>
      <c r="K68" s="22" t="str">
        <f t="shared" si="19"/>
        <v/>
      </c>
      <c r="L68" s="22" t="str">
        <f t="shared" si="20"/>
        <v/>
      </c>
      <c r="M68" s="22" t="str">
        <f t="shared" si="21"/>
        <v/>
      </c>
      <c r="N68" s="103"/>
      <c r="O68" s="102"/>
      <c r="R68" s="1">
        <v>807.03110000000004</v>
      </c>
    </row>
    <row r="69" spans="2:18" hidden="1" outlineLevel="1" x14ac:dyDescent="0.2">
      <c r="B69" s="2">
        <f t="shared" si="12"/>
        <v>16</v>
      </c>
      <c r="D69" s="22">
        <f>IF(B69&lt;$D$24,(+'CALCULETTE (2)'!T648/'CALCULETTE (2)'!$B$612),0)</f>
        <v>0.76313278547234731</v>
      </c>
      <c r="E69" s="22" t="str">
        <f t="shared" si="13"/>
        <v/>
      </c>
      <c r="F69" s="22" t="str">
        <f t="shared" si="14"/>
        <v/>
      </c>
      <c r="G69" s="22" t="str">
        <f t="shared" si="15"/>
        <v/>
      </c>
      <c r="H69" s="22" t="str">
        <f t="shared" si="16"/>
        <v/>
      </c>
      <c r="I69" s="22" t="str">
        <f t="shared" si="17"/>
        <v/>
      </c>
      <c r="J69" s="22" t="str">
        <f t="shared" si="18"/>
        <v/>
      </c>
      <c r="K69" s="22" t="str">
        <f t="shared" si="19"/>
        <v/>
      </c>
      <c r="L69" s="22" t="str">
        <f t="shared" si="20"/>
        <v/>
      </c>
      <c r="M69" s="22" t="str">
        <f t="shared" si="21"/>
        <v/>
      </c>
      <c r="N69" s="103"/>
      <c r="O69" s="102"/>
      <c r="R69" s="1">
        <v>590.50289999999995</v>
      </c>
    </row>
    <row r="70" spans="2:18" hidden="1" outlineLevel="1" x14ac:dyDescent="0.2">
      <c r="B70" s="2">
        <f t="shared" si="12"/>
        <v>17</v>
      </c>
      <c r="D70" s="22">
        <f>IF(B70&lt;$D$24,(+'CALCULETTE (2)'!T649/'CALCULETTE (2)'!$B$612),0)</f>
        <v>0.74912481221781824</v>
      </c>
      <c r="E70" s="22" t="str">
        <f t="shared" si="13"/>
        <v/>
      </c>
      <c r="F70" s="22" t="str">
        <f t="shared" si="14"/>
        <v/>
      </c>
      <c r="G70" s="22" t="str">
        <f t="shared" si="15"/>
        <v/>
      </c>
      <c r="H70" s="22" t="str">
        <f t="shared" si="16"/>
        <v/>
      </c>
      <c r="I70" s="22" t="str">
        <f t="shared" si="17"/>
        <v/>
      </c>
      <c r="J70" s="22" t="str">
        <f t="shared" si="18"/>
        <v/>
      </c>
      <c r="K70" s="22" t="str">
        <f t="shared" si="19"/>
        <v/>
      </c>
      <c r="L70" s="22" t="str">
        <f t="shared" si="20"/>
        <v/>
      </c>
      <c r="M70" s="22" t="str">
        <f t="shared" si="21"/>
        <v/>
      </c>
      <c r="N70" s="103"/>
      <c r="O70" s="102"/>
      <c r="R70" s="1">
        <v>407.3501</v>
      </c>
    </row>
    <row r="71" spans="2:18" hidden="1" outlineLevel="1" x14ac:dyDescent="0.2">
      <c r="B71" s="2">
        <f t="shared" si="12"/>
        <v>18</v>
      </c>
      <c r="D71" s="22">
        <f>IF(B71&lt;$D$24,(+'CALCULETTE (2)'!T650/'CALCULETTE (2)'!$B$612),0)</f>
        <v>0.73517192161562406</v>
      </c>
      <c r="E71" s="22" t="str">
        <f t="shared" si="13"/>
        <v/>
      </c>
      <c r="F71" s="22" t="str">
        <f t="shared" si="14"/>
        <v/>
      </c>
      <c r="G71" s="22" t="str">
        <f t="shared" si="15"/>
        <v/>
      </c>
      <c r="H71" s="22" t="str">
        <f t="shared" si="16"/>
        <v/>
      </c>
      <c r="I71" s="22" t="str">
        <f t="shared" si="17"/>
        <v/>
      </c>
      <c r="J71" s="22" t="str">
        <f t="shared" si="18"/>
        <v/>
      </c>
      <c r="K71" s="22" t="str">
        <f t="shared" si="19"/>
        <v/>
      </c>
      <c r="L71" s="22" t="str">
        <f t="shared" si="20"/>
        <v/>
      </c>
      <c r="M71" s="22" t="str">
        <f t="shared" si="21"/>
        <v/>
      </c>
      <c r="N71" s="103"/>
      <c r="O71" s="102"/>
      <c r="R71" s="1">
        <v>603.94920000000002</v>
      </c>
    </row>
    <row r="72" spans="2:18" hidden="1" outlineLevel="1" x14ac:dyDescent="0.2">
      <c r="B72" s="2">
        <f t="shared" si="12"/>
        <v>19</v>
      </c>
      <c r="D72" s="22">
        <f>IF(B72&lt;$D$24,(+'CALCULETTE (2)'!T651/'CALCULETTE (2)'!$B$612),0)</f>
        <v>0.72127381630279197</v>
      </c>
      <c r="E72" s="22" t="str">
        <f t="shared" si="13"/>
        <v/>
      </c>
      <c r="F72" s="22" t="str">
        <f t="shared" si="14"/>
        <v/>
      </c>
      <c r="G72" s="22" t="str">
        <f t="shared" si="15"/>
        <v/>
      </c>
      <c r="H72" s="22" t="str">
        <f t="shared" si="16"/>
        <v/>
      </c>
      <c r="I72" s="22" t="str">
        <f t="shared" si="17"/>
        <v/>
      </c>
      <c r="J72" s="22" t="str">
        <f t="shared" si="18"/>
        <v/>
      </c>
      <c r="K72" s="22" t="str">
        <f t="shared" si="19"/>
        <v/>
      </c>
      <c r="L72" s="22" t="str">
        <f t="shared" si="20"/>
        <v/>
      </c>
      <c r="M72" s="22" t="str">
        <f t="shared" si="21"/>
        <v/>
      </c>
      <c r="N72" s="103"/>
      <c r="O72" s="102"/>
      <c r="R72" s="1">
        <v>374.84609999999998</v>
      </c>
    </row>
    <row r="73" spans="2:18" hidden="1" outlineLevel="1" x14ac:dyDescent="0.2">
      <c r="B73" s="2">
        <f t="shared" si="12"/>
        <v>20</v>
      </c>
      <c r="D73" s="22">
        <f>IF(B73&lt;$D$24,(+'CALCULETTE (2)'!T652/'CALCULETTE (2)'!$B$612),0)</f>
        <v>0.70743020037095217</v>
      </c>
      <c r="E73" s="22" t="str">
        <f t="shared" si="13"/>
        <v/>
      </c>
      <c r="F73" s="22" t="str">
        <f t="shared" si="14"/>
        <v/>
      </c>
      <c r="G73" s="22" t="str">
        <f t="shared" si="15"/>
        <v/>
      </c>
      <c r="H73" s="22" t="str">
        <f t="shared" si="16"/>
        <v/>
      </c>
      <c r="I73" s="22" t="str">
        <f t="shared" si="17"/>
        <v/>
      </c>
      <c r="J73" s="22" t="str">
        <f t="shared" si="18"/>
        <v/>
      </c>
      <c r="K73" s="22" t="str">
        <f t="shared" si="19"/>
        <v/>
      </c>
      <c r="L73" s="22" t="str">
        <f t="shared" si="20"/>
        <v/>
      </c>
      <c r="M73" s="22" t="str">
        <f t="shared" si="21"/>
        <v/>
      </c>
      <c r="N73" s="103"/>
      <c r="O73" s="102"/>
      <c r="R73" s="1">
        <v>868.67020000000002</v>
      </c>
    </row>
    <row r="74" spans="2:18" hidden="1" outlineLevel="1" x14ac:dyDescent="0.2">
      <c r="B74" s="2">
        <f t="shared" si="12"/>
        <v>21</v>
      </c>
      <c r="D74" s="22">
        <f>IF(B74&lt;$D$24,(+'CALCULETTE (2)'!T653/'CALCULETTE (2)'!$B$612),0)</f>
        <v>0.69364077935901891</v>
      </c>
      <c r="E74" s="22" t="str">
        <f t="shared" si="13"/>
        <v/>
      </c>
      <c r="F74" s="22" t="str">
        <f t="shared" si="14"/>
        <v/>
      </c>
      <c r="G74" s="22" t="str">
        <f t="shared" si="15"/>
        <v/>
      </c>
      <c r="H74" s="22" t="str">
        <f t="shared" si="16"/>
        <v/>
      </c>
      <c r="I74" s="22" t="str">
        <f t="shared" si="17"/>
        <v/>
      </c>
      <c r="J74" s="22" t="str">
        <f t="shared" si="18"/>
        <v/>
      </c>
      <c r="K74" s="22" t="str">
        <f t="shared" si="19"/>
        <v/>
      </c>
      <c r="L74" s="22" t="str">
        <f t="shared" si="20"/>
        <v/>
      </c>
      <c r="M74" s="22" t="str">
        <f t="shared" si="21"/>
        <v/>
      </c>
      <c r="N74" s="103"/>
      <c r="O74" s="102"/>
      <c r="R74" s="1">
        <v>749.20159999999998</v>
      </c>
    </row>
    <row r="75" spans="2:18" hidden="1" outlineLevel="1" x14ac:dyDescent="0.2">
      <c r="B75" s="2">
        <f t="shared" si="12"/>
        <v>22</v>
      </c>
      <c r="D75" s="22">
        <f>IF(B75&lt;$D$24,(+'CALCULETTE (2)'!T654/'CALCULETTE (2)'!$B$612),0)</f>
        <v>0.67990526024590536</v>
      </c>
      <c r="E75" s="22" t="str">
        <f t="shared" si="13"/>
        <v/>
      </c>
      <c r="F75" s="22" t="str">
        <f t="shared" si="14"/>
        <v/>
      </c>
      <c r="G75" s="22" t="str">
        <f t="shared" si="15"/>
        <v/>
      </c>
      <c r="H75" s="22" t="str">
        <f t="shared" si="16"/>
        <v/>
      </c>
      <c r="I75" s="22" t="str">
        <f t="shared" si="17"/>
        <v/>
      </c>
      <c r="J75" s="22" t="str">
        <f t="shared" si="18"/>
        <v/>
      </c>
      <c r="K75" s="22" t="str">
        <f t="shared" si="19"/>
        <v/>
      </c>
      <c r="L75" s="22" t="str">
        <f t="shared" si="20"/>
        <v/>
      </c>
      <c r="M75" s="22" t="str">
        <f t="shared" si="21"/>
        <v/>
      </c>
      <c r="N75" s="103"/>
      <c r="O75" s="102"/>
      <c r="R75" s="1">
        <v>858.01520000000005</v>
      </c>
    </row>
    <row r="76" spans="2:18" hidden="1" outlineLevel="1" x14ac:dyDescent="0.2">
      <c r="B76" s="2">
        <f t="shared" si="12"/>
        <v>23</v>
      </c>
      <c r="D76" s="22">
        <f>IF(B76&lt;$D$24,(+'CALCULETTE (2)'!T655/'CALCULETTE (2)'!$B$612),0)</f>
        <v>0.66622335144327749</v>
      </c>
      <c r="E76" s="22" t="str">
        <f t="shared" si="13"/>
        <v/>
      </c>
      <c r="F76" s="22" t="str">
        <f t="shared" si="14"/>
        <v/>
      </c>
      <c r="G76" s="22" t="str">
        <f t="shared" si="15"/>
        <v/>
      </c>
      <c r="H76" s="22" t="str">
        <f t="shared" si="16"/>
        <v/>
      </c>
      <c r="I76" s="22" t="str">
        <f t="shared" si="17"/>
        <v/>
      </c>
      <c r="J76" s="22" t="str">
        <f t="shared" si="18"/>
        <v/>
      </c>
      <c r="K76" s="22" t="str">
        <f t="shared" si="19"/>
        <v/>
      </c>
      <c r="L76" s="22" t="str">
        <f t="shared" si="20"/>
        <v/>
      </c>
      <c r="M76" s="22" t="str">
        <f t="shared" si="21"/>
        <v/>
      </c>
      <c r="N76" s="103"/>
      <c r="O76" s="102"/>
      <c r="R76" s="1">
        <v>289.4676</v>
      </c>
    </row>
    <row r="77" spans="2:18" hidden="1" outlineLevel="1" x14ac:dyDescent="0.2">
      <c r="B77" s="2">
        <f t="shared" si="12"/>
        <v>24</v>
      </c>
      <c r="D77" s="22">
        <f>IF(B77&lt;$D$24,(+'CALCULETTE (2)'!T656/'CALCULETTE (2)'!$B$612),0)</f>
        <v>0.65259476278834194</v>
      </c>
      <c r="E77" s="22" t="str">
        <f t="shared" si="13"/>
        <v/>
      </c>
      <c r="F77" s="22" t="str">
        <f t="shared" si="14"/>
        <v/>
      </c>
      <c r="G77" s="22" t="str">
        <f t="shared" si="15"/>
        <v/>
      </c>
      <c r="H77" s="22" t="str">
        <f t="shared" si="16"/>
        <v/>
      </c>
      <c r="I77" s="22" t="str">
        <f t="shared" si="17"/>
        <v/>
      </c>
      <c r="J77" s="22" t="str">
        <f t="shared" si="18"/>
        <v/>
      </c>
      <c r="K77" s="22" t="str">
        <f t="shared" si="19"/>
        <v/>
      </c>
      <c r="L77" s="22" t="str">
        <f t="shared" si="20"/>
        <v/>
      </c>
      <c r="M77" s="22" t="str">
        <f t="shared" si="21"/>
        <v/>
      </c>
      <c r="N77" s="103"/>
      <c r="O77" s="102"/>
      <c r="R77" s="1">
        <v>699.90610000000004</v>
      </c>
    </row>
    <row r="78" spans="2:18" hidden="1" outlineLevel="1" x14ac:dyDescent="0.2">
      <c r="B78" s="2">
        <f t="shared" si="12"/>
        <v>25</v>
      </c>
      <c r="D78" s="22">
        <f>IF(B78&lt;$D$24,(+'CALCULETTE (2)'!T657/'CALCULETTE (2)'!$B$612),0)</f>
        <v>0.63901920553667124</v>
      </c>
      <c r="E78" s="22" t="str">
        <f t="shared" si="13"/>
        <v/>
      </c>
      <c r="F78" s="22" t="str">
        <f t="shared" si="14"/>
        <v/>
      </c>
      <c r="G78" s="22" t="str">
        <f t="shared" si="15"/>
        <v/>
      </c>
      <c r="H78" s="22" t="str">
        <f t="shared" si="16"/>
        <v/>
      </c>
      <c r="I78" s="22" t="str">
        <f t="shared" si="17"/>
        <v/>
      </c>
      <c r="J78" s="22" t="str">
        <f t="shared" si="18"/>
        <v/>
      </c>
      <c r="K78" s="22" t="str">
        <f t="shared" si="19"/>
        <v/>
      </c>
      <c r="L78" s="22" t="str">
        <f t="shared" si="20"/>
        <v/>
      </c>
      <c r="M78" s="22" t="str">
        <f t="shared" si="21"/>
        <v/>
      </c>
      <c r="N78" s="103"/>
      <c r="O78" s="102"/>
      <c r="R78" s="1">
        <v>740.25969999999995</v>
      </c>
    </row>
    <row r="79" spans="2:18" hidden="1" outlineLevel="1" x14ac:dyDescent="0.2">
      <c r="B79" s="2">
        <f t="shared" si="12"/>
        <v>26</v>
      </c>
      <c r="D79" s="22">
        <f>IF(B79&lt;$D$24,(+'CALCULETTE (2)'!T658/'CALCULETTE (2)'!$B$612),0)</f>
        <v>0.62549639235506382</v>
      </c>
      <c r="E79" s="22" t="str">
        <f t="shared" si="13"/>
        <v/>
      </c>
      <c r="F79" s="22" t="str">
        <f t="shared" si="14"/>
        <v/>
      </c>
      <c r="G79" s="22" t="str">
        <f t="shared" si="15"/>
        <v/>
      </c>
      <c r="H79" s="22" t="str">
        <f t="shared" si="16"/>
        <v/>
      </c>
      <c r="I79" s="22" t="str">
        <f t="shared" si="17"/>
        <v/>
      </c>
      <c r="J79" s="22" t="str">
        <f t="shared" si="18"/>
        <v/>
      </c>
      <c r="K79" s="22" t="str">
        <f t="shared" si="19"/>
        <v/>
      </c>
      <c r="L79" s="22" t="str">
        <f t="shared" si="20"/>
        <v/>
      </c>
      <c r="M79" s="22" t="str">
        <f t="shared" si="21"/>
        <v/>
      </c>
      <c r="N79" s="103"/>
      <c r="O79" s="102"/>
      <c r="R79" s="1">
        <v>584.41899999999998</v>
      </c>
    </row>
    <row r="80" spans="2:18" hidden="1" outlineLevel="1" x14ac:dyDescent="0.2">
      <c r="B80" s="2">
        <f t="shared" si="12"/>
        <v>27</v>
      </c>
      <c r="D80" s="22">
        <f>IF(B80&lt;$D$24,(+'CALCULETTE (2)'!T659/'CALCULETTE (2)'!$B$612),0)</f>
        <v>0.61202603731444116</v>
      </c>
      <c r="E80" s="22" t="str">
        <f t="shared" si="13"/>
        <v/>
      </c>
      <c r="F80" s="22" t="str">
        <f t="shared" si="14"/>
        <v/>
      </c>
      <c r="G80" s="22" t="str">
        <f t="shared" si="15"/>
        <v/>
      </c>
      <c r="H80" s="22" t="str">
        <f t="shared" si="16"/>
        <v/>
      </c>
      <c r="I80" s="22" t="str">
        <f t="shared" si="17"/>
        <v/>
      </c>
      <c r="J80" s="22" t="str">
        <f t="shared" si="18"/>
        <v/>
      </c>
      <c r="K80" s="22" t="str">
        <f t="shared" si="19"/>
        <v/>
      </c>
      <c r="L80" s="22" t="str">
        <f t="shared" si="20"/>
        <v/>
      </c>
      <c r="M80" s="22" t="str">
        <f t="shared" si="21"/>
        <v/>
      </c>
      <c r="N80" s="103"/>
      <c r="O80" s="102"/>
      <c r="R80" s="1">
        <v>762.62969999999996</v>
      </c>
    </row>
    <row r="81" spans="2:18" hidden="1" outlineLevel="1" x14ac:dyDescent="0.2">
      <c r="B81" s="2">
        <f t="shared" si="12"/>
        <v>28</v>
      </c>
      <c r="D81" s="22">
        <f>IF(B81&lt;$D$24,(+'CALCULETTE (2)'!T660/'CALCULETTE (2)'!$B$612),0)</f>
        <v>0.59860785588277854</v>
      </c>
      <c r="E81" s="22" t="str">
        <f t="shared" si="13"/>
        <v/>
      </c>
      <c r="F81" s="22" t="str">
        <f t="shared" si="14"/>
        <v/>
      </c>
      <c r="G81" s="22" t="str">
        <f t="shared" si="15"/>
        <v/>
      </c>
      <c r="H81" s="22" t="str">
        <f t="shared" si="16"/>
        <v/>
      </c>
      <c r="I81" s="22" t="str">
        <f t="shared" si="17"/>
        <v/>
      </c>
      <c r="J81" s="22" t="str">
        <f t="shared" si="18"/>
        <v/>
      </c>
      <c r="K81" s="22" t="str">
        <f t="shared" si="19"/>
        <v/>
      </c>
      <c r="L81" s="22" t="str">
        <f t="shared" si="20"/>
        <v/>
      </c>
      <c r="M81" s="22" t="str">
        <f t="shared" si="21"/>
        <v/>
      </c>
      <c r="N81" s="103"/>
      <c r="O81" s="102"/>
      <c r="R81" s="1">
        <v>307.31490000000002</v>
      </c>
    </row>
    <row r="82" spans="2:18" hidden="1" outlineLevel="1" x14ac:dyDescent="0.2">
      <c r="B82" s="2">
        <f t="shared" si="12"/>
        <v>29</v>
      </c>
      <c r="D82" s="22">
        <f>IF(B82&lt;$D$24,(+'CALCULETTE (2)'!T661/'CALCULETTE (2)'!$B$612),0)</f>
        <v>0.585241564918072</v>
      </c>
      <c r="E82" s="22" t="str">
        <f t="shared" si="13"/>
        <v/>
      </c>
      <c r="F82" s="22" t="str">
        <f t="shared" si="14"/>
        <v/>
      </c>
      <c r="G82" s="22" t="str">
        <f t="shared" si="15"/>
        <v/>
      </c>
      <c r="H82" s="22" t="str">
        <f t="shared" si="16"/>
        <v/>
      </c>
      <c r="I82" s="22" t="str">
        <f t="shared" si="17"/>
        <v/>
      </c>
      <c r="J82" s="22" t="str">
        <f t="shared" si="18"/>
        <v/>
      </c>
      <c r="K82" s="22" t="str">
        <f t="shared" si="19"/>
        <v/>
      </c>
      <c r="L82" s="22" t="str">
        <f t="shared" si="20"/>
        <v/>
      </c>
      <c r="M82" s="22" t="str">
        <f t="shared" si="21"/>
        <v/>
      </c>
      <c r="N82" s="103"/>
      <c r="O82" s="102"/>
      <c r="R82" s="1">
        <v>349.0949</v>
      </c>
    </row>
    <row r="83" spans="2:18" hidden="1" outlineLevel="1" x14ac:dyDescent="0.2">
      <c r="B83" s="2">
        <f t="shared" si="12"/>
        <v>30</v>
      </c>
      <c r="D83" s="22">
        <f>IF(B83&lt;$D$24,(+'CALCULETTE (2)'!T662/'CALCULETTE (2)'!$B$612),0)</f>
        <v>0.57192688266134073</v>
      </c>
      <c r="E83" s="22" t="str">
        <f t="shared" si="13"/>
        <v/>
      </c>
      <c r="F83" s="22" t="str">
        <f t="shared" si="14"/>
        <v/>
      </c>
      <c r="G83" s="22" t="str">
        <f t="shared" si="15"/>
        <v/>
      </c>
      <c r="H83" s="22" t="str">
        <f t="shared" si="16"/>
        <v/>
      </c>
      <c r="I83" s="22" t="str">
        <f t="shared" si="17"/>
        <v/>
      </c>
      <c r="J83" s="22" t="str">
        <f t="shared" si="18"/>
        <v/>
      </c>
      <c r="K83" s="22" t="str">
        <f t="shared" si="19"/>
        <v/>
      </c>
      <c r="L83" s="22" t="str">
        <f t="shared" si="20"/>
        <v/>
      </c>
      <c r="M83" s="22" t="str">
        <f t="shared" si="21"/>
        <v/>
      </c>
      <c r="N83" s="103"/>
      <c r="O83" s="102"/>
      <c r="R83" s="1">
        <v>835.25009999999997</v>
      </c>
    </row>
    <row r="84" spans="2:18" hidden="1" outlineLevel="1" x14ac:dyDescent="0.2">
      <c r="B84" s="2">
        <f t="shared" si="12"/>
        <v>31</v>
      </c>
      <c r="D84" s="22">
        <f>IF(B84&lt;$D$24,(+'CALCULETTE (2)'!T663/'CALCULETTE (2)'!$B$612),0)</f>
        <v>0.55866352872966396</v>
      </c>
      <c r="E84" s="22" t="str">
        <f t="shared" si="13"/>
        <v/>
      </c>
      <c r="F84" s="22" t="str">
        <f t="shared" si="14"/>
        <v/>
      </c>
      <c r="G84" s="22" t="str">
        <f t="shared" si="15"/>
        <v/>
      </c>
      <c r="H84" s="22" t="str">
        <f t="shared" si="16"/>
        <v/>
      </c>
      <c r="I84" s="22" t="str">
        <f t="shared" si="17"/>
        <v/>
      </c>
      <c r="J84" s="22" t="str">
        <f t="shared" si="18"/>
        <v/>
      </c>
      <c r="K84" s="22" t="str">
        <f t="shared" si="19"/>
        <v/>
      </c>
      <c r="L84" s="22" t="str">
        <f t="shared" si="20"/>
        <v/>
      </c>
      <c r="M84" s="22" t="str">
        <f t="shared" si="21"/>
        <v/>
      </c>
      <c r="N84" s="103"/>
      <c r="O84" s="102"/>
      <c r="R84" s="1">
        <v>749.70259999999996</v>
      </c>
    </row>
    <row r="85" spans="2:18" hidden="1" outlineLevel="1" x14ac:dyDescent="0.2">
      <c r="B85" s="2">
        <f t="shared" si="12"/>
        <v>32</v>
      </c>
      <c r="D85" s="22">
        <f>IF(B85&lt;$D$24,(+'CALCULETTE (2)'!T664/'CALCULETTE (2)'!$B$612),0)</f>
        <v>0.5454512241092524</v>
      </c>
      <c r="E85" s="22" t="str">
        <f t="shared" si="13"/>
        <v/>
      </c>
      <c r="F85" s="22" t="str">
        <f t="shared" si="14"/>
        <v/>
      </c>
      <c r="G85" s="22" t="str">
        <f t="shared" si="15"/>
        <v/>
      </c>
      <c r="H85" s="22" t="str">
        <f t="shared" si="16"/>
        <v/>
      </c>
      <c r="I85" s="22" t="str">
        <f t="shared" si="17"/>
        <v/>
      </c>
      <c r="J85" s="22" t="str">
        <f t="shared" si="18"/>
        <v/>
      </c>
      <c r="K85" s="22" t="str">
        <f t="shared" si="19"/>
        <v/>
      </c>
      <c r="L85" s="22" t="str">
        <f t="shared" si="20"/>
        <v/>
      </c>
      <c r="M85" s="22" t="str">
        <f t="shared" si="21"/>
        <v/>
      </c>
      <c r="N85" s="103"/>
      <c r="O85" s="102"/>
      <c r="R85" s="1">
        <v>343.75990000000002</v>
      </c>
    </row>
    <row r="86" spans="2:18" hidden="1" outlineLevel="1" x14ac:dyDescent="0.2">
      <c r="B86" s="2">
        <f t="shared" ref="B86:B117" si="22">B85+1</f>
        <v>33</v>
      </c>
      <c r="D86" s="22">
        <f>IF(B86&lt;$D$24,(+'CALCULETTE (2)'!T665/'CALCULETTE (2)'!$B$612),0)</f>
        <v>0.53228969114855451</v>
      </c>
      <c r="E86" s="22" t="str">
        <f t="shared" ref="E86:E117" si="23">IF(E$1=0,"",IF($B86&lt;E$23,E85+PPMT(E$25/12,$B86,E$23,E$53,-E$27,0),IF($B86=E$23,E85+PPMT(E$25/12,$B86,E$23,E$53,-E$27,0)-E$27,0)))</f>
        <v/>
      </c>
      <c r="F86" s="22" t="str">
        <f t="shared" ref="F86:F117" si="24">IF(F$1=0,"",IF($B86&lt;F$23,F85+PPMT(F$25/12,$B86,F$23,F$53,-F$27,0),IF($B86=F$23,F85+PPMT(F$25/12,$B86,F$23,F$53,-F$27,0)-F$27,0)))</f>
        <v/>
      </c>
      <c r="G86" s="22" t="str">
        <f t="shared" ref="G86:G117" si="25">IF(G$1=0,"",IF($B86&lt;G$23,G85+PPMT(G$25/12,$B86,G$23,G$53,-G$27,0),IF($B86=G$23,G85+PPMT(G$25/12,$B86,G$23,G$53,-G$27,0)-G$27,0)))</f>
        <v/>
      </c>
      <c r="H86" s="22" t="str">
        <f t="shared" ref="H86:H117" si="26">IF(H$1=0,"",IF($B86&lt;H$23,H85+PPMT(H$25/12,$B86,H$23,H$53,-H$27,0),IF($B86=H$23,H85+PPMT(H$25/12,$B86,H$23,H$53,-H$27,0)-H$27,0)))</f>
        <v/>
      </c>
      <c r="I86" s="22" t="str">
        <f t="shared" ref="I86:I117" si="27">IF(I$1=0,"",IF($B86&lt;I$23,I85+PPMT(I$25/12,$B86,I$23,I$53,-I$27,0),IF($B86=I$23,I85+PPMT(I$25/12,$B86,I$23,I$53,-I$27,0)-I$27,0)))</f>
        <v/>
      </c>
      <c r="J86" s="22" t="str">
        <f t="shared" ref="J86:J117" si="28">IF(J$1=0,"",IF($B86&lt;J$23,J85+PPMT(J$25/12,$B86,J$23,J$53,-J$27,0),IF($B86=J$23,J85+PPMT(J$25/12,$B86,J$23,J$53,-J$27,0)-J$27,0)))</f>
        <v/>
      </c>
      <c r="K86" s="22" t="str">
        <f t="shared" ref="K86:K117" si="29">IF(K$1=0,"",IF($B86&lt;K$23,K85+PPMT(K$25/12,$B86,K$23,K$53,-K$27,0),IF($B86=K$23,K85+PPMT(K$25/12,$B86,K$23,K$53,-K$27,0)-K$27,0)))</f>
        <v/>
      </c>
      <c r="L86" s="22" t="str">
        <f t="shared" ref="L86:L117" si="30">IF(L$1=0,"",IF($B86&lt;L$23,L85+PPMT(L$25/12,$B86,L$23,L$53,-L$27,0),IF($B86=L$23,L85+PPMT(L$25/12,$B86,L$23,L$53,-L$27,0)-L$27,0)))</f>
        <v/>
      </c>
      <c r="M86" s="22" t="str">
        <f t="shared" ref="M86:M117" si="31">IF(M$1=0,"",IF($B86&lt;M$23,M85+PPMT(M$25/12,$B86,M$23,M$53,-M$27,0),IF($B86=M$23,M85+PPMT(M$25/12,$B86,M$23,M$53,-M$27,0)-M$27,0)))</f>
        <v/>
      </c>
      <c r="N86" s="103"/>
      <c r="O86" s="102"/>
      <c r="R86" s="1">
        <v>319.83839999999998</v>
      </c>
    </row>
    <row r="87" spans="2:18" hidden="1" outlineLevel="1" x14ac:dyDescent="0.2">
      <c r="B87" s="2">
        <f t="shared" si="22"/>
        <v>34</v>
      </c>
      <c r="D87" s="22">
        <f>IF(B87&lt;$D$24,(+'CALCULETTE (2)'!T666/'CALCULETTE (2)'!$B$612),0)</f>
        <v>0.51917865355139714</v>
      </c>
      <c r="E87" s="22" t="str">
        <f t="shared" si="23"/>
        <v/>
      </c>
      <c r="F87" s="22" t="str">
        <f t="shared" si="24"/>
        <v/>
      </c>
      <c r="G87" s="22" t="str">
        <f t="shared" si="25"/>
        <v/>
      </c>
      <c r="H87" s="22" t="str">
        <f t="shared" si="26"/>
        <v/>
      </c>
      <c r="I87" s="22" t="str">
        <f t="shared" si="27"/>
        <v/>
      </c>
      <c r="J87" s="22" t="str">
        <f t="shared" si="28"/>
        <v/>
      </c>
      <c r="K87" s="22" t="str">
        <f t="shared" si="29"/>
        <v/>
      </c>
      <c r="L87" s="22" t="str">
        <f t="shared" si="30"/>
        <v/>
      </c>
      <c r="M87" s="22" t="str">
        <f t="shared" si="31"/>
        <v/>
      </c>
      <c r="N87" s="103"/>
      <c r="O87" s="102"/>
    </row>
    <row r="88" spans="2:18" hidden="1" outlineLevel="1" x14ac:dyDescent="0.2">
      <c r="B88" s="2">
        <f t="shared" si="22"/>
        <v>35</v>
      </c>
      <c r="D88" s="22">
        <f>IF(B88&lt;$D$24,(+'CALCULETTE (2)'!T667/'CALCULETTE (2)'!$B$612),0)</f>
        <v>-3.0297492757019484E-16</v>
      </c>
      <c r="E88" s="22" t="str">
        <f t="shared" si="23"/>
        <v/>
      </c>
      <c r="F88" s="22" t="str">
        <f t="shared" si="24"/>
        <v/>
      </c>
      <c r="G88" s="22" t="str">
        <f t="shared" si="25"/>
        <v/>
      </c>
      <c r="H88" s="22" t="str">
        <f t="shared" si="26"/>
        <v/>
      </c>
      <c r="I88" s="22" t="str">
        <f t="shared" si="27"/>
        <v/>
      </c>
      <c r="J88" s="22" t="str">
        <f t="shared" si="28"/>
        <v/>
      </c>
      <c r="K88" s="22" t="str">
        <f t="shared" si="29"/>
        <v/>
      </c>
      <c r="L88" s="22" t="str">
        <f t="shared" si="30"/>
        <v/>
      </c>
      <c r="M88" s="22" t="str">
        <f t="shared" si="31"/>
        <v/>
      </c>
      <c r="N88" s="103"/>
      <c r="O88" s="102"/>
    </row>
    <row r="89" spans="2:18" hidden="1" outlineLevel="1" x14ac:dyDescent="0.2">
      <c r="B89" s="2">
        <f t="shared" si="22"/>
        <v>36</v>
      </c>
      <c r="D89" s="22">
        <f>IF(B89&lt;$D$24,(+'CALCULETTE (2)'!T668/'CALCULETTE (2)'!$B$612),0)</f>
        <v>0</v>
      </c>
      <c r="E89" s="22" t="str">
        <f t="shared" si="23"/>
        <v/>
      </c>
      <c r="F89" s="22" t="str">
        <f t="shared" si="24"/>
        <v/>
      </c>
      <c r="G89" s="22" t="str">
        <f t="shared" si="25"/>
        <v/>
      </c>
      <c r="H89" s="22" t="str">
        <f t="shared" si="26"/>
        <v/>
      </c>
      <c r="I89" s="22" t="str">
        <f t="shared" si="27"/>
        <v/>
      </c>
      <c r="J89" s="22" t="str">
        <f t="shared" si="28"/>
        <v/>
      </c>
      <c r="K89" s="22" t="str">
        <f t="shared" si="29"/>
        <v/>
      </c>
      <c r="L89" s="22" t="str">
        <f t="shared" si="30"/>
        <v/>
      </c>
      <c r="M89" s="22" t="str">
        <f t="shared" si="31"/>
        <v/>
      </c>
      <c r="N89" s="103"/>
      <c r="O89" s="102"/>
    </row>
    <row r="90" spans="2:18" hidden="1" outlineLevel="1" x14ac:dyDescent="0.2">
      <c r="B90" s="2">
        <f t="shared" si="22"/>
        <v>37</v>
      </c>
      <c r="D90" s="22">
        <f>IF(B90&lt;$D$24,(+'CALCULETTE (2)'!T669/'CALCULETTE (2)'!$B$612),0)</f>
        <v>0</v>
      </c>
      <c r="E90" s="22" t="str">
        <f t="shared" si="23"/>
        <v/>
      </c>
      <c r="F90" s="22" t="str">
        <f t="shared" si="24"/>
        <v/>
      </c>
      <c r="G90" s="22" t="str">
        <f t="shared" si="25"/>
        <v/>
      </c>
      <c r="H90" s="22" t="str">
        <f t="shared" si="26"/>
        <v/>
      </c>
      <c r="I90" s="22" t="str">
        <f t="shared" si="27"/>
        <v/>
      </c>
      <c r="J90" s="22" t="str">
        <f t="shared" si="28"/>
        <v/>
      </c>
      <c r="K90" s="22" t="str">
        <f t="shared" si="29"/>
        <v/>
      </c>
      <c r="L90" s="22" t="str">
        <f t="shared" si="30"/>
        <v/>
      </c>
      <c r="M90" s="22" t="str">
        <f t="shared" si="31"/>
        <v/>
      </c>
      <c r="N90" s="103"/>
      <c r="O90" s="102"/>
    </row>
    <row r="91" spans="2:18" hidden="1" outlineLevel="1" x14ac:dyDescent="0.2">
      <c r="B91" s="2">
        <f t="shared" si="22"/>
        <v>38</v>
      </c>
      <c r="D91" s="22">
        <f>IF(B91&lt;$D$24,(+'CALCULETTE (2)'!T670/'CALCULETTE (2)'!$B$612),0)</f>
        <v>0</v>
      </c>
      <c r="E91" s="22" t="str">
        <f t="shared" si="23"/>
        <v/>
      </c>
      <c r="F91" s="22" t="str">
        <f t="shared" si="24"/>
        <v/>
      </c>
      <c r="G91" s="22" t="str">
        <f t="shared" si="25"/>
        <v/>
      </c>
      <c r="H91" s="22" t="str">
        <f t="shared" si="26"/>
        <v/>
      </c>
      <c r="I91" s="22" t="str">
        <f t="shared" si="27"/>
        <v/>
      </c>
      <c r="J91" s="22" t="str">
        <f t="shared" si="28"/>
        <v/>
      </c>
      <c r="K91" s="22" t="str">
        <f t="shared" si="29"/>
        <v/>
      </c>
      <c r="L91" s="22" t="str">
        <f t="shared" si="30"/>
        <v/>
      </c>
      <c r="M91" s="22" t="str">
        <f t="shared" si="31"/>
        <v/>
      </c>
      <c r="N91" s="103"/>
      <c r="O91" s="102"/>
    </row>
    <row r="92" spans="2:18" hidden="1" outlineLevel="1" x14ac:dyDescent="0.2">
      <c r="B92" s="2">
        <f t="shared" si="22"/>
        <v>39</v>
      </c>
      <c r="D92" s="22">
        <f>IF(B92&lt;$D$24,(+'CALCULETTE (2)'!T671/'CALCULETTE (2)'!$B$612),0)</f>
        <v>0</v>
      </c>
      <c r="E92" s="22" t="str">
        <f t="shared" si="23"/>
        <v/>
      </c>
      <c r="F92" s="22" t="str">
        <f t="shared" si="24"/>
        <v/>
      </c>
      <c r="G92" s="22" t="str">
        <f t="shared" si="25"/>
        <v/>
      </c>
      <c r="H92" s="22" t="str">
        <f t="shared" si="26"/>
        <v/>
      </c>
      <c r="I92" s="22" t="str">
        <f t="shared" si="27"/>
        <v/>
      </c>
      <c r="J92" s="22" t="str">
        <f t="shared" si="28"/>
        <v/>
      </c>
      <c r="K92" s="22" t="str">
        <f t="shared" si="29"/>
        <v/>
      </c>
      <c r="L92" s="22" t="str">
        <f t="shared" si="30"/>
        <v/>
      </c>
      <c r="M92" s="22" t="str">
        <f t="shared" si="31"/>
        <v/>
      </c>
      <c r="N92" s="103"/>
      <c r="O92" s="102"/>
    </row>
    <row r="93" spans="2:18" hidden="1" outlineLevel="1" x14ac:dyDescent="0.2">
      <c r="B93" s="2">
        <f t="shared" si="22"/>
        <v>40</v>
      </c>
      <c r="D93" s="22">
        <f>IF(B93&lt;$D$24,(+'CALCULETTE (2)'!T672/'CALCULETTE (2)'!$B$612),0)</f>
        <v>0</v>
      </c>
      <c r="E93" s="22" t="str">
        <f t="shared" si="23"/>
        <v/>
      </c>
      <c r="F93" s="22" t="str">
        <f t="shared" si="24"/>
        <v/>
      </c>
      <c r="G93" s="22" t="str">
        <f t="shared" si="25"/>
        <v/>
      </c>
      <c r="H93" s="22" t="str">
        <f t="shared" si="26"/>
        <v/>
      </c>
      <c r="I93" s="22" t="str">
        <f t="shared" si="27"/>
        <v/>
      </c>
      <c r="J93" s="22" t="str">
        <f t="shared" si="28"/>
        <v/>
      </c>
      <c r="K93" s="22" t="str">
        <f t="shared" si="29"/>
        <v/>
      </c>
      <c r="L93" s="22" t="str">
        <f t="shared" si="30"/>
        <v/>
      </c>
      <c r="M93" s="22" t="str">
        <f t="shared" si="31"/>
        <v/>
      </c>
      <c r="N93" s="103"/>
      <c r="O93" s="102"/>
    </row>
    <row r="94" spans="2:18" hidden="1" outlineLevel="1" x14ac:dyDescent="0.2">
      <c r="B94" s="2">
        <f t="shared" si="22"/>
        <v>41</v>
      </c>
      <c r="D94" s="22">
        <f>IF(B94&lt;$D$24,(+'CALCULETTE (2)'!T673/'CALCULETTE (2)'!$B$612),0)</f>
        <v>0</v>
      </c>
      <c r="E94" s="22" t="str">
        <f t="shared" si="23"/>
        <v/>
      </c>
      <c r="F94" s="22" t="str">
        <f t="shared" si="24"/>
        <v/>
      </c>
      <c r="G94" s="22" t="str">
        <f t="shared" si="25"/>
        <v/>
      </c>
      <c r="H94" s="22" t="str">
        <f t="shared" si="26"/>
        <v/>
      </c>
      <c r="I94" s="22" t="str">
        <f t="shared" si="27"/>
        <v/>
      </c>
      <c r="J94" s="22" t="str">
        <f t="shared" si="28"/>
        <v/>
      </c>
      <c r="K94" s="22" t="str">
        <f t="shared" si="29"/>
        <v/>
      </c>
      <c r="L94" s="22" t="str">
        <f t="shared" si="30"/>
        <v/>
      </c>
      <c r="M94" s="22" t="str">
        <f t="shared" si="31"/>
        <v/>
      </c>
      <c r="N94" s="103"/>
      <c r="O94" s="102"/>
    </row>
    <row r="95" spans="2:18" hidden="1" outlineLevel="1" x14ac:dyDescent="0.2">
      <c r="B95" s="2">
        <f t="shared" si="22"/>
        <v>42</v>
      </c>
      <c r="D95" s="22">
        <f>IF(B95&lt;$D$24,(+'CALCULETTE (2)'!T674/'CALCULETTE (2)'!$B$612),0)</f>
        <v>0</v>
      </c>
      <c r="E95" s="22" t="str">
        <f t="shared" si="23"/>
        <v/>
      </c>
      <c r="F95" s="22" t="str">
        <f t="shared" si="24"/>
        <v/>
      </c>
      <c r="G95" s="22" t="str">
        <f t="shared" si="25"/>
        <v/>
      </c>
      <c r="H95" s="22" t="str">
        <f t="shared" si="26"/>
        <v/>
      </c>
      <c r="I95" s="22" t="str">
        <f t="shared" si="27"/>
        <v/>
      </c>
      <c r="J95" s="22" t="str">
        <f t="shared" si="28"/>
        <v/>
      </c>
      <c r="K95" s="22" t="str">
        <f t="shared" si="29"/>
        <v/>
      </c>
      <c r="L95" s="22" t="str">
        <f t="shared" si="30"/>
        <v/>
      </c>
      <c r="M95" s="22" t="str">
        <f t="shared" si="31"/>
        <v/>
      </c>
      <c r="N95" s="103"/>
      <c r="O95" s="102"/>
    </row>
    <row r="96" spans="2:18" hidden="1" outlineLevel="1" x14ac:dyDescent="0.2">
      <c r="B96" s="2">
        <f t="shared" si="22"/>
        <v>43</v>
      </c>
      <c r="D96" s="22">
        <f>IF(B96&lt;$D$24,(+'CALCULETTE (2)'!T675/'CALCULETTE (2)'!$B$612),0)</f>
        <v>0</v>
      </c>
      <c r="E96" s="22" t="str">
        <f t="shared" si="23"/>
        <v/>
      </c>
      <c r="F96" s="22" t="str">
        <f t="shared" si="24"/>
        <v/>
      </c>
      <c r="G96" s="22" t="str">
        <f t="shared" si="25"/>
        <v/>
      </c>
      <c r="H96" s="22" t="str">
        <f t="shared" si="26"/>
        <v/>
      </c>
      <c r="I96" s="22" t="str">
        <f t="shared" si="27"/>
        <v/>
      </c>
      <c r="J96" s="22" t="str">
        <f t="shared" si="28"/>
        <v/>
      </c>
      <c r="K96" s="22" t="str">
        <f t="shared" si="29"/>
        <v/>
      </c>
      <c r="L96" s="22" t="str">
        <f t="shared" si="30"/>
        <v/>
      </c>
      <c r="M96" s="22" t="str">
        <f t="shared" si="31"/>
        <v/>
      </c>
      <c r="N96" s="103"/>
      <c r="O96" s="102"/>
    </row>
    <row r="97" spans="2:15" hidden="1" outlineLevel="1" x14ac:dyDescent="0.2">
      <c r="B97" s="2">
        <f t="shared" si="22"/>
        <v>44</v>
      </c>
      <c r="D97" s="22">
        <f>IF(B97&lt;$D$24,(+'CALCULETTE (2)'!T676/'CALCULETTE (2)'!$B$612),0)</f>
        <v>0</v>
      </c>
      <c r="E97" s="22" t="str">
        <f t="shared" si="23"/>
        <v/>
      </c>
      <c r="F97" s="22" t="str">
        <f t="shared" si="24"/>
        <v/>
      </c>
      <c r="G97" s="22" t="str">
        <f t="shared" si="25"/>
        <v/>
      </c>
      <c r="H97" s="22" t="str">
        <f t="shared" si="26"/>
        <v/>
      </c>
      <c r="I97" s="22" t="str">
        <f t="shared" si="27"/>
        <v/>
      </c>
      <c r="J97" s="22" t="str">
        <f t="shared" si="28"/>
        <v/>
      </c>
      <c r="K97" s="22" t="str">
        <f t="shared" si="29"/>
        <v/>
      </c>
      <c r="L97" s="22" t="str">
        <f t="shared" si="30"/>
        <v/>
      </c>
      <c r="M97" s="22" t="str">
        <f t="shared" si="31"/>
        <v/>
      </c>
      <c r="N97" s="103"/>
      <c r="O97" s="102"/>
    </row>
    <row r="98" spans="2:15" hidden="1" outlineLevel="1" x14ac:dyDescent="0.2">
      <c r="B98" s="2">
        <f t="shared" si="22"/>
        <v>45</v>
      </c>
      <c r="D98" s="22">
        <f>IF(B98&lt;$D$24,(+'CALCULETTE (2)'!T677/'CALCULETTE (2)'!$B$612),0)</f>
        <v>0</v>
      </c>
      <c r="E98" s="22" t="str">
        <f t="shared" si="23"/>
        <v/>
      </c>
      <c r="F98" s="22" t="str">
        <f t="shared" si="24"/>
        <v/>
      </c>
      <c r="G98" s="22" t="str">
        <f t="shared" si="25"/>
        <v/>
      </c>
      <c r="H98" s="22" t="str">
        <f t="shared" si="26"/>
        <v/>
      </c>
      <c r="I98" s="22" t="str">
        <f t="shared" si="27"/>
        <v/>
      </c>
      <c r="J98" s="22" t="str">
        <f t="shared" si="28"/>
        <v/>
      </c>
      <c r="K98" s="22" t="str">
        <f t="shared" si="29"/>
        <v/>
      </c>
      <c r="L98" s="22" t="str">
        <f t="shared" si="30"/>
        <v/>
      </c>
      <c r="M98" s="22" t="str">
        <f t="shared" si="31"/>
        <v/>
      </c>
      <c r="N98" s="103"/>
      <c r="O98" s="102"/>
    </row>
    <row r="99" spans="2:15" hidden="1" outlineLevel="1" x14ac:dyDescent="0.2">
      <c r="B99" s="2">
        <f t="shared" si="22"/>
        <v>46</v>
      </c>
      <c r="D99" s="22">
        <f>IF(B99&lt;$D$24,(+'CALCULETTE (2)'!T678/'CALCULETTE (2)'!$B$612),0)</f>
        <v>0</v>
      </c>
      <c r="E99" s="22" t="str">
        <f t="shared" si="23"/>
        <v/>
      </c>
      <c r="F99" s="22" t="str">
        <f t="shared" si="24"/>
        <v/>
      </c>
      <c r="G99" s="22" t="str">
        <f t="shared" si="25"/>
        <v/>
      </c>
      <c r="H99" s="22" t="str">
        <f t="shared" si="26"/>
        <v/>
      </c>
      <c r="I99" s="22" t="str">
        <f t="shared" si="27"/>
        <v/>
      </c>
      <c r="J99" s="22" t="str">
        <f t="shared" si="28"/>
        <v/>
      </c>
      <c r="K99" s="22" t="str">
        <f t="shared" si="29"/>
        <v/>
      </c>
      <c r="L99" s="22" t="str">
        <f t="shared" si="30"/>
        <v/>
      </c>
      <c r="M99" s="22" t="str">
        <f t="shared" si="31"/>
        <v/>
      </c>
      <c r="N99" s="103"/>
      <c r="O99" s="102"/>
    </row>
    <row r="100" spans="2:15" hidden="1" outlineLevel="1" x14ac:dyDescent="0.2">
      <c r="B100" s="2">
        <f t="shared" si="22"/>
        <v>47</v>
      </c>
      <c r="D100" s="22">
        <f>IF(B100&lt;$D$24,(+'CALCULETTE (2)'!T679/'CALCULETTE (2)'!$B$612),0)</f>
        <v>0</v>
      </c>
      <c r="E100" s="22" t="str">
        <f t="shared" si="23"/>
        <v/>
      </c>
      <c r="F100" s="22" t="str">
        <f t="shared" si="24"/>
        <v/>
      </c>
      <c r="G100" s="22" t="str">
        <f t="shared" si="25"/>
        <v/>
      </c>
      <c r="H100" s="22" t="str">
        <f t="shared" si="26"/>
        <v/>
      </c>
      <c r="I100" s="22" t="str">
        <f t="shared" si="27"/>
        <v/>
      </c>
      <c r="J100" s="22" t="str">
        <f t="shared" si="28"/>
        <v/>
      </c>
      <c r="K100" s="22" t="str">
        <f t="shared" si="29"/>
        <v/>
      </c>
      <c r="L100" s="22" t="str">
        <f t="shared" si="30"/>
        <v/>
      </c>
      <c r="M100" s="22" t="str">
        <f t="shared" si="31"/>
        <v/>
      </c>
      <c r="N100" s="103"/>
      <c r="O100" s="102"/>
    </row>
    <row r="101" spans="2:15" hidden="1" outlineLevel="1" x14ac:dyDescent="0.2">
      <c r="B101" s="2">
        <f t="shared" si="22"/>
        <v>48</v>
      </c>
      <c r="D101" s="22">
        <f>IF(B101&lt;$D$24,(+'CALCULETTE (2)'!T680/'CALCULETTE (2)'!$B$612),0)</f>
        <v>0</v>
      </c>
      <c r="E101" s="22" t="str">
        <f t="shared" si="23"/>
        <v/>
      </c>
      <c r="F101" s="22" t="str">
        <f t="shared" si="24"/>
        <v/>
      </c>
      <c r="G101" s="22" t="str">
        <f t="shared" si="25"/>
        <v/>
      </c>
      <c r="H101" s="22" t="str">
        <f t="shared" si="26"/>
        <v/>
      </c>
      <c r="I101" s="22" t="str">
        <f t="shared" si="27"/>
        <v/>
      </c>
      <c r="J101" s="22" t="str">
        <f t="shared" si="28"/>
        <v/>
      </c>
      <c r="K101" s="22" t="str">
        <f t="shared" si="29"/>
        <v/>
      </c>
      <c r="L101" s="22" t="str">
        <f t="shared" si="30"/>
        <v/>
      </c>
      <c r="M101" s="22" t="str">
        <f t="shared" si="31"/>
        <v/>
      </c>
      <c r="N101" s="103"/>
      <c r="O101" s="102"/>
    </row>
    <row r="102" spans="2:15" hidden="1" outlineLevel="1" x14ac:dyDescent="0.2">
      <c r="B102" s="2">
        <f t="shared" si="22"/>
        <v>49</v>
      </c>
      <c r="D102" s="22">
        <f>IF(B102&lt;$D$24,(+'CALCULETTE (2)'!T681/'CALCULETTE (2)'!$B$612),0)</f>
        <v>0</v>
      </c>
      <c r="E102" s="22" t="str">
        <f t="shared" si="23"/>
        <v/>
      </c>
      <c r="F102" s="22" t="str">
        <f t="shared" si="24"/>
        <v/>
      </c>
      <c r="G102" s="22" t="str">
        <f t="shared" si="25"/>
        <v/>
      </c>
      <c r="H102" s="22" t="str">
        <f t="shared" si="26"/>
        <v/>
      </c>
      <c r="I102" s="22" t="str">
        <f t="shared" si="27"/>
        <v/>
      </c>
      <c r="J102" s="22" t="str">
        <f t="shared" si="28"/>
        <v/>
      </c>
      <c r="K102" s="22" t="str">
        <f t="shared" si="29"/>
        <v/>
      </c>
      <c r="L102" s="22" t="str">
        <f t="shared" si="30"/>
        <v/>
      </c>
      <c r="M102" s="22" t="str">
        <f t="shared" si="31"/>
        <v/>
      </c>
      <c r="N102" s="103"/>
      <c r="O102" s="102"/>
    </row>
    <row r="103" spans="2:15" hidden="1" outlineLevel="1" x14ac:dyDescent="0.2">
      <c r="B103" s="2">
        <f t="shared" si="22"/>
        <v>50</v>
      </c>
      <c r="D103" s="22">
        <f>IF(B103&lt;$D$24,(+'CALCULETTE (2)'!T682/'CALCULETTE (2)'!$B$612),0)</f>
        <v>0</v>
      </c>
      <c r="E103" s="22" t="str">
        <f t="shared" si="23"/>
        <v/>
      </c>
      <c r="F103" s="22" t="str">
        <f t="shared" si="24"/>
        <v/>
      </c>
      <c r="G103" s="22" t="str">
        <f t="shared" si="25"/>
        <v/>
      </c>
      <c r="H103" s="22" t="str">
        <f t="shared" si="26"/>
        <v/>
      </c>
      <c r="I103" s="22" t="str">
        <f t="shared" si="27"/>
        <v/>
      </c>
      <c r="J103" s="22" t="str">
        <f t="shared" si="28"/>
        <v/>
      </c>
      <c r="K103" s="22" t="str">
        <f t="shared" si="29"/>
        <v/>
      </c>
      <c r="L103" s="22" t="str">
        <f t="shared" si="30"/>
        <v/>
      </c>
      <c r="M103" s="22" t="str">
        <f t="shared" si="31"/>
        <v/>
      </c>
      <c r="N103" s="103"/>
      <c r="O103" s="102"/>
    </row>
    <row r="104" spans="2:15" hidden="1" outlineLevel="1" x14ac:dyDescent="0.2">
      <c r="B104" s="2">
        <f t="shared" si="22"/>
        <v>51</v>
      </c>
      <c r="D104" s="22">
        <f>IF(B104&lt;$D$24,(+'CALCULETTE (2)'!T683/'CALCULETTE (2)'!$B$612),0)</f>
        <v>0</v>
      </c>
      <c r="E104" s="22" t="str">
        <f t="shared" si="23"/>
        <v/>
      </c>
      <c r="F104" s="22" t="str">
        <f t="shared" si="24"/>
        <v/>
      </c>
      <c r="G104" s="22" t="str">
        <f t="shared" si="25"/>
        <v/>
      </c>
      <c r="H104" s="22" t="str">
        <f t="shared" si="26"/>
        <v/>
      </c>
      <c r="I104" s="22" t="str">
        <f t="shared" si="27"/>
        <v/>
      </c>
      <c r="J104" s="22" t="str">
        <f t="shared" si="28"/>
        <v/>
      </c>
      <c r="K104" s="22" t="str">
        <f t="shared" si="29"/>
        <v/>
      </c>
      <c r="L104" s="22" t="str">
        <f t="shared" si="30"/>
        <v/>
      </c>
      <c r="M104" s="22" t="str">
        <f t="shared" si="31"/>
        <v/>
      </c>
      <c r="N104" s="103"/>
      <c r="O104" s="102"/>
    </row>
    <row r="105" spans="2:15" hidden="1" outlineLevel="1" x14ac:dyDescent="0.2">
      <c r="B105" s="2">
        <f t="shared" si="22"/>
        <v>52</v>
      </c>
      <c r="D105" s="22">
        <f>IF(B105&lt;$D$24,(+'CALCULETTE (2)'!T684/'CALCULETTE (2)'!$B$612),0)</f>
        <v>0</v>
      </c>
      <c r="E105" s="22" t="str">
        <f t="shared" si="23"/>
        <v/>
      </c>
      <c r="F105" s="22" t="str">
        <f t="shared" si="24"/>
        <v/>
      </c>
      <c r="G105" s="22" t="str">
        <f t="shared" si="25"/>
        <v/>
      </c>
      <c r="H105" s="22" t="str">
        <f t="shared" si="26"/>
        <v/>
      </c>
      <c r="I105" s="22" t="str">
        <f t="shared" si="27"/>
        <v/>
      </c>
      <c r="J105" s="22" t="str">
        <f t="shared" si="28"/>
        <v/>
      </c>
      <c r="K105" s="22" t="str">
        <f t="shared" si="29"/>
        <v/>
      </c>
      <c r="L105" s="22" t="str">
        <f t="shared" si="30"/>
        <v/>
      </c>
      <c r="M105" s="22" t="str">
        <f t="shared" si="31"/>
        <v/>
      </c>
      <c r="N105" s="103"/>
      <c r="O105" s="102"/>
    </row>
    <row r="106" spans="2:15" hidden="1" outlineLevel="1" x14ac:dyDescent="0.2">
      <c r="B106" s="2">
        <f t="shared" si="22"/>
        <v>53</v>
      </c>
      <c r="D106" s="22">
        <f>IF(B106&lt;$D$24,(+'CALCULETTE (2)'!T685/'CALCULETTE (2)'!$B$612),0)</f>
        <v>0</v>
      </c>
      <c r="E106" s="22" t="str">
        <f t="shared" si="23"/>
        <v/>
      </c>
      <c r="F106" s="22" t="str">
        <f t="shared" si="24"/>
        <v/>
      </c>
      <c r="G106" s="22" t="str">
        <f t="shared" si="25"/>
        <v/>
      </c>
      <c r="H106" s="22" t="str">
        <f t="shared" si="26"/>
        <v/>
      </c>
      <c r="I106" s="22" t="str">
        <f t="shared" si="27"/>
        <v/>
      </c>
      <c r="J106" s="22" t="str">
        <f t="shared" si="28"/>
        <v/>
      </c>
      <c r="K106" s="22" t="str">
        <f t="shared" si="29"/>
        <v/>
      </c>
      <c r="L106" s="22" t="str">
        <f t="shared" si="30"/>
        <v/>
      </c>
      <c r="M106" s="22" t="str">
        <f t="shared" si="31"/>
        <v/>
      </c>
      <c r="N106" s="103"/>
      <c r="O106" s="102"/>
    </row>
    <row r="107" spans="2:15" hidden="1" outlineLevel="1" x14ac:dyDescent="0.2">
      <c r="B107" s="2">
        <f t="shared" si="22"/>
        <v>54</v>
      </c>
      <c r="D107" s="22">
        <f>IF(B107&lt;$D$24,(+'CALCULETTE (2)'!T686/'CALCULETTE (2)'!$B$612),0)</f>
        <v>0</v>
      </c>
      <c r="E107" s="22" t="str">
        <f t="shared" si="23"/>
        <v/>
      </c>
      <c r="F107" s="22" t="str">
        <f t="shared" si="24"/>
        <v/>
      </c>
      <c r="G107" s="22" t="str">
        <f t="shared" si="25"/>
        <v/>
      </c>
      <c r="H107" s="22" t="str">
        <f t="shared" si="26"/>
        <v/>
      </c>
      <c r="I107" s="22" t="str">
        <f t="shared" si="27"/>
        <v/>
      </c>
      <c r="J107" s="22" t="str">
        <f t="shared" si="28"/>
        <v/>
      </c>
      <c r="K107" s="22" t="str">
        <f t="shared" si="29"/>
        <v/>
      </c>
      <c r="L107" s="22" t="str">
        <f t="shared" si="30"/>
        <v/>
      </c>
      <c r="M107" s="22" t="str">
        <f t="shared" si="31"/>
        <v/>
      </c>
      <c r="N107" s="103"/>
      <c r="O107" s="102"/>
    </row>
    <row r="108" spans="2:15" hidden="1" outlineLevel="1" x14ac:dyDescent="0.2">
      <c r="B108" s="2">
        <f t="shared" si="22"/>
        <v>55</v>
      </c>
      <c r="D108" s="22">
        <f>IF(B108&lt;$D$24,(+'CALCULETTE (2)'!T687/'CALCULETTE (2)'!$B$612),0)</f>
        <v>0</v>
      </c>
      <c r="E108" s="22" t="str">
        <f t="shared" si="23"/>
        <v/>
      </c>
      <c r="F108" s="22" t="str">
        <f t="shared" si="24"/>
        <v/>
      </c>
      <c r="G108" s="22" t="str">
        <f t="shared" si="25"/>
        <v/>
      </c>
      <c r="H108" s="22" t="str">
        <f t="shared" si="26"/>
        <v/>
      </c>
      <c r="I108" s="22" t="str">
        <f t="shared" si="27"/>
        <v/>
      </c>
      <c r="J108" s="22" t="str">
        <f t="shared" si="28"/>
        <v/>
      </c>
      <c r="K108" s="22" t="str">
        <f t="shared" si="29"/>
        <v/>
      </c>
      <c r="L108" s="22" t="str">
        <f t="shared" si="30"/>
        <v/>
      </c>
      <c r="M108" s="22" t="str">
        <f t="shared" si="31"/>
        <v/>
      </c>
      <c r="N108" s="103"/>
      <c r="O108" s="102"/>
    </row>
    <row r="109" spans="2:15" hidden="1" outlineLevel="1" x14ac:dyDescent="0.2">
      <c r="B109" s="2">
        <f t="shared" si="22"/>
        <v>56</v>
      </c>
      <c r="D109" s="22">
        <f>IF(B109&lt;$D$24,(+'CALCULETTE (2)'!T688/'CALCULETTE (2)'!$B$612),0)</f>
        <v>0</v>
      </c>
      <c r="E109" s="22" t="str">
        <f t="shared" si="23"/>
        <v/>
      </c>
      <c r="F109" s="22" t="str">
        <f t="shared" si="24"/>
        <v/>
      </c>
      <c r="G109" s="22" t="str">
        <f t="shared" si="25"/>
        <v/>
      </c>
      <c r="H109" s="22" t="str">
        <f t="shared" si="26"/>
        <v/>
      </c>
      <c r="I109" s="22" t="str">
        <f t="shared" si="27"/>
        <v/>
      </c>
      <c r="J109" s="22" t="str">
        <f t="shared" si="28"/>
        <v/>
      </c>
      <c r="K109" s="22" t="str">
        <f t="shared" si="29"/>
        <v/>
      </c>
      <c r="L109" s="22" t="str">
        <f t="shared" si="30"/>
        <v/>
      </c>
      <c r="M109" s="22" t="str">
        <f t="shared" si="31"/>
        <v/>
      </c>
      <c r="N109" s="103"/>
      <c r="O109" s="102"/>
    </row>
    <row r="110" spans="2:15" hidden="1" outlineLevel="1" x14ac:dyDescent="0.2">
      <c r="B110" s="2">
        <f t="shared" si="22"/>
        <v>57</v>
      </c>
      <c r="D110" s="22">
        <f>IF(B110&lt;$D$24,(+'CALCULETTE (2)'!T689/'CALCULETTE (2)'!$B$612),0)</f>
        <v>0</v>
      </c>
      <c r="E110" s="22" t="str">
        <f t="shared" si="23"/>
        <v/>
      </c>
      <c r="F110" s="22" t="str">
        <f t="shared" si="24"/>
        <v/>
      </c>
      <c r="G110" s="22" t="str">
        <f t="shared" si="25"/>
        <v/>
      </c>
      <c r="H110" s="22" t="str">
        <f t="shared" si="26"/>
        <v/>
      </c>
      <c r="I110" s="22" t="str">
        <f t="shared" si="27"/>
        <v/>
      </c>
      <c r="J110" s="22" t="str">
        <f t="shared" si="28"/>
        <v/>
      </c>
      <c r="K110" s="22" t="str">
        <f t="shared" si="29"/>
        <v/>
      </c>
      <c r="L110" s="22" t="str">
        <f t="shared" si="30"/>
        <v/>
      </c>
      <c r="M110" s="22" t="str">
        <f t="shared" si="31"/>
        <v/>
      </c>
      <c r="N110" s="103"/>
      <c r="O110" s="102"/>
    </row>
    <row r="111" spans="2:15" hidden="1" outlineLevel="1" x14ac:dyDescent="0.2">
      <c r="B111" s="2">
        <f t="shared" si="22"/>
        <v>58</v>
      </c>
      <c r="D111" s="22">
        <f>IF(B111&lt;$D$24,(+'CALCULETTE (2)'!T690/'CALCULETTE (2)'!$B$612),0)</f>
        <v>0</v>
      </c>
      <c r="E111" s="22" t="str">
        <f t="shared" si="23"/>
        <v/>
      </c>
      <c r="F111" s="22" t="str">
        <f t="shared" si="24"/>
        <v/>
      </c>
      <c r="G111" s="22" t="str">
        <f t="shared" si="25"/>
        <v/>
      </c>
      <c r="H111" s="22" t="str">
        <f t="shared" si="26"/>
        <v/>
      </c>
      <c r="I111" s="22" t="str">
        <f t="shared" si="27"/>
        <v/>
      </c>
      <c r="J111" s="22" t="str">
        <f t="shared" si="28"/>
        <v/>
      </c>
      <c r="K111" s="22" t="str">
        <f t="shared" si="29"/>
        <v/>
      </c>
      <c r="L111" s="22" t="str">
        <f t="shared" si="30"/>
        <v/>
      </c>
      <c r="M111" s="22" t="str">
        <f t="shared" si="31"/>
        <v/>
      </c>
      <c r="N111" s="103"/>
      <c r="O111" s="102"/>
    </row>
    <row r="112" spans="2:15" hidden="1" outlineLevel="1" x14ac:dyDescent="0.2">
      <c r="B112" s="2">
        <f t="shared" si="22"/>
        <v>59</v>
      </c>
      <c r="D112" s="22">
        <f>IF(B112&lt;$D$24,(+'CALCULETTE (2)'!T691/'CALCULETTE (2)'!$B$612),0)</f>
        <v>0</v>
      </c>
      <c r="E112" s="22" t="str">
        <f t="shared" si="23"/>
        <v/>
      </c>
      <c r="F112" s="22" t="str">
        <f t="shared" si="24"/>
        <v/>
      </c>
      <c r="G112" s="22" t="str">
        <f t="shared" si="25"/>
        <v/>
      </c>
      <c r="H112" s="22" t="str">
        <f t="shared" si="26"/>
        <v/>
      </c>
      <c r="I112" s="22" t="str">
        <f t="shared" si="27"/>
        <v/>
      </c>
      <c r="J112" s="22" t="str">
        <f t="shared" si="28"/>
        <v/>
      </c>
      <c r="K112" s="22" t="str">
        <f t="shared" si="29"/>
        <v/>
      </c>
      <c r="L112" s="22" t="str">
        <f t="shared" si="30"/>
        <v/>
      </c>
      <c r="M112" s="22" t="str">
        <f t="shared" si="31"/>
        <v/>
      </c>
      <c r="N112" s="103"/>
      <c r="O112" s="102"/>
    </row>
    <row r="113" spans="2:15" hidden="1" outlineLevel="1" x14ac:dyDescent="0.2">
      <c r="B113" s="2">
        <f t="shared" si="22"/>
        <v>60</v>
      </c>
      <c r="D113" s="22">
        <f>IF(B113&lt;$D$24,(+'CALCULETTE (2)'!T692/'CALCULETTE (2)'!$B$612),0)</f>
        <v>0</v>
      </c>
      <c r="E113" s="22" t="str">
        <f t="shared" si="23"/>
        <v/>
      </c>
      <c r="F113" s="22" t="str">
        <f t="shared" si="24"/>
        <v/>
      </c>
      <c r="G113" s="22" t="str">
        <f t="shared" si="25"/>
        <v/>
      </c>
      <c r="H113" s="22" t="str">
        <f t="shared" si="26"/>
        <v/>
      </c>
      <c r="I113" s="22" t="str">
        <f t="shared" si="27"/>
        <v/>
      </c>
      <c r="J113" s="22" t="str">
        <f t="shared" si="28"/>
        <v/>
      </c>
      <c r="K113" s="22" t="str">
        <f t="shared" si="29"/>
        <v/>
      </c>
      <c r="L113" s="22" t="str">
        <f t="shared" si="30"/>
        <v/>
      </c>
      <c r="M113" s="22" t="str">
        <f t="shared" si="31"/>
        <v/>
      </c>
      <c r="N113" s="103"/>
      <c r="O113" s="102"/>
    </row>
    <row r="114" spans="2:15" hidden="1" outlineLevel="1" x14ac:dyDescent="0.2">
      <c r="B114" s="2">
        <f t="shared" si="22"/>
        <v>61</v>
      </c>
      <c r="D114" s="22">
        <f>IF(B114&lt;$D$24,(+'CALCULETTE (2)'!T693/'CALCULETTE (2)'!$B$612),0)</f>
        <v>0</v>
      </c>
      <c r="E114" s="22" t="str">
        <f t="shared" si="23"/>
        <v/>
      </c>
      <c r="F114" s="22" t="str">
        <f t="shared" si="24"/>
        <v/>
      </c>
      <c r="G114" s="22" t="str">
        <f t="shared" si="25"/>
        <v/>
      </c>
      <c r="H114" s="22" t="str">
        <f t="shared" si="26"/>
        <v/>
      </c>
      <c r="I114" s="22" t="str">
        <f t="shared" si="27"/>
        <v/>
      </c>
      <c r="J114" s="22" t="str">
        <f t="shared" si="28"/>
        <v/>
      </c>
      <c r="K114" s="22" t="str">
        <f t="shared" si="29"/>
        <v/>
      </c>
      <c r="L114" s="22" t="str">
        <f t="shared" si="30"/>
        <v/>
      </c>
      <c r="M114" s="22" t="str">
        <f t="shared" si="31"/>
        <v/>
      </c>
      <c r="N114" s="103"/>
      <c r="O114" s="102"/>
    </row>
    <row r="115" spans="2:15" hidden="1" outlineLevel="1" x14ac:dyDescent="0.2">
      <c r="B115" s="2">
        <f t="shared" si="22"/>
        <v>62</v>
      </c>
      <c r="D115" s="22">
        <f>IF(B115&lt;$D$24,(+'CALCULETTE (2)'!T694/'CALCULETTE (2)'!$B$612),0)</f>
        <v>0</v>
      </c>
      <c r="E115" s="22" t="str">
        <f t="shared" si="23"/>
        <v/>
      </c>
      <c r="F115" s="22" t="str">
        <f t="shared" si="24"/>
        <v/>
      </c>
      <c r="G115" s="22" t="str">
        <f t="shared" si="25"/>
        <v/>
      </c>
      <c r="H115" s="22" t="str">
        <f t="shared" si="26"/>
        <v/>
      </c>
      <c r="I115" s="22" t="str">
        <f t="shared" si="27"/>
        <v/>
      </c>
      <c r="J115" s="22" t="str">
        <f t="shared" si="28"/>
        <v/>
      </c>
      <c r="K115" s="22" t="str">
        <f t="shared" si="29"/>
        <v/>
      </c>
      <c r="L115" s="22" t="str">
        <f t="shared" si="30"/>
        <v/>
      </c>
      <c r="M115" s="22" t="str">
        <f t="shared" si="31"/>
        <v/>
      </c>
      <c r="N115" s="103"/>
      <c r="O115" s="102"/>
    </row>
    <row r="116" spans="2:15" hidden="1" outlineLevel="1" x14ac:dyDescent="0.2">
      <c r="B116" s="2">
        <f t="shared" si="22"/>
        <v>63</v>
      </c>
      <c r="D116" s="22">
        <f>IF(B116&lt;$D$24,(+'CALCULETTE (2)'!T695/'CALCULETTE (2)'!$B$612),0)</f>
        <v>0</v>
      </c>
      <c r="E116" s="22" t="str">
        <f t="shared" si="23"/>
        <v/>
      </c>
      <c r="F116" s="22" t="str">
        <f t="shared" si="24"/>
        <v/>
      </c>
      <c r="G116" s="22" t="str">
        <f t="shared" si="25"/>
        <v/>
      </c>
      <c r="H116" s="22" t="str">
        <f t="shared" si="26"/>
        <v/>
      </c>
      <c r="I116" s="22" t="str">
        <f t="shared" si="27"/>
        <v/>
      </c>
      <c r="J116" s="22" t="str">
        <f t="shared" si="28"/>
        <v/>
      </c>
      <c r="K116" s="22" t="str">
        <f t="shared" si="29"/>
        <v/>
      </c>
      <c r="L116" s="22" t="str">
        <f t="shared" si="30"/>
        <v/>
      </c>
      <c r="M116" s="22" t="str">
        <f t="shared" si="31"/>
        <v/>
      </c>
      <c r="N116" s="103"/>
      <c r="O116" s="102"/>
    </row>
    <row r="117" spans="2:15" hidden="1" outlineLevel="1" x14ac:dyDescent="0.2">
      <c r="B117" s="2">
        <f t="shared" si="22"/>
        <v>64</v>
      </c>
      <c r="D117" s="22">
        <f>IF(B117&lt;$D$24,(+'CALCULETTE (2)'!T696/'CALCULETTE (2)'!$B$612),0)</f>
        <v>0</v>
      </c>
      <c r="E117" s="22" t="str">
        <f t="shared" si="23"/>
        <v/>
      </c>
      <c r="F117" s="22" t="str">
        <f t="shared" si="24"/>
        <v/>
      </c>
      <c r="G117" s="22" t="str">
        <f t="shared" si="25"/>
        <v/>
      </c>
      <c r="H117" s="22" t="str">
        <f t="shared" si="26"/>
        <v/>
      </c>
      <c r="I117" s="22" t="str">
        <f t="shared" si="27"/>
        <v/>
      </c>
      <c r="J117" s="22" t="str">
        <f t="shared" si="28"/>
        <v/>
      </c>
      <c r="K117" s="22" t="str">
        <f t="shared" si="29"/>
        <v/>
      </c>
      <c r="L117" s="22" t="str">
        <f t="shared" si="30"/>
        <v/>
      </c>
      <c r="M117" s="22" t="str">
        <f t="shared" si="31"/>
        <v/>
      </c>
      <c r="N117" s="103"/>
      <c r="O117" s="102"/>
    </row>
    <row r="118" spans="2:15" hidden="1" outlineLevel="1" x14ac:dyDescent="0.2">
      <c r="B118" s="2">
        <f t="shared" ref="B118:B149" si="32">B117+1</f>
        <v>65</v>
      </c>
      <c r="D118" s="22">
        <f>IF(B118&lt;$D$24,(+'CALCULETTE (2)'!T697/'CALCULETTE (2)'!$B$612),0)</f>
        <v>0</v>
      </c>
      <c r="E118" s="22" t="str">
        <f t="shared" ref="E118:E149" si="33">IF(E$1=0,"",IF($B118&lt;E$23,E117+PPMT(E$25/12,$B118,E$23,E$53,-E$27,0),IF($B118=E$23,E117+PPMT(E$25/12,$B118,E$23,E$53,-E$27,0)-E$27,0)))</f>
        <v/>
      </c>
      <c r="F118" s="22" t="str">
        <f t="shared" ref="F118:F149" si="34">IF(F$1=0,"",IF($B118&lt;F$23,F117+PPMT(F$25/12,$B118,F$23,F$53,-F$27,0),IF($B118=F$23,F117+PPMT(F$25/12,$B118,F$23,F$53,-F$27,0)-F$27,0)))</f>
        <v/>
      </c>
      <c r="G118" s="22" t="str">
        <f t="shared" ref="G118:G149" si="35">IF(G$1=0,"",IF($B118&lt;G$23,G117+PPMT(G$25/12,$B118,G$23,G$53,-G$27,0),IF($B118=G$23,G117+PPMT(G$25/12,$B118,G$23,G$53,-G$27,0)-G$27,0)))</f>
        <v/>
      </c>
      <c r="H118" s="22" t="str">
        <f t="shared" ref="H118:H149" si="36">IF(H$1=0,"",IF($B118&lt;H$23,H117+PPMT(H$25/12,$B118,H$23,H$53,-H$27,0),IF($B118=H$23,H117+PPMT(H$25/12,$B118,H$23,H$53,-H$27,0)-H$27,0)))</f>
        <v/>
      </c>
      <c r="I118" s="22" t="str">
        <f t="shared" ref="I118:I149" si="37">IF(I$1=0,"",IF($B118&lt;I$23,I117+PPMT(I$25/12,$B118,I$23,I$53,-I$27,0),IF($B118=I$23,I117+PPMT(I$25/12,$B118,I$23,I$53,-I$27,0)-I$27,0)))</f>
        <v/>
      </c>
      <c r="J118" s="22" t="str">
        <f t="shared" ref="J118:J149" si="38">IF(J$1=0,"",IF($B118&lt;J$23,J117+PPMT(J$25/12,$B118,J$23,J$53,-J$27,0),IF($B118=J$23,J117+PPMT(J$25/12,$B118,J$23,J$53,-J$27,0)-J$27,0)))</f>
        <v/>
      </c>
      <c r="K118" s="22" t="str">
        <f t="shared" ref="K118:K149" si="39">IF(K$1=0,"",IF($B118&lt;K$23,K117+PPMT(K$25/12,$B118,K$23,K$53,-K$27,0),IF($B118=K$23,K117+PPMT(K$25/12,$B118,K$23,K$53,-K$27,0)-K$27,0)))</f>
        <v/>
      </c>
      <c r="L118" s="22" t="str">
        <f t="shared" ref="L118:L149" si="40">IF(L$1=0,"",IF($B118&lt;L$23,L117+PPMT(L$25/12,$B118,L$23,L$53,-L$27,0),IF($B118=L$23,L117+PPMT(L$25/12,$B118,L$23,L$53,-L$27,0)-L$27,0)))</f>
        <v/>
      </c>
      <c r="M118" s="22" t="str">
        <f t="shared" ref="M118:M149" si="41">IF(M$1=0,"",IF($B118&lt;M$23,M117+PPMT(M$25/12,$B118,M$23,M$53,-M$27,0),IF($B118=M$23,M117+PPMT(M$25/12,$B118,M$23,M$53,-M$27,0)-M$27,0)))</f>
        <v/>
      </c>
      <c r="N118" s="103"/>
      <c r="O118" s="102"/>
    </row>
    <row r="119" spans="2:15" hidden="1" outlineLevel="1" x14ac:dyDescent="0.2">
      <c r="B119" s="2">
        <f t="shared" si="32"/>
        <v>66</v>
      </c>
      <c r="D119" s="22">
        <f>IF(B119&lt;$D$24,(+'CALCULETTE (2)'!T698/'CALCULETTE (2)'!$B$612),0)</f>
        <v>0</v>
      </c>
      <c r="E119" s="22" t="str">
        <f t="shared" si="33"/>
        <v/>
      </c>
      <c r="F119" s="22" t="str">
        <f t="shared" si="34"/>
        <v/>
      </c>
      <c r="G119" s="22" t="str">
        <f t="shared" si="35"/>
        <v/>
      </c>
      <c r="H119" s="22" t="str">
        <f t="shared" si="36"/>
        <v/>
      </c>
      <c r="I119" s="22" t="str">
        <f t="shared" si="37"/>
        <v/>
      </c>
      <c r="J119" s="22" t="str">
        <f t="shared" si="38"/>
        <v/>
      </c>
      <c r="K119" s="22" t="str">
        <f t="shared" si="39"/>
        <v/>
      </c>
      <c r="L119" s="22" t="str">
        <f t="shared" si="40"/>
        <v/>
      </c>
      <c r="M119" s="22" t="str">
        <f t="shared" si="41"/>
        <v/>
      </c>
      <c r="N119" s="103"/>
      <c r="O119" s="102"/>
    </row>
    <row r="120" spans="2:15" hidden="1" outlineLevel="1" x14ac:dyDescent="0.2">
      <c r="B120" s="2">
        <f t="shared" si="32"/>
        <v>67</v>
      </c>
      <c r="D120" s="22">
        <f>IF(B120&lt;$D$24,(+'CALCULETTE (2)'!T699/'CALCULETTE (2)'!$B$612),0)</f>
        <v>0</v>
      </c>
      <c r="E120" s="22" t="str">
        <f t="shared" si="33"/>
        <v/>
      </c>
      <c r="F120" s="22" t="str">
        <f t="shared" si="34"/>
        <v/>
      </c>
      <c r="G120" s="22" t="str">
        <f t="shared" si="35"/>
        <v/>
      </c>
      <c r="H120" s="22" t="str">
        <f t="shared" si="36"/>
        <v/>
      </c>
      <c r="I120" s="22" t="str">
        <f t="shared" si="37"/>
        <v/>
      </c>
      <c r="J120" s="22" t="str">
        <f t="shared" si="38"/>
        <v/>
      </c>
      <c r="K120" s="22" t="str">
        <f t="shared" si="39"/>
        <v/>
      </c>
      <c r="L120" s="22" t="str">
        <f t="shared" si="40"/>
        <v/>
      </c>
      <c r="M120" s="22" t="str">
        <f t="shared" si="41"/>
        <v/>
      </c>
      <c r="N120" s="103"/>
      <c r="O120" s="102"/>
    </row>
    <row r="121" spans="2:15" hidden="1" outlineLevel="1" x14ac:dyDescent="0.2">
      <c r="B121" s="2">
        <f t="shared" si="32"/>
        <v>68</v>
      </c>
      <c r="D121" s="22">
        <f>IF(B121&lt;$D$24,(+'CALCULETTE (2)'!T700/'CALCULETTE (2)'!$B$612),0)</f>
        <v>0</v>
      </c>
      <c r="E121" s="22" t="str">
        <f t="shared" si="33"/>
        <v/>
      </c>
      <c r="F121" s="22" t="str">
        <f t="shared" si="34"/>
        <v/>
      </c>
      <c r="G121" s="22" t="str">
        <f t="shared" si="35"/>
        <v/>
      </c>
      <c r="H121" s="22" t="str">
        <f t="shared" si="36"/>
        <v/>
      </c>
      <c r="I121" s="22" t="str">
        <f t="shared" si="37"/>
        <v/>
      </c>
      <c r="J121" s="22" t="str">
        <f t="shared" si="38"/>
        <v/>
      </c>
      <c r="K121" s="22" t="str">
        <f t="shared" si="39"/>
        <v/>
      </c>
      <c r="L121" s="22" t="str">
        <f t="shared" si="40"/>
        <v/>
      </c>
      <c r="M121" s="22" t="str">
        <f t="shared" si="41"/>
        <v/>
      </c>
      <c r="N121" s="103"/>
      <c r="O121" s="102"/>
    </row>
    <row r="122" spans="2:15" hidden="1" outlineLevel="1" x14ac:dyDescent="0.2">
      <c r="B122" s="2">
        <f t="shared" si="32"/>
        <v>69</v>
      </c>
      <c r="D122" s="22">
        <f>IF(B122&lt;$D$24,(+'CALCULETTE (2)'!T701/'CALCULETTE (2)'!$B$612),0)</f>
        <v>0</v>
      </c>
      <c r="E122" s="22" t="str">
        <f t="shared" si="33"/>
        <v/>
      </c>
      <c r="F122" s="22" t="str">
        <f t="shared" si="34"/>
        <v/>
      </c>
      <c r="G122" s="22" t="str">
        <f t="shared" si="35"/>
        <v/>
      </c>
      <c r="H122" s="22" t="str">
        <f t="shared" si="36"/>
        <v/>
      </c>
      <c r="I122" s="22" t="str">
        <f t="shared" si="37"/>
        <v/>
      </c>
      <c r="J122" s="22" t="str">
        <f t="shared" si="38"/>
        <v/>
      </c>
      <c r="K122" s="22" t="str">
        <f t="shared" si="39"/>
        <v/>
      </c>
      <c r="L122" s="22" t="str">
        <f t="shared" si="40"/>
        <v/>
      </c>
      <c r="M122" s="22" t="str">
        <f t="shared" si="41"/>
        <v/>
      </c>
      <c r="N122" s="103"/>
      <c r="O122" s="102"/>
    </row>
    <row r="123" spans="2:15" hidden="1" outlineLevel="1" x14ac:dyDescent="0.2">
      <c r="B123" s="2">
        <f t="shared" si="32"/>
        <v>70</v>
      </c>
      <c r="D123" s="22">
        <f>IF(B123&lt;$D$24,(+'CALCULETTE (2)'!T702/'CALCULETTE (2)'!$B$612),0)</f>
        <v>0</v>
      </c>
      <c r="E123" s="22" t="str">
        <f t="shared" si="33"/>
        <v/>
      </c>
      <c r="F123" s="22" t="str">
        <f t="shared" si="34"/>
        <v/>
      </c>
      <c r="G123" s="22" t="str">
        <f t="shared" si="35"/>
        <v/>
      </c>
      <c r="H123" s="22" t="str">
        <f t="shared" si="36"/>
        <v/>
      </c>
      <c r="I123" s="22" t="str">
        <f t="shared" si="37"/>
        <v/>
      </c>
      <c r="J123" s="22" t="str">
        <f t="shared" si="38"/>
        <v/>
      </c>
      <c r="K123" s="22" t="str">
        <f t="shared" si="39"/>
        <v/>
      </c>
      <c r="L123" s="22" t="str">
        <f t="shared" si="40"/>
        <v/>
      </c>
      <c r="M123" s="22" t="str">
        <f t="shared" si="41"/>
        <v/>
      </c>
      <c r="N123" s="103"/>
      <c r="O123" s="102"/>
    </row>
    <row r="124" spans="2:15" hidden="1" outlineLevel="1" x14ac:dyDescent="0.2">
      <c r="B124" s="2">
        <f t="shared" si="32"/>
        <v>71</v>
      </c>
      <c r="D124" s="22">
        <f>IF(B124&lt;$D$24,(+'CALCULETTE (2)'!T703/'CALCULETTE (2)'!$B$612),0)</f>
        <v>0</v>
      </c>
      <c r="E124" s="22" t="str">
        <f t="shared" si="33"/>
        <v/>
      </c>
      <c r="F124" s="22" t="str">
        <f t="shared" si="34"/>
        <v/>
      </c>
      <c r="G124" s="22" t="str">
        <f t="shared" si="35"/>
        <v/>
      </c>
      <c r="H124" s="22" t="str">
        <f t="shared" si="36"/>
        <v/>
      </c>
      <c r="I124" s="22" t="str">
        <f t="shared" si="37"/>
        <v/>
      </c>
      <c r="J124" s="22" t="str">
        <f t="shared" si="38"/>
        <v/>
      </c>
      <c r="K124" s="22" t="str">
        <f t="shared" si="39"/>
        <v/>
      </c>
      <c r="L124" s="22" t="str">
        <f t="shared" si="40"/>
        <v/>
      </c>
      <c r="M124" s="22" t="str">
        <f t="shared" si="41"/>
        <v/>
      </c>
      <c r="N124" s="103"/>
      <c r="O124" s="102"/>
    </row>
    <row r="125" spans="2:15" hidden="1" outlineLevel="1" x14ac:dyDescent="0.2">
      <c r="B125" s="2">
        <f t="shared" si="32"/>
        <v>72</v>
      </c>
      <c r="D125" s="22">
        <f>IF(B125&lt;$D$24,(+'CALCULETTE (2)'!T704/'CALCULETTE (2)'!$B$612),0)</f>
        <v>0</v>
      </c>
      <c r="E125" s="22" t="str">
        <f t="shared" si="33"/>
        <v/>
      </c>
      <c r="F125" s="22" t="str">
        <f t="shared" si="34"/>
        <v/>
      </c>
      <c r="G125" s="22" t="str">
        <f t="shared" si="35"/>
        <v/>
      </c>
      <c r="H125" s="22" t="str">
        <f t="shared" si="36"/>
        <v/>
      </c>
      <c r="I125" s="22" t="str">
        <f t="shared" si="37"/>
        <v/>
      </c>
      <c r="J125" s="22" t="str">
        <f t="shared" si="38"/>
        <v/>
      </c>
      <c r="K125" s="22" t="str">
        <f t="shared" si="39"/>
        <v/>
      </c>
      <c r="L125" s="22" t="str">
        <f t="shared" si="40"/>
        <v/>
      </c>
      <c r="M125" s="22" t="str">
        <f t="shared" si="41"/>
        <v/>
      </c>
      <c r="N125" s="103"/>
      <c r="O125" s="102"/>
    </row>
    <row r="126" spans="2:15" hidden="1" outlineLevel="1" x14ac:dyDescent="0.2">
      <c r="B126" s="2">
        <f t="shared" si="32"/>
        <v>73</v>
      </c>
      <c r="D126" s="22">
        <f>IF(B126&lt;$D$24,(+'CALCULETTE (2)'!T705/'CALCULETTE (2)'!$B$612),0)</f>
        <v>0</v>
      </c>
      <c r="E126" s="22" t="str">
        <f t="shared" si="33"/>
        <v/>
      </c>
      <c r="F126" s="22" t="str">
        <f t="shared" si="34"/>
        <v/>
      </c>
      <c r="G126" s="22" t="str">
        <f t="shared" si="35"/>
        <v/>
      </c>
      <c r="H126" s="22" t="str">
        <f t="shared" si="36"/>
        <v/>
      </c>
      <c r="I126" s="22" t="str">
        <f t="shared" si="37"/>
        <v/>
      </c>
      <c r="J126" s="22" t="str">
        <f t="shared" si="38"/>
        <v/>
      </c>
      <c r="K126" s="22" t="str">
        <f t="shared" si="39"/>
        <v/>
      </c>
      <c r="L126" s="22" t="str">
        <f t="shared" si="40"/>
        <v/>
      </c>
      <c r="M126" s="22" t="str">
        <f t="shared" si="41"/>
        <v/>
      </c>
      <c r="N126" s="103"/>
      <c r="O126" s="102"/>
    </row>
    <row r="127" spans="2:15" hidden="1" outlineLevel="1" x14ac:dyDescent="0.2">
      <c r="B127" s="2">
        <f t="shared" si="32"/>
        <v>74</v>
      </c>
      <c r="D127" s="22">
        <f>IF(B127&lt;$D$24,(+'CALCULETTE (2)'!T706/'CALCULETTE (2)'!$B$612),0)</f>
        <v>0</v>
      </c>
      <c r="E127" s="22" t="str">
        <f t="shared" si="33"/>
        <v/>
      </c>
      <c r="F127" s="22" t="str">
        <f t="shared" si="34"/>
        <v/>
      </c>
      <c r="G127" s="22" t="str">
        <f t="shared" si="35"/>
        <v/>
      </c>
      <c r="H127" s="22" t="str">
        <f t="shared" si="36"/>
        <v/>
      </c>
      <c r="I127" s="22" t="str">
        <f t="shared" si="37"/>
        <v/>
      </c>
      <c r="J127" s="22" t="str">
        <f t="shared" si="38"/>
        <v/>
      </c>
      <c r="K127" s="22" t="str">
        <f t="shared" si="39"/>
        <v/>
      </c>
      <c r="L127" s="22" t="str">
        <f t="shared" si="40"/>
        <v/>
      </c>
      <c r="M127" s="22" t="str">
        <f t="shared" si="41"/>
        <v/>
      </c>
      <c r="N127" s="103"/>
      <c r="O127" s="102"/>
    </row>
    <row r="128" spans="2:15" hidden="1" outlineLevel="1" x14ac:dyDescent="0.2">
      <c r="B128" s="2">
        <f t="shared" si="32"/>
        <v>75</v>
      </c>
      <c r="D128" s="22">
        <f>IF(B128&lt;$D$24,(+'CALCULETTE (2)'!T707/'CALCULETTE (2)'!$B$612),0)</f>
        <v>0</v>
      </c>
      <c r="E128" s="22" t="str">
        <f t="shared" si="33"/>
        <v/>
      </c>
      <c r="F128" s="22" t="str">
        <f t="shared" si="34"/>
        <v/>
      </c>
      <c r="G128" s="22" t="str">
        <f t="shared" si="35"/>
        <v/>
      </c>
      <c r="H128" s="22" t="str">
        <f t="shared" si="36"/>
        <v/>
      </c>
      <c r="I128" s="22" t="str">
        <f t="shared" si="37"/>
        <v/>
      </c>
      <c r="J128" s="22" t="str">
        <f t="shared" si="38"/>
        <v/>
      </c>
      <c r="K128" s="22" t="str">
        <f t="shared" si="39"/>
        <v/>
      </c>
      <c r="L128" s="22" t="str">
        <f t="shared" si="40"/>
        <v/>
      </c>
      <c r="M128" s="22" t="str">
        <f t="shared" si="41"/>
        <v/>
      </c>
      <c r="N128" s="103"/>
      <c r="O128" s="102"/>
    </row>
    <row r="129" spans="2:15" hidden="1" outlineLevel="1" x14ac:dyDescent="0.2">
      <c r="B129" s="2">
        <f t="shared" si="32"/>
        <v>76</v>
      </c>
      <c r="D129" s="22">
        <f>IF(B129&lt;$D$24,(+'CALCULETTE (2)'!T708/'CALCULETTE (2)'!$B$612),0)</f>
        <v>0</v>
      </c>
      <c r="E129" s="22" t="str">
        <f t="shared" si="33"/>
        <v/>
      </c>
      <c r="F129" s="22" t="str">
        <f t="shared" si="34"/>
        <v/>
      </c>
      <c r="G129" s="22" t="str">
        <f t="shared" si="35"/>
        <v/>
      </c>
      <c r="H129" s="22" t="str">
        <f t="shared" si="36"/>
        <v/>
      </c>
      <c r="I129" s="22" t="str">
        <f t="shared" si="37"/>
        <v/>
      </c>
      <c r="J129" s="22" t="str">
        <f t="shared" si="38"/>
        <v/>
      </c>
      <c r="K129" s="22" t="str">
        <f t="shared" si="39"/>
        <v/>
      </c>
      <c r="L129" s="22" t="str">
        <f t="shared" si="40"/>
        <v/>
      </c>
      <c r="M129" s="22" t="str">
        <f t="shared" si="41"/>
        <v/>
      </c>
      <c r="N129" s="103"/>
      <c r="O129" s="102"/>
    </row>
    <row r="130" spans="2:15" hidden="1" outlineLevel="1" x14ac:dyDescent="0.2">
      <c r="B130" s="2">
        <f t="shared" si="32"/>
        <v>77</v>
      </c>
      <c r="D130" s="22">
        <f>IF(B130&lt;$D$24,(+'CALCULETTE (2)'!T709/'CALCULETTE (2)'!$B$612),0)</f>
        <v>0</v>
      </c>
      <c r="E130" s="22" t="str">
        <f t="shared" si="33"/>
        <v/>
      </c>
      <c r="F130" s="22" t="str">
        <f t="shared" si="34"/>
        <v/>
      </c>
      <c r="G130" s="22" t="str">
        <f t="shared" si="35"/>
        <v/>
      </c>
      <c r="H130" s="22" t="str">
        <f t="shared" si="36"/>
        <v/>
      </c>
      <c r="I130" s="22" t="str">
        <f t="shared" si="37"/>
        <v/>
      </c>
      <c r="J130" s="22" t="str">
        <f t="shared" si="38"/>
        <v/>
      </c>
      <c r="K130" s="22" t="str">
        <f t="shared" si="39"/>
        <v/>
      </c>
      <c r="L130" s="22" t="str">
        <f t="shared" si="40"/>
        <v/>
      </c>
      <c r="M130" s="22" t="str">
        <f t="shared" si="41"/>
        <v/>
      </c>
      <c r="N130" s="103"/>
      <c r="O130" s="102"/>
    </row>
    <row r="131" spans="2:15" hidden="1" outlineLevel="1" x14ac:dyDescent="0.2">
      <c r="B131" s="2">
        <f t="shared" si="32"/>
        <v>78</v>
      </c>
      <c r="D131" s="22">
        <f>IF(B131&lt;$D$24,(+'CALCULETTE (2)'!T710/'CALCULETTE (2)'!$B$612),0)</f>
        <v>0</v>
      </c>
      <c r="E131" s="22" t="str">
        <f t="shared" si="33"/>
        <v/>
      </c>
      <c r="F131" s="22" t="str">
        <f t="shared" si="34"/>
        <v/>
      </c>
      <c r="G131" s="22" t="str">
        <f t="shared" si="35"/>
        <v/>
      </c>
      <c r="H131" s="22" t="str">
        <f t="shared" si="36"/>
        <v/>
      </c>
      <c r="I131" s="22" t="str">
        <f t="shared" si="37"/>
        <v/>
      </c>
      <c r="J131" s="22" t="str">
        <f t="shared" si="38"/>
        <v/>
      </c>
      <c r="K131" s="22" t="str">
        <f t="shared" si="39"/>
        <v/>
      </c>
      <c r="L131" s="22" t="str">
        <f t="shared" si="40"/>
        <v/>
      </c>
      <c r="M131" s="22" t="str">
        <f t="shared" si="41"/>
        <v/>
      </c>
      <c r="N131" s="103"/>
      <c r="O131" s="102"/>
    </row>
    <row r="132" spans="2:15" hidden="1" outlineLevel="1" x14ac:dyDescent="0.2">
      <c r="B132" s="2">
        <f t="shared" si="32"/>
        <v>79</v>
      </c>
      <c r="D132" s="22">
        <f>IF(B132&lt;$D$24,(+'CALCULETTE (2)'!T711/'CALCULETTE (2)'!$B$612),0)</f>
        <v>0</v>
      </c>
      <c r="E132" s="22" t="str">
        <f t="shared" si="33"/>
        <v/>
      </c>
      <c r="F132" s="22" t="str">
        <f t="shared" si="34"/>
        <v/>
      </c>
      <c r="G132" s="22" t="str">
        <f t="shared" si="35"/>
        <v/>
      </c>
      <c r="H132" s="22" t="str">
        <f t="shared" si="36"/>
        <v/>
      </c>
      <c r="I132" s="22" t="str">
        <f t="shared" si="37"/>
        <v/>
      </c>
      <c r="J132" s="22" t="str">
        <f t="shared" si="38"/>
        <v/>
      </c>
      <c r="K132" s="22" t="str">
        <f t="shared" si="39"/>
        <v/>
      </c>
      <c r="L132" s="22" t="str">
        <f t="shared" si="40"/>
        <v/>
      </c>
      <c r="M132" s="22" t="str">
        <f t="shared" si="41"/>
        <v/>
      </c>
      <c r="N132" s="103"/>
      <c r="O132" s="102"/>
    </row>
    <row r="133" spans="2:15" hidden="1" outlineLevel="1" x14ac:dyDescent="0.2">
      <c r="B133" s="2">
        <f t="shared" si="32"/>
        <v>80</v>
      </c>
      <c r="D133" s="22">
        <f>IF(B133&lt;$D$24,(+'CALCULETTE (2)'!T712/'CALCULETTE (2)'!$B$612),0)</f>
        <v>0</v>
      </c>
      <c r="E133" s="22" t="str">
        <f t="shared" si="33"/>
        <v/>
      </c>
      <c r="F133" s="22" t="str">
        <f t="shared" si="34"/>
        <v/>
      </c>
      <c r="G133" s="22" t="str">
        <f t="shared" si="35"/>
        <v/>
      </c>
      <c r="H133" s="22" t="str">
        <f t="shared" si="36"/>
        <v/>
      </c>
      <c r="I133" s="22" t="str">
        <f t="shared" si="37"/>
        <v/>
      </c>
      <c r="J133" s="22" t="str">
        <f t="shared" si="38"/>
        <v/>
      </c>
      <c r="K133" s="22" t="str">
        <f t="shared" si="39"/>
        <v/>
      </c>
      <c r="L133" s="22" t="str">
        <f t="shared" si="40"/>
        <v/>
      </c>
      <c r="M133" s="22" t="str">
        <f t="shared" si="41"/>
        <v/>
      </c>
      <c r="N133" s="103"/>
      <c r="O133" s="102"/>
    </row>
    <row r="134" spans="2:15" hidden="1" outlineLevel="1" x14ac:dyDescent="0.2">
      <c r="B134" s="2">
        <f t="shared" si="32"/>
        <v>81</v>
      </c>
      <c r="D134" s="22">
        <f>IF(B134&lt;$D$24,(+'CALCULETTE (2)'!T713/'CALCULETTE (2)'!$B$612),0)</f>
        <v>0</v>
      </c>
      <c r="E134" s="22" t="str">
        <f t="shared" si="33"/>
        <v/>
      </c>
      <c r="F134" s="22" t="str">
        <f t="shared" si="34"/>
        <v/>
      </c>
      <c r="G134" s="22" t="str">
        <f t="shared" si="35"/>
        <v/>
      </c>
      <c r="H134" s="22" t="str">
        <f t="shared" si="36"/>
        <v/>
      </c>
      <c r="I134" s="22" t="str">
        <f t="shared" si="37"/>
        <v/>
      </c>
      <c r="J134" s="22" t="str">
        <f t="shared" si="38"/>
        <v/>
      </c>
      <c r="K134" s="22" t="str">
        <f t="shared" si="39"/>
        <v/>
      </c>
      <c r="L134" s="22" t="str">
        <f t="shared" si="40"/>
        <v/>
      </c>
      <c r="M134" s="22" t="str">
        <f t="shared" si="41"/>
        <v/>
      </c>
      <c r="N134" s="103"/>
      <c r="O134" s="102"/>
    </row>
    <row r="135" spans="2:15" hidden="1" outlineLevel="1" x14ac:dyDescent="0.2">
      <c r="B135" s="2">
        <f t="shared" si="32"/>
        <v>82</v>
      </c>
      <c r="D135" s="22">
        <f>IF(B135&lt;$D$24,(+'CALCULETTE (2)'!T714/'CALCULETTE (2)'!$B$612),0)</f>
        <v>0</v>
      </c>
      <c r="E135" s="22" t="str">
        <f t="shared" si="33"/>
        <v/>
      </c>
      <c r="F135" s="22" t="str">
        <f t="shared" si="34"/>
        <v/>
      </c>
      <c r="G135" s="22" t="str">
        <f t="shared" si="35"/>
        <v/>
      </c>
      <c r="H135" s="22" t="str">
        <f t="shared" si="36"/>
        <v/>
      </c>
      <c r="I135" s="22" t="str">
        <f t="shared" si="37"/>
        <v/>
      </c>
      <c r="J135" s="22" t="str">
        <f t="shared" si="38"/>
        <v/>
      </c>
      <c r="K135" s="22" t="str">
        <f t="shared" si="39"/>
        <v/>
      </c>
      <c r="L135" s="22" t="str">
        <f t="shared" si="40"/>
        <v/>
      </c>
      <c r="M135" s="22" t="str">
        <f t="shared" si="41"/>
        <v/>
      </c>
      <c r="N135" s="103"/>
      <c r="O135" s="102"/>
    </row>
    <row r="136" spans="2:15" hidden="1" outlineLevel="1" x14ac:dyDescent="0.2">
      <c r="B136" s="2">
        <f t="shared" si="32"/>
        <v>83</v>
      </c>
      <c r="D136" s="22">
        <f>IF(B136&lt;$D$24,(+'CALCULETTE (2)'!T715/'CALCULETTE (2)'!$B$612),0)</f>
        <v>0</v>
      </c>
      <c r="E136" s="22" t="str">
        <f t="shared" si="33"/>
        <v/>
      </c>
      <c r="F136" s="22" t="str">
        <f t="shared" si="34"/>
        <v/>
      </c>
      <c r="G136" s="22" t="str">
        <f t="shared" si="35"/>
        <v/>
      </c>
      <c r="H136" s="22" t="str">
        <f t="shared" si="36"/>
        <v/>
      </c>
      <c r="I136" s="22" t="str">
        <f t="shared" si="37"/>
        <v/>
      </c>
      <c r="J136" s="22" t="str">
        <f t="shared" si="38"/>
        <v/>
      </c>
      <c r="K136" s="22" t="str">
        <f t="shared" si="39"/>
        <v/>
      </c>
      <c r="L136" s="22" t="str">
        <f t="shared" si="40"/>
        <v/>
      </c>
      <c r="M136" s="22" t="str">
        <f t="shared" si="41"/>
        <v/>
      </c>
      <c r="N136" s="103"/>
      <c r="O136" s="102"/>
    </row>
    <row r="137" spans="2:15" hidden="1" outlineLevel="1" x14ac:dyDescent="0.2">
      <c r="B137" s="2">
        <f t="shared" si="32"/>
        <v>84</v>
      </c>
      <c r="D137" s="22">
        <f>IF(B137&lt;$D$24,(+'CALCULETTE (2)'!T716/'CALCULETTE (2)'!$B$612),0)</f>
        <v>0</v>
      </c>
      <c r="E137" s="22" t="str">
        <f t="shared" si="33"/>
        <v/>
      </c>
      <c r="F137" s="22" t="str">
        <f t="shared" si="34"/>
        <v/>
      </c>
      <c r="G137" s="22" t="str">
        <f t="shared" si="35"/>
        <v/>
      </c>
      <c r="H137" s="22" t="str">
        <f t="shared" si="36"/>
        <v/>
      </c>
      <c r="I137" s="22" t="str">
        <f t="shared" si="37"/>
        <v/>
      </c>
      <c r="J137" s="22" t="str">
        <f t="shared" si="38"/>
        <v/>
      </c>
      <c r="K137" s="22" t="str">
        <f t="shared" si="39"/>
        <v/>
      </c>
      <c r="L137" s="22" t="str">
        <f t="shared" si="40"/>
        <v/>
      </c>
      <c r="M137" s="22" t="str">
        <f t="shared" si="41"/>
        <v/>
      </c>
      <c r="N137" s="103"/>
      <c r="O137" s="102"/>
    </row>
    <row r="138" spans="2:15" hidden="1" outlineLevel="1" x14ac:dyDescent="0.2">
      <c r="B138" s="2">
        <f t="shared" si="32"/>
        <v>85</v>
      </c>
      <c r="D138" s="22">
        <f>IF(B138&lt;$D$24,(+'CALCULETTE (2)'!T717/'CALCULETTE (2)'!$B$612),0)</f>
        <v>0</v>
      </c>
      <c r="E138" s="22" t="str">
        <f t="shared" si="33"/>
        <v/>
      </c>
      <c r="F138" s="22" t="str">
        <f t="shared" si="34"/>
        <v/>
      </c>
      <c r="G138" s="22" t="str">
        <f t="shared" si="35"/>
        <v/>
      </c>
      <c r="H138" s="22" t="str">
        <f t="shared" si="36"/>
        <v/>
      </c>
      <c r="I138" s="22" t="str">
        <f t="shared" si="37"/>
        <v/>
      </c>
      <c r="J138" s="22" t="str">
        <f t="shared" si="38"/>
        <v/>
      </c>
      <c r="K138" s="22" t="str">
        <f t="shared" si="39"/>
        <v/>
      </c>
      <c r="L138" s="22" t="str">
        <f t="shared" si="40"/>
        <v/>
      </c>
      <c r="M138" s="22" t="str">
        <f t="shared" si="41"/>
        <v/>
      </c>
      <c r="N138" s="103"/>
      <c r="O138" s="102"/>
    </row>
    <row r="139" spans="2:15" hidden="1" outlineLevel="1" x14ac:dyDescent="0.2">
      <c r="B139" s="2">
        <f t="shared" si="32"/>
        <v>86</v>
      </c>
      <c r="D139" s="22">
        <f>IF(B139&lt;$D$24,(+'CALCULETTE (2)'!T718/'CALCULETTE (2)'!$B$612),0)</f>
        <v>0</v>
      </c>
      <c r="E139" s="22" t="str">
        <f t="shared" si="33"/>
        <v/>
      </c>
      <c r="F139" s="22" t="str">
        <f t="shared" si="34"/>
        <v/>
      </c>
      <c r="G139" s="22" t="str">
        <f t="shared" si="35"/>
        <v/>
      </c>
      <c r="H139" s="22" t="str">
        <f t="shared" si="36"/>
        <v/>
      </c>
      <c r="I139" s="22" t="str">
        <f t="shared" si="37"/>
        <v/>
      </c>
      <c r="J139" s="22" t="str">
        <f t="shared" si="38"/>
        <v/>
      </c>
      <c r="K139" s="22" t="str">
        <f t="shared" si="39"/>
        <v/>
      </c>
      <c r="L139" s="22" t="str">
        <f t="shared" si="40"/>
        <v/>
      </c>
      <c r="M139" s="22" t="str">
        <f t="shared" si="41"/>
        <v/>
      </c>
      <c r="N139" s="103"/>
      <c r="O139" s="102"/>
    </row>
    <row r="140" spans="2:15" hidden="1" outlineLevel="1" x14ac:dyDescent="0.2">
      <c r="B140" s="2">
        <f t="shared" si="32"/>
        <v>87</v>
      </c>
      <c r="D140" s="22">
        <f>IF(B140&lt;$D$24,(+'CALCULETTE (2)'!T719/'CALCULETTE (2)'!$B$612),0)</f>
        <v>0</v>
      </c>
      <c r="E140" s="22" t="str">
        <f t="shared" si="33"/>
        <v/>
      </c>
      <c r="F140" s="22" t="str">
        <f t="shared" si="34"/>
        <v/>
      </c>
      <c r="G140" s="22" t="str">
        <f t="shared" si="35"/>
        <v/>
      </c>
      <c r="H140" s="22" t="str">
        <f t="shared" si="36"/>
        <v/>
      </c>
      <c r="I140" s="22" t="str">
        <f t="shared" si="37"/>
        <v/>
      </c>
      <c r="J140" s="22" t="str">
        <f t="shared" si="38"/>
        <v/>
      </c>
      <c r="K140" s="22" t="str">
        <f t="shared" si="39"/>
        <v/>
      </c>
      <c r="L140" s="22" t="str">
        <f t="shared" si="40"/>
        <v/>
      </c>
      <c r="M140" s="22" t="str">
        <f t="shared" si="41"/>
        <v/>
      </c>
      <c r="N140" s="103"/>
      <c r="O140" s="102"/>
    </row>
    <row r="141" spans="2:15" hidden="1" outlineLevel="1" x14ac:dyDescent="0.2">
      <c r="B141" s="2">
        <f t="shared" si="32"/>
        <v>88</v>
      </c>
      <c r="D141" s="22">
        <f>IF(B141&lt;$D$24,(+'CALCULETTE (2)'!T720/'CALCULETTE (2)'!$B$612),0)</f>
        <v>0</v>
      </c>
      <c r="E141" s="22" t="str">
        <f t="shared" si="33"/>
        <v/>
      </c>
      <c r="F141" s="22" t="str">
        <f t="shared" si="34"/>
        <v/>
      </c>
      <c r="G141" s="22" t="str">
        <f t="shared" si="35"/>
        <v/>
      </c>
      <c r="H141" s="22" t="str">
        <f t="shared" si="36"/>
        <v/>
      </c>
      <c r="I141" s="22" t="str">
        <f t="shared" si="37"/>
        <v/>
      </c>
      <c r="J141" s="22" t="str">
        <f t="shared" si="38"/>
        <v/>
      </c>
      <c r="K141" s="22" t="str">
        <f t="shared" si="39"/>
        <v/>
      </c>
      <c r="L141" s="22" t="str">
        <f t="shared" si="40"/>
        <v/>
      </c>
      <c r="M141" s="22" t="str">
        <f t="shared" si="41"/>
        <v/>
      </c>
      <c r="N141" s="103"/>
      <c r="O141" s="102"/>
    </row>
    <row r="142" spans="2:15" hidden="1" outlineLevel="1" x14ac:dyDescent="0.2">
      <c r="B142" s="2">
        <f t="shared" si="32"/>
        <v>89</v>
      </c>
      <c r="D142" s="22">
        <f>IF(B142&lt;$D$24,(+'CALCULETTE (2)'!T721/'CALCULETTE (2)'!$B$612),0)</f>
        <v>0</v>
      </c>
      <c r="E142" s="22" t="str">
        <f t="shared" si="33"/>
        <v/>
      </c>
      <c r="F142" s="22" t="str">
        <f t="shared" si="34"/>
        <v/>
      </c>
      <c r="G142" s="22" t="str">
        <f t="shared" si="35"/>
        <v/>
      </c>
      <c r="H142" s="22" t="str">
        <f t="shared" si="36"/>
        <v/>
      </c>
      <c r="I142" s="22" t="str">
        <f t="shared" si="37"/>
        <v/>
      </c>
      <c r="J142" s="22" t="str">
        <f t="shared" si="38"/>
        <v/>
      </c>
      <c r="K142" s="22" t="str">
        <f t="shared" si="39"/>
        <v/>
      </c>
      <c r="L142" s="22" t="str">
        <f t="shared" si="40"/>
        <v/>
      </c>
      <c r="M142" s="22" t="str">
        <f t="shared" si="41"/>
        <v/>
      </c>
      <c r="N142" s="103"/>
      <c r="O142" s="102"/>
    </row>
    <row r="143" spans="2:15" hidden="1" outlineLevel="1" x14ac:dyDescent="0.2">
      <c r="B143" s="2">
        <f t="shared" si="32"/>
        <v>90</v>
      </c>
      <c r="D143" s="22">
        <f>IF(B143&lt;$D$24,(+'CALCULETTE (2)'!T722/'CALCULETTE (2)'!$B$612),0)</f>
        <v>0</v>
      </c>
      <c r="E143" s="22" t="str">
        <f t="shared" si="33"/>
        <v/>
      </c>
      <c r="F143" s="22" t="str">
        <f t="shared" si="34"/>
        <v/>
      </c>
      <c r="G143" s="22" t="str">
        <f t="shared" si="35"/>
        <v/>
      </c>
      <c r="H143" s="22" t="str">
        <f t="shared" si="36"/>
        <v/>
      </c>
      <c r="I143" s="22" t="str">
        <f t="shared" si="37"/>
        <v/>
      </c>
      <c r="J143" s="22" t="str">
        <f t="shared" si="38"/>
        <v/>
      </c>
      <c r="K143" s="22" t="str">
        <f t="shared" si="39"/>
        <v/>
      </c>
      <c r="L143" s="22" t="str">
        <f t="shared" si="40"/>
        <v/>
      </c>
      <c r="M143" s="22" t="str">
        <f t="shared" si="41"/>
        <v/>
      </c>
      <c r="N143" s="103"/>
      <c r="O143" s="102"/>
    </row>
    <row r="144" spans="2:15" hidden="1" outlineLevel="1" x14ac:dyDescent="0.2">
      <c r="B144" s="2">
        <f t="shared" si="32"/>
        <v>91</v>
      </c>
      <c r="D144" s="22">
        <f>IF(B144&lt;$D$24,(+'CALCULETTE (2)'!T723/'CALCULETTE (2)'!$B$612),0)</f>
        <v>0</v>
      </c>
      <c r="E144" s="22" t="str">
        <f t="shared" si="33"/>
        <v/>
      </c>
      <c r="F144" s="22" t="str">
        <f t="shared" si="34"/>
        <v/>
      </c>
      <c r="G144" s="22" t="str">
        <f t="shared" si="35"/>
        <v/>
      </c>
      <c r="H144" s="22" t="str">
        <f t="shared" si="36"/>
        <v/>
      </c>
      <c r="I144" s="22" t="str">
        <f t="shared" si="37"/>
        <v/>
      </c>
      <c r="J144" s="22" t="str">
        <f t="shared" si="38"/>
        <v/>
      </c>
      <c r="K144" s="22" t="str">
        <f t="shared" si="39"/>
        <v/>
      </c>
      <c r="L144" s="22" t="str">
        <f t="shared" si="40"/>
        <v/>
      </c>
      <c r="M144" s="22" t="str">
        <f t="shared" si="41"/>
        <v/>
      </c>
      <c r="N144" s="103"/>
      <c r="O144" s="102"/>
    </row>
    <row r="145" spans="2:15" hidden="1" outlineLevel="1" x14ac:dyDescent="0.2">
      <c r="B145" s="2">
        <f t="shared" si="32"/>
        <v>92</v>
      </c>
      <c r="D145" s="22">
        <f>IF(B145&lt;$D$24,(+'CALCULETTE (2)'!T724/'CALCULETTE (2)'!$B$612),0)</f>
        <v>0</v>
      </c>
      <c r="E145" s="22" t="str">
        <f t="shared" si="33"/>
        <v/>
      </c>
      <c r="F145" s="22" t="str">
        <f t="shared" si="34"/>
        <v/>
      </c>
      <c r="G145" s="22" t="str">
        <f t="shared" si="35"/>
        <v/>
      </c>
      <c r="H145" s="22" t="str">
        <f t="shared" si="36"/>
        <v/>
      </c>
      <c r="I145" s="22" t="str">
        <f t="shared" si="37"/>
        <v/>
      </c>
      <c r="J145" s="22" t="str">
        <f t="shared" si="38"/>
        <v/>
      </c>
      <c r="K145" s="22" t="str">
        <f t="shared" si="39"/>
        <v/>
      </c>
      <c r="L145" s="22" t="str">
        <f t="shared" si="40"/>
        <v/>
      </c>
      <c r="M145" s="22" t="str">
        <f t="shared" si="41"/>
        <v/>
      </c>
      <c r="N145" s="103"/>
      <c r="O145" s="102"/>
    </row>
    <row r="146" spans="2:15" hidden="1" outlineLevel="1" x14ac:dyDescent="0.2">
      <c r="B146" s="2">
        <f t="shared" si="32"/>
        <v>93</v>
      </c>
      <c r="D146" s="22">
        <f>IF(B146&lt;$D$24,(+'CALCULETTE (2)'!T725/'CALCULETTE (2)'!$B$612),0)</f>
        <v>0</v>
      </c>
      <c r="E146" s="22" t="str">
        <f t="shared" si="33"/>
        <v/>
      </c>
      <c r="F146" s="22" t="str">
        <f t="shared" si="34"/>
        <v/>
      </c>
      <c r="G146" s="22" t="str">
        <f t="shared" si="35"/>
        <v/>
      </c>
      <c r="H146" s="22" t="str">
        <f t="shared" si="36"/>
        <v/>
      </c>
      <c r="I146" s="22" t="str">
        <f t="shared" si="37"/>
        <v/>
      </c>
      <c r="J146" s="22" t="str">
        <f t="shared" si="38"/>
        <v/>
      </c>
      <c r="K146" s="22" t="str">
        <f t="shared" si="39"/>
        <v/>
      </c>
      <c r="L146" s="22" t="str">
        <f t="shared" si="40"/>
        <v/>
      </c>
      <c r="M146" s="22" t="str">
        <f t="shared" si="41"/>
        <v/>
      </c>
      <c r="N146" s="103"/>
      <c r="O146" s="102"/>
    </row>
    <row r="147" spans="2:15" hidden="1" outlineLevel="1" x14ac:dyDescent="0.2">
      <c r="B147" s="2">
        <f t="shared" si="32"/>
        <v>94</v>
      </c>
      <c r="D147" s="22">
        <f>IF(B147&lt;$D$24,(+'CALCULETTE (2)'!T726/'CALCULETTE (2)'!$B$612),0)</f>
        <v>0</v>
      </c>
      <c r="E147" s="22" t="str">
        <f t="shared" si="33"/>
        <v/>
      </c>
      <c r="F147" s="22" t="str">
        <f t="shared" si="34"/>
        <v/>
      </c>
      <c r="G147" s="22" t="str">
        <f t="shared" si="35"/>
        <v/>
      </c>
      <c r="H147" s="22" t="str">
        <f t="shared" si="36"/>
        <v/>
      </c>
      <c r="I147" s="22" t="str">
        <f t="shared" si="37"/>
        <v/>
      </c>
      <c r="J147" s="22" t="str">
        <f t="shared" si="38"/>
        <v/>
      </c>
      <c r="K147" s="22" t="str">
        <f t="shared" si="39"/>
        <v/>
      </c>
      <c r="L147" s="22" t="str">
        <f t="shared" si="40"/>
        <v/>
      </c>
      <c r="M147" s="22" t="str">
        <f t="shared" si="41"/>
        <v/>
      </c>
      <c r="N147" s="103"/>
      <c r="O147" s="102"/>
    </row>
    <row r="148" spans="2:15" hidden="1" outlineLevel="1" x14ac:dyDescent="0.2">
      <c r="B148" s="2">
        <f t="shared" si="32"/>
        <v>95</v>
      </c>
      <c r="D148" s="22">
        <f>IF(B148&lt;$D$24,(+'CALCULETTE (2)'!T727/'CALCULETTE (2)'!$B$612),0)</f>
        <v>0</v>
      </c>
      <c r="E148" s="22" t="str">
        <f t="shared" si="33"/>
        <v/>
      </c>
      <c r="F148" s="22" t="str">
        <f t="shared" si="34"/>
        <v/>
      </c>
      <c r="G148" s="22" t="str">
        <f t="shared" si="35"/>
        <v/>
      </c>
      <c r="H148" s="22" t="str">
        <f t="shared" si="36"/>
        <v/>
      </c>
      <c r="I148" s="22" t="str">
        <f t="shared" si="37"/>
        <v/>
      </c>
      <c r="J148" s="22" t="str">
        <f t="shared" si="38"/>
        <v/>
      </c>
      <c r="K148" s="22" t="str">
        <f t="shared" si="39"/>
        <v/>
      </c>
      <c r="L148" s="22" t="str">
        <f t="shared" si="40"/>
        <v/>
      </c>
      <c r="M148" s="22" t="str">
        <f t="shared" si="41"/>
        <v/>
      </c>
      <c r="N148" s="103"/>
      <c r="O148" s="102"/>
    </row>
    <row r="149" spans="2:15" hidden="1" outlineLevel="1" x14ac:dyDescent="0.2">
      <c r="B149" s="2">
        <f t="shared" si="32"/>
        <v>96</v>
      </c>
      <c r="D149" s="22">
        <f>IF(B149&lt;$D$24,(+'CALCULETTE (2)'!T728/'CALCULETTE (2)'!$B$612),0)</f>
        <v>0</v>
      </c>
      <c r="E149" s="22" t="str">
        <f t="shared" si="33"/>
        <v/>
      </c>
      <c r="F149" s="22" t="str">
        <f t="shared" si="34"/>
        <v/>
      </c>
      <c r="G149" s="22" t="str">
        <f t="shared" si="35"/>
        <v/>
      </c>
      <c r="H149" s="22" t="str">
        <f t="shared" si="36"/>
        <v/>
      </c>
      <c r="I149" s="22" t="str">
        <f t="shared" si="37"/>
        <v/>
      </c>
      <c r="J149" s="22" t="str">
        <f t="shared" si="38"/>
        <v/>
      </c>
      <c r="K149" s="22" t="str">
        <f t="shared" si="39"/>
        <v/>
      </c>
      <c r="L149" s="22" t="str">
        <f t="shared" si="40"/>
        <v/>
      </c>
      <c r="M149" s="22" t="str">
        <f t="shared" si="41"/>
        <v/>
      </c>
      <c r="N149" s="103"/>
      <c r="O149" s="102"/>
    </row>
    <row r="150" spans="2:15" hidden="1" outlineLevel="1" x14ac:dyDescent="0.2">
      <c r="B150" s="2">
        <f t="shared" ref="B150:B181" si="42">B149+1</f>
        <v>97</v>
      </c>
      <c r="D150" s="22">
        <f>IF(B150&lt;$D$24,(+'CALCULETTE (2)'!T729/'CALCULETTE (2)'!$B$612),0)</f>
        <v>0</v>
      </c>
      <c r="E150" s="22" t="str">
        <f t="shared" ref="E150:E181" si="43">IF(E$1=0,"",IF($B150&lt;E$23,E149+PPMT(E$25/12,$B150,E$23,E$53,-E$27,0),IF($B150=E$23,E149+PPMT(E$25/12,$B150,E$23,E$53,-E$27,0)-E$27,0)))</f>
        <v/>
      </c>
      <c r="F150" s="22" t="str">
        <f t="shared" ref="F150:F181" si="44">IF(F$1=0,"",IF($B150&lt;F$23,F149+PPMT(F$25/12,$B150,F$23,F$53,-F$27,0),IF($B150=F$23,F149+PPMT(F$25/12,$B150,F$23,F$53,-F$27,0)-F$27,0)))</f>
        <v/>
      </c>
      <c r="G150" s="22" t="str">
        <f t="shared" ref="G150:G181" si="45">IF(G$1=0,"",IF($B150&lt;G$23,G149+PPMT(G$25/12,$B150,G$23,G$53,-G$27,0),IF($B150=G$23,G149+PPMT(G$25/12,$B150,G$23,G$53,-G$27,0)-G$27,0)))</f>
        <v/>
      </c>
      <c r="H150" s="22" t="str">
        <f t="shared" ref="H150:H181" si="46">IF(H$1=0,"",IF($B150&lt;H$23,H149+PPMT(H$25/12,$B150,H$23,H$53,-H$27,0),IF($B150=H$23,H149+PPMT(H$25/12,$B150,H$23,H$53,-H$27,0)-H$27,0)))</f>
        <v/>
      </c>
      <c r="I150" s="22" t="str">
        <f t="shared" ref="I150:I181" si="47">IF(I$1=0,"",IF($B150&lt;I$23,I149+PPMT(I$25/12,$B150,I$23,I$53,-I$27,0),IF($B150=I$23,I149+PPMT(I$25/12,$B150,I$23,I$53,-I$27,0)-I$27,0)))</f>
        <v/>
      </c>
      <c r="J150" s="22" t="str">
        <f t="shared" ref="J150:J181" si="48">IF(J$1=0,"",IF($B150&lt;J$23,J149+PPMT(J$25/12,$B150,J$23,J$53,-J$27,0),IF($B150=J$23,J149+PPMT(J$25/12,$B150,J$23,J$53,-J$27,0)-J$27,0)))</f>
        <v/>
      </c>
      <c r="K150" s="22" t="str">
        <f t="shared" ref="K150:K181" si="49">IF(K$1=0,"",IF($B150&lt;K$23,K149+PPMT(K$25/12,$B150,K$23,K$53,-K$27,0),IF($B150=K$23,K149+PPMT(K$25/12,$B150,K$23,K$53,-K$27,0)-K$27,0)))</f>
        <v/>
      </c>
      <c r="L150" s="22" t="str">
        <f t="shared" ref="L150:L181" si="50">IF(L$1=0,"",IF($B150&lt;L$23,L149+PPMT(L$25/12,$B150,L$23,L$53,-L$27,0),IF($B150=L$23,L149+PPMT(L$25/12,$B150,L$23,L$53,-L$27,0)-L$27,0)))</f>
        <v/>
      </c>
      <c r="M150" s="22" t="str">
        <f t="shared" ref="M150:M181" si="51">IF(M$1=0,"",IF($B150&lt;M$23,M149+PPMT(M$25/12,$B150,M$23,M$53,-M$27,0),IF($B150=M$23,M149+PPMT(M$25/12,$B150,M$23,M$53,-M$27,0)-M$27,0)))</f>
        <v/>
      </c>
      <c r="N150" s="103"/>
      <c r="O150" s="102"/>
    </row>
    <row r="151" spans="2:15" hidden="1" outlineLevel="1" x14ac:dyDescent="0.2">
      <c r="B151" s="2">
        <f t="shared" si="42"/>
        <v>98</v>
      </c>
      <c r="D151" s="22">
        <f>IF(B151&lt;$D$24,(+'CALCULETTE (2)'!T730/'CALCULETTE (2)'!$B$612),0)</f>
        <v>0</v>
      </c>
      <c r="E151" s="22" t="str">
        <f t="shared" si="43"/>
        <v/>
      </c>
      <c r="F151" s="22" t="str">
        <f t="shared" si="44"/>
        <v/>
      </c>
      <c r="G151" s="22" t="str">
        <f t="shared" si="45"/>
        <v/>
      </c>
      <c r="H151" s="22" t="str">
        <f t="shared" si="46"/>
        <v/>
      </c>
      <c r="I151" s="22" t="str">
        <f t="shared" si="47"/>
        <v/>
      </c>
      <c r="J151" s="22" t="str">
        <f t="shared" si="48"/>
        <v/>
      </c>
      <c r="K151" s="22" t="str">
        <f t="shared" si="49"/>
        <v/>
      </c>
      <c r="L151" s="22" t="str">
        <f t="shared" si="50"/>
        <v/>
      </c>
      <c r="M151" s="22" t="str">
        <f t="shared" si="51"/>
        <v/>
      </c>
      <c r="N151" s="103"/>
      <c r="O151" s="102"/>
    </row>
    <row r="152" spans="2:15" hidden="1" outlineLevel="1" x14ac:dyDescent="0.2">
      <c r="B152" s="2">
        <f t="shared" si="42"/>
        <v>99</v>
      </c>
      <c r="D152" s="22">
        <f>IF(B152&lt;$D$24,(+'CALCULETTE (2)'!T731/'CALCULETTE (2)'!$B$612),0)</f>
        <v>0</v>
      </c>
      <c r="E152" s="22" t="str">
        <f t="shared" si="43"/>
        <v/>
      </c>
      <c r="F152" s="22" t="str">
        <f t="shared" si="44"/>
        <v/>
      </c>
      <c r="G152" s="22" t="str">
        <f t="shared" si="45"/>
        <v/>
      </c>
      <c r="H152" s="22" t="str">
        <f t="shared" si="46"/>
        <v/>
      </c>
      <c r="I152" s="22" t="str">
        <f t="shared" si="47"/>
        <v/>
      </c>
      <c r="J152" s="22" t="str">
        <f t="shared" si="48"/>
        <v/>
      </c>
      <c r="K152" s="22" t="str">
        <f t="shared" si="49"/>
        <v/>
      </c>
      <c r="L152" s="22" t="str">
        <f t="shared" si="50"/>
        <v/>
      </c>
      <c r="M152" s="22" t="str">
        <f t="shared" si="51"/>
        <v/>
      </c>
      <c r="N152" s="103"/>
      <c r="O152" s="102"/>
    </row>
    <row r="153" spans="2:15" hidden="1" outlineLevel="1" x14ac:dyDescent="0.2">
      <c r="B153" s="2">
        <f t="shared" si="42"/>
        <v>100</v>
      </c>
      <c r="D153" s="22">
        <f>IF(B153&lt;$D$24,(+'CALCULETTE (2)'!T732/'CALCULETTE (2)'!$B$612),0)</f>
        <v>0</v>
      </c>
      <c r="E153" s="22" t="str">
        <f t="shared" si="43"/>
        <v/>
      </c>
      <c r="F153" s="22" t="str">
        <f t="shared" si="44"/>
        <v/>
      </c>
      <c r="G153" s="22" t="str">
        <f t="shared" si="45"/>
        <v/>
      </c>
      <c r="H153" s="22" t="str">
        <f t="shared" si="46"/>
        <v/>
      </c>
      <c r="I153" s="22" t="str">
        <f t="shared" si="47"/>
        <v/>
      </c>
      <c r="J153" s="22" t="str">
        <f t="shared" si="48"/>
        <v/>
      </c>
      <c r="K153" s="22" t="str">
        <f t="shared" si="49"/>
        <v/>
      </c>
      <c r="L153" s="22" t="str">
        <f t="shared" si="50"/>
        <v/>
      </c>
      <c r="M153" s="22" t="str">
        <f t="shared" si="51"/>
        <v/>
      </c>
      <c r="N153" s="103"/>
      <c r="O153" s="102"/>
    </row>
    <row r="154" spans="2:15" hidden="1" outlineLevel="1" x14ac:dyDescent="0.2">
      <c r="B154" s="2">
        <f t="shared" si="42"/>
        <v>101</v>
      </c>
      <c r="D154" s="22">
        <f>IF(B154&lt;$D$24,(+'CALCULETTE (2)'!T733/'CALCULETTE (2)'!$B$612),0)</f>
        <v>0</v>
      </c>
      <c r="E154" s="22" t="str">
        <f t="shared" si="43"/>
        <v/>
      </c>
      <c r="F154" s="22" t="str">
        <f t="shared" si="44"/>
        <v/>
      </c>
      <c r="G154" s="22" t="str">
        <f t="shared" si="45"/>
        <v/>
      </c>
      <c r="H154" s="22" t="str">
        <f t="shared" si="46"/>
        <v/>
      </c>
      <c r="I154" s="22" t="str">
        <f t="shared" si="47"/>
        <v/>
      </c>
      <c r="J154" s="22" t="str">
        <f t="shared" si="48"/>
        <v/>
      </c>
      <c r="K154" s="22" t="str">
        <f t="shared" si="49"/>
        <v/>
      </c>
      <c r="L154" s="22" t="str">
        <f t="shared" si="50"/>
        <v/>
      </c>
      <c r="M154" s="22" t="str">
        <f t="shared" si="51"/>
        <v/>
      </c>
      <c r="N154" s="103"/>
      <c r="O154" s="102"/>
    </row>
    <row r="155" spans="2:15" hidden="1" outlineLevel="1" x14ac:dyDescent="0.2">
      <c r="B155" s="2">
        <f t="shared" si="42"/>
        <v>102</v>
      </c>
      <c r="D155" s="22">
        <f>IF(B155&lt;$D$24,(+'CALCULETTE (2)'!T734/'CALCULETTE (2)'!$B$612),0)</f>
        <v>0</v>
      </c>
      <c r="E155" s="22" t="str">
        <f t="shared" si="43"/>
        <v/>
      </c>
      <c r="F155" s="22" t="str">
        <f t="shared" si="44"/>
        <v/>
      </c>
      <c r="G155" s="22" t="str">
        <f t="shared" si="45"/>
        <v/>
      </c>
      <c r="H155" s="22" t="str">
        <f t="shared" si="46"/>
        <v/>
      </c>
      <c r="I155" s="22" t="str">
        <f t="shared" si="47"/>
        <v/>
      </c>
      <c r="J155" s="22" t="str">
        <f t="shared" si="48"/>
        <v/>
      </c>
      <c r="K155" s="22" t="str">
        <f t="shared" si="49"/>
        <v/>
      </c>
      <c r="L155" s="22" t="str">
        <f t="shared" si="50"/>
        <v/>
      </c>
      <c r="M155" s="22" t="str">
        <f t="shared" si="51"/>
        <v/>
      </c>
      <c r="N155" s="103"/>
      <c r="O155" s="102"/>
    </row>
    <row r="156" spans="2:15" hidden="1" outlineLevel="1" x14ac:dyDescent="0.2">
      <c r="B156" s="2">
        <f t="shared" si="42"/>
        <v>103</v>
      </c>
      <c r="D156" s="22">
        <f>IF(B156&lt;$D$24,(+'CALCULETTE (2)'!T735/'CALCULETTE (2)'!$B$612),0)</f>
        <v>0</v>
      </c>
      <c r="E156" s="22" t="str">
        <f t="shared" si="43"/>
        <v/>
      </c>
      <c r="F156" s="22" t="str">
        <f t="shared" si="44"/>
        <v/>
      </c>
      <c r="G156" s="22" t="str">
        <f t="shared" si="45"/>
        <v/>
      </c>
      <c r="H156" s="22" t="str">
        <f t="shared" si="46"/>
        <v/>
      </c>
      <c r="I156" s="22" t="str">
        <f t="shared" si="47"/>
        <v/>
      </c>
      <c r="J156" s="22" t="str">
        <f t="shared" si="48"/>
        <v/>
      </c>
      <c r="K156" s="22" t="str">
        <f t="shared" si="49"/>
        <v/>
      </c>
      <c r="L156" s="22" t="str">
        <f t="shared" si="50"/>
        <v/>
      </c>
      <c r="M156" s="22" t="str">
        <f t="shared" si="51"/>
        <v/>
      </c>
      <c r="N156" s="103"/>
      <c r="O156" s="102"/>
    </row>
    <row r="157" spans="2:15" hidden="1" outlineLevel="1" x14ac:dyDescent="0.2">
      <c r="B157" s="2">
        <f t="shared" si="42"/>
        <v>104</v>
      </c>
      <c r="D157" s="22">
        <f>IF(B157&lt;$D$24,(+'CALCULETTE (2)'!T736/'CALCULETTE (2)'!$B$612),0)</f>
        <v>0</v>
      </c>
      <c r="E157" s="22" t="str">
        <f t="shared" si="43"/>
        <v/>
      </c>
      <c r="F157" s="22" t="str">
        <f t="shared" si="44"/>
        <v/>
      </c>
      <c r="G157" s="22" t="str">
        <f t="shared" si="45"/>
        <v/>
      </c>
      <c r="H157" s="22" t="str">
        <f t="shared" si="46"/>
        <v/>
      </c>
      <c r="I157" s="22" t="str">
        <f t="shared" si="47"/>
        <v/>
      </c>
      <c r="J157" s="22" t="str">
        <f t="shared" si="48"/>
        <v/>
      </c>
      <c r="K157" s="22" t="str">
        <f t="shared" si="49"/>
        <v/>
      </c>
      <c r="L157" s="22" t="str">
        <f t="shared" si="50"/>
        <v/>
      </c>
      <c r="M157" s="22" t="str">
        <f t="shared" si="51"/>
        <v/>
      </c>
      <c r="N157" s="103"/>
      <c r="O157" s="102"/>
    </row>
    <row r="158" spans="2:15" hidden="1" outlineLevel="1" x14ac:dyDescent="0.2">
      <c r="B158" s="2">
        <f t="shared" si="42"/>
        <v>105</v>
      </c>
      <c r="D158" s="22">
        <f>IF(B158&lt;$D$24,(+'CALCULETTE (2)'!T737/'CALCULETTE (2)'!$B$612),0)</f>
        <v>0</v>
      </c>
      <c r="E158" s="22" t="str">
        <f t="shared" si="43"/>
        <v/>
      </c>
      <c r="F158" s="22" t="str">
        <f t="shared" si="44"/>
        <v/>
      </c>
      <c r="G158" s="22" t="str">
        <f t="shared" si="45"/>
        <v/>
      </c>
      <c r="H158" s="22" t="str">
        <f t="shared" si="46"/>
        <v/>
      </c>
      <c r="I158" s="22" t="str">
        <f t="shared" si="47"/>
        <v/>
      </c>
      <c r="J158" s="22" t="str">
        <f t="shared" si="48"/>
        <v/>
      </c>
      <c r="K158" s="22" t="str">
        <f t="shared" si="49"/>
        <v/>
      </c>
      <c r="L158" s="22" t="str">
        <f t="shared" si="50"/>
        <v/>
      </c>
      <c r="M158" s="22" t="str">
        <f t="shared" si="51"/>
        <v/>
      </c>
      <c r="N158" s="103"/>
      <c r="O158" s="102"/>
    </row>
    <row r="159" spans="2:15" hidden="1" outlineLevel="1" x14ac:dyDescent="0.2">
      <c r="B159" s="2">
        <f t="shared" si="42"/>
        <v>106</v>
      </c>
      <c r="D159" s="22">
        <f>IF(B159&lt;$D$24,(+'CALCULETTE (2)'!T738/'CALCULETTE (2)'!$B$612),0)</f>
        <v>0</v>
      </c>
      <c r="E159" s="22" t="str">
        <f t="shared" si="43"/>
        <v/>
      </c>
      <c r="F159" s="22" t="str">
        <f t="shared" si="44"/>
        <v/>
      </c>
      <c r="G159" s="22" t="str">
        <f t="shared" si="45"/>
        <v/>
      </c>
      <c r="H159" s="22" t="str">
        <f t="shared" si="46"/>
        <v/>
      </c>
      <c r="I159" s="22" t="str">
        <f t="shared" si="47"/>
        <v/>
      </c>
      <c r="J159" s="22" t="str">
        <f t="shared" si="48"/>
        <v/>
      </c>
      <c r="K159" s="22" t="str">
        <f t="shared" si="49"/>
        <v/>
      </c>
      <c r="L159" s="22" t="str">
        <f t="shared" si="50"/>
        <v/>
      </c>
      <c r="M159" s="22" t="str">
        <f t="shared" si="51"/>
        <v/>
      </c>
      <c r="N159" s="103"/>
      <c r="O159" s="102"/>
    </row>
    <row r="160" spans="2:15" hidden="1" outlineLevel="1" x14ac:dyDescent="0.2">
      <c r="B160" s="2">
        <f t="shared" si="42"/>
        <v>107</v>
      </c>
      <c r="D160" s="22">
        <f>IF(B160&lt;$D$24,(+'CALCULETTE (2)'!T739/'CALCULETTE (2)'!$B$612),0)</f>
        <v>0</v>
      </c>
      <c r="E160" s="22" t="str">
        <f t="shared" si="43"/>
        <v/>
      </c>
      <c r="F160" s="22" t="str">
        <f t="shared" si="44"/>
        <v/>
      </c>
      <c r="G160" s="22" t="str">
        <f t="shared" si="45"/>
        <v/>
      </c>
      <c r="H160" s="22" t="str">
        <f t="shared" si="46"/>
        <v/>
      </c>
      <c r="I160" s="22" t="str">
        <f t="shared" si="47"/>
        <v/>
      </c>
      <c r="J160" s="22" t="str">
        <f t="shared" si="48"/>
        <v/>
      </c>
      <c r="K160" s="22" t="str">
        <f t="shared" si="49"/>
        <v/>
      </c>
      <c r="L160" s="22" t="str">
        <f t="shared" si="50"/>
        <v/>
      </c>
      <c r="M160" s="22" t="str">
        <f t="shared" si="51"/>
        <v/>
      </c>
      <c r="N160" s="103"/>
      <c r="O160" s="102"/>
    </row>
    <row r="161" spans="2:15" hidden="1" outlineLevel="1" x14ac:dyDescent="0.2">
      <c r="B161" s="2">
        <f t="shared" si="42"/>
        <v>108</v>
      </c>
      <c r="D161" s="22">
        <f>IF(B161&lt;$D$24,(+'CALCULETTE (2)'!T740/'CALCULETTE (2)'!$B$612),0)</f>
        <v>0</v>
      </c>
      <c r="E161" s="22" t="str">
        <f t="shared" si="43"/>
        <v/>
      </c>
      <c r="F161" s="22" t="str">
        <f t="shared" si="44"/>
        <v/>
      </c>
      <c r="G161" s="22" t="str">
        <f t="shared" si="45"/>
        <v/>
      </c>
      <c r="H161" s="22" t="str">
        <f t="shared" si="46"/>
        <v/>
      </c>
      <c r="I161" s="22" t="str">
        <f t="shared" si="47"/>
        <v/>
      </c>
      <c r="J161" s="22" t="str">
        <f t="shared" si="48"/>
        <v/>
      </c>
      <c r="K161" s="22" t="str">
        <f t="shared" si="49"/>
        <v/>
      </c>
      <c r="L161" s="22" t="str">
        <f t="shared" si="50"/>
        <v/>
      </c>
      <c r="M161" s="22" t="str">
        <f t="shared" si="51"/>
        <v/>
      </c>
      <c r="N161" s="103"/>
      <c r="O161" s="102"/>
    </row>
    <row r="162" spans="2:15" hidden="1" outlineLevel="1" x14ac:dyDescent="0.2">
      <c r="B162" s="2">
        <f t="shared" si="42"/>
        <v>109</v>
      </c>
      <c r="D162" s="22">
        <f>IF(B162&lt;$D$24,(+'CALCULETTE (2)'!T741/'CALCULETTE (2)'!$B$612),0)</f>
        <v>0</v>
      </c>
      <c r="E162" s="22" t="str">
        <f t="shared" si="43"/>
        <v/>
      </c>
      <c r="F162" s="22" t="str">
        <f t="shared" si="44"/>
        <v/>
      </c>
      <c r="G162" s="22" t="str">
        <f t="shared" si="45"/>
        <v/>
      </c>
      <c r="H162" s="22" t="str">
        <f t="shared" si="46"/>
        <v/>
      </c>
      <c r="I162" s="22" t="str">
        <f t="shared" si="47"/>
        <v/>
      </c>
      <c r="J162" s="22" t="str">
        <f t="shared" si="48"/>
        <v/>
      </c>
      <c r="K162" s="22" t="str">
        <f t="shared" si="49"/>
        <v/>
      </c>
      <c r="L162" s="22" t="str">
        <f t="shared" si="50"/>
        <v/>
      </c>
      <c r="M162" s="22" t="str">
        <f t="shared" si="51"/>
        <v/>
      </c>
      <c r="N162" s="103"/>
      <c r="O162" s="102"/>
    </row>
    <row r="163" spans="2:15" hidden="1" outlineLevel="1" x14ac:dyDescent="0.2">
      <c r="B163" s="2">
        <f t="shared" si="42"/>
        <v>110</v>
      </c>
      <c r="D163" s="22">
        <f>IF(B163&lt;$D$24,(+'CALCULETTE (2)'!T742/'CALCULETTE (2)'!$B$612),0)</f>
        <v>0</v>
      </c>
      <c r="E163" s="22" t="str">
        <f t="shared" si="43"/>
        <v/>
      </c>
      <c r="F163" s="22" t="str">
        <f t="shared" si="44"/>
        <v/>
      </c>
      <c r="G163" s="22" t="str">
        <f t="shared" si="45"/>
        <v/>
      </c>
      <c r="H163" s="22" t="str">
        <f t="shared" si="46"/>
        <v/>
      </c>
      <c r="I163" s="22" t="str">
        <f t="shared" si="47"/>
        <v/>
      </c>
      <c r="J163" s="22" t="str">
        <f t="shared" si="48"/>
        <v/>
      </c>
      <c r="K163" s="22" t="str">
        <f t="shared" si="49"/>
        <v/>
      </c>
      <c r="L163" s="22" t="str">
        <f t="shared" si="50"/>
        <v/>
      </c>
      <c r="M163" s="22" t="str">
        <f t="shared" si="51"/>
        <v/>
      </c>
      <c r="N163" s="103"/>
      <c r="O163" s="102"/>
    </row>
    <row r="164" spans="2:15" hidden="1" outlineLevel="1" x14ac:dyDescent="0.2">
      <c r="B164" s="2">
        <f t="shared" si="42"/>
        <v>111</v>
      </c>
      <c r="D164" s="22">
        <f>IF(B164&lt;$D$24,(+'CALCULETTE (2)'!T743/'CALCULETTE (2)'!$B$612),0)</f>
        <v>0</v>
      </c>
      <c r="E164" s="22" t="str">
        <f t="shared" si="43"/>
        <v/>
      </c>
      <c r="F164" s="22" t="str">
        <f t="shared" si="44"/>
        <v/>
      </c>
      <c r="G164" s="22" t="str">
        <f t="shared" si="45"/>
        <v/>
      </c>
      <c r="H164" s="22" t="str">
        <f t="shared" si="46"/>
        <v/>
      </c>
      <c r="I164" s="22" t="str">
        <f t="shared" si="47"/>
        <v/>
      </c>
      <c r="J164" s="22" t="str">
        <f t="shared" si="48"/>
        <v/>
      </c>
      <c r="K164" s="22" t="str">
        <f t="shared" si="49"/>
        <v/>
      </c>
      <c r="L164" s="22" t="str">
        <f t="shared" si="50"/>
        <v/>
      </c>
      <c r="M164" s="22" t="str">
        <f t="shared" si="51"/>
        <v/>
      </c>
      <c r="N164" s="103"/>
      <c r="O164" s="102"/>
    </row>
    <row r="165" spans="2:15" hidden="1" outlineLevel="1" x14ac:dyDescent="0.2">
      <c r="B165" s="2">
        <f t="shared" si="42"/>
        <v>112</v>
      </c>
      <c r="D165" s="22">
        <f>IF(B165&lt;$D$24,(+'CALCULETTE (2)'!T744/'CALCULETTE (2)'!$B$612),0)</f>
        <v>0</v>
      </c>
      <c r="E165" s="22" t="str">
        <f t="shared" si="43"/>
        <v/>
      </c>
      <c r="F165" s="22" t="str">
        <f t="shared" si="44"/>
        <v/>
      </c>
      <c r="G165" s="22" t="str">
        <f t="shared" si="45"/>
        <v/>
      </c>
      <c r="H165" s="22" t="str">
        <f t="shared" si="46"/>
        <v/>
      </c>
      <c r="I165" s="22" t="str">
        <f t="shared" si="47"/>
        <v/>
      </c>
      <c r="J165" s="22" t="str">
        <f t="shared" si="48"/>
        <v/>
      </c>
      <c r="K165" s="22" t="str">
        <f t="shared" si="49"/>
        <v/>
      </c>
      <c r="L165" s="22" t="str">
        <f t="shared" si="50"/>
        <v/>
      </c>
      <c r="M165" s="22" t="str">
        <f t="shared" si="51"/>
        <v/>
      </c>
      <c r="N165" s="103"/>
      <c r="O165" s="102"/>
    </row>
    <row r="166" spans="2:15" hidden="1" outlineLevel="1" x14ac:dyDescent="0.2">
      <c r="B166" s="2">
        <f t="shared" si="42"/>
        <v>113</v>
      </c>
      <c r="D166" s="22">
        <f>IF(B166&lt;$D$24,(+'CALCULETTE (2)'!T745/'CALCULETTE (2)'!$B$612),0)</f>
        <v>0</v>
      </c>
      <c r="E166" s="22" t="str">
        <f t="shared" si="43"/>
        <v/>
      </c>
      <c r="F166" s="22" t="str">
        <f t="shared" si="44"/>
        <v/>
      </c>
      <c r="G166" s="22" t="str">
        <f t="shared" si="45"/>
        <v/>
      </c>
      <c r="H166" s="22" t="str">
        <f t="shared" si="46"/>
        <v/>
      </c>
      <c r="I166" s="22" t="str">
        <f t="shared" si="47"/>
        <v/>
      </c>
      <c r="J166" s="22" t="str">
        <f t="shared" si="48"/>
        <v/>
      </c>
      <c r="K166" s="22" t="str">
        <f t="shared" si="49"/>
        <v/>
      </c>
      <c r="L166" s="22" t="str">
        <f t="shared" si="50"/>
        <v/>
      </c>
      <c r="M166" s="22" t="str">
        <f t="shared" si="51"/>
        <v/>
      </c>
      <c r="N166" s="103"/>
      <c r="O166" s="102"/>
    </row>
    <row r="167" spans="2:15" hidden="1" outlineLevel="1" x14ac:dyDescent="0.2">
      <c r="B167" s="2">
        <f t="shared" si="42"/>
        <v>114</v>
      </c>
      <c r="D167" s="22">
        <f>IF(B167&lt;$D$24,(+'CALCULETTE (2)'!T746/'CALCULETTE (2)'!$B$612),0)</f>
        <v>0</v>
      </c>
      <c r="E167" s="22" t="str">
        <f t="shared" si="43"/>
        <v/>
      </c>
      <c r="F167" s="22" t="str">
        <f t="shared" si="44"/>
        <v/>
      </c>
      <c r="G167" s="22" t="str">
        <f t="shared" si="45"/>
        <v/>
      </c>
      <c r="H167" s="22" t="str">
        <f t="shared" si="46"/>
        <v/>
      </c>
      <c r="I167" s="22" t="str">
        <f t="shared" si="47"/>
        <v/>
      </c>
      <c r="J167" s="22" t="str">
        <f t="shared" si="48"/>
        <v/>
      </c>
      <c r="K167" s="22" t="str">
        <f t="shared" si="49"/>
        <v/>
      </c>
      <c r="L167" s="22" t="str">
        <f t="shared" si="50"/>
        <v/>
      </c>
      <c r="M167" s="22" t="str">
        <f t="shared" si="51"/>
        <v/>
      </c>
      <c r="N167" s="103"/>
      <c r="O167" s="102"/>
    </row>
    <row r="168" spans="2:15" hidden="1" outlineLevel="1" x14ac:dyDescent="0.2">
      <c r="B168" s="2">
        <f t="shared" si="42"/>
        <v>115</v>
      </c>
      <c r="D168" s="22">
        <f>IF(B168&lt;$D$24,(+'CALCULETTE (2)'!T747/'CALCULETTE (2)'!$B$612),0)</f>
        <v>0</v>
      </c>
      <c r="E168" s="22" t="str">
        <f t="shared" si="43"/>
        <v/>
      </c>
      <c r="F168" s="22" t="str">
        <f t="shared" si="44"/>
        <v/>
      </c>
      <c r="G168" s="22" t="str">
        <f t="shared" si="45"/>
        <v/>
      </c>
      <c r="H168" s="22" t="str">
        <f t="shared" si="46"/>
        <v/>
      </c>
      <c r="I168" s="22" t="str">
        <f t="shared" si="47"/>
        <v/>
      </c>
      <c r="J168" s="22" t="str">
        <f t="shared" si="48"/>
        <v/>
      </c>
      <c r="K168" s="22" t="str">
        <f t="shared" si="49"/>
        <v/>
      </c>
      <c r="L168" s="22" t="str">
        <f t="shared" si="50"/>
        <v/>
      </c>
      <c r="M168" s="22" t="str">
        <f t="shared" si="51"/>
        <v/>
      </c>
      <c r="N168" s="103"/>
      <c r="O168" s="102"/>
    </row>
    <row r="169" spans="2:15" hidden="1" outlineLevel="1" x14ac:dyDescent="0.2">
      <c r="B169" s="2">
        <f t="shared" si="42"/>
        <v>116</v>
      </c>
      <c r="D169" s="22">
        <f>IF(B169&lt;$D$24,(+'CALCULETTE (2)'!T748/'CALCULETTE (2)'!$B$612),0)</f>
        <v>0</v>
      </c>
      <c r="E169" s="22" t="str">
        <f t="shared" si="43"/>
        <v/>
      </c>
      <c r="F169" s="22" t="str">
        <f t="shared" si="44"/>
        <v/>
      </c>
      <c r="G169" s="22" t="str">
        <f t="shared" si="45"/>
        <v/>
      </c>
      <c r="H169" s="22" t="str">
        <f t="shared" si="46"/>
        <v/>
      </c>
      <c r="I169" s="22" t="str">
        <f t="shared" si="47"/>
        <v/>
      </c>
      <c r="J169" s="22" t="str">
        <f t="shared" si="48"/>
        <v/>
      </c>
      <c r="K169" s="22" t="str">
        <f t="shared" si="49"/>
        <v/>
      </c>
      <c r="L169" s="22" t="str">
        <f t="shared" si="50"/>
        <v/>
      </c>
      <c r="M169" s="22" t="str">
        <f t="shared" si="51"/>
        <v/>
      </c>
      <c r="N169" s="103"/>
      <c r="O169" s="102"/>
    </row>
    <row r="170" spans="2:15" hidden="1" outlineLevel="1" x14ac:dyDescent="0.2">
      <c r="B170" s="2">
        <f t="shared" si="42"/>
        <v>117</v>
      </c>
      <c r="D170" s="22">
        <f>IF(B170&lt;$D$24,(+'CALCULETTE (2)'!T749/'CALCULETTE (2)'!$B$612),0)</f>
        <v>0</v>
      </c>
      <c r="E170" s="22" t="str">
        <f t="shared" si="43"/>
        <v/>
      </c>
      <c r="F170" s="22" t="str">
        <f t="shared" si="44"/>
        <v/>
      </c>
      <c r="G170" s="22" t="str">
        <f t="shared" si="45"/>
        <v/>
      </c>
      <c r="H170" s="22" t="str">
        <f t="shared" si="46"/>
        <v/>
      </c>
      <c r="I170" s="22" t="str">
        <f t="shared" si="47"/>
        <v/>
      </c>
      <c r="J170" s="22" t="str">
        <f t="shared" si="48"/>
        <v/>
      </c>
      <c r="K170" s="22" t="str">
        <f t="shared" si="49"/>
        <v/>
      </c>
      <c r="L170" s="22" t="str">
        <f t="shared" si="50"/>
        <v/>
      </c>
      <c r="M170" s="22" t="str">
        <f t="shared" si="51"/>
        <v/>
      </c>
      <c r="N170" s="103"/>
      <c r="O170" s="102"/>
    </row>
    <row r="171" spans="2:15" hidden="1" outlineLevel="1" x14ac:dyDescent="0.2">
      <c r="B171" s="2">
        <f t="shared" si="42"/>
        <v>118</v>
      </c>
      <c r="D171" s="22">
        <f>IF(B171&lt;$D$24,(+'CALCULETTE (2)'!T750/'CALCULETTE (2)'!$B$612),0)</f>
        <v>0</v>
      </c>
      <c r="E171" s="22" t="str">
        <f t="shared" si="43"/>
        <v/>
      </c>
      <c r="F171" s="22" t="str">
        <f t="shared" si="44"/>
        <v/>
      </c>
      <c r="G171" s="22" t="str">
        <f t="shared" si="45"/>
        <v/>
      </c>
      <c r="H171" s="22" t="str">
        <f t="shared" si="46"/>
        <v/>
      </c>
      <c r="I171" s="22" t="str">
        <f t="shared" si="47"/>
        <v/>
      </c>
      <c r="J171" s="22" t="str">
        <f t="shared" si="48"/>
        <v/>
      </c>
      <c r="K171" s="22" t="str">
        <f t="shared" si="49"/>
        <v/>
      </c>
      <c r="L171" s="22" t="str">
        <f t="shared" si="50"/>
        <v/>
      </c>
      <c r="M171" s="22" t="str">
        <f t="shared" si="51"/>
        <v/>
      </c>
      <c r="N171" s="103"/>
      <c r="O171" s="102"/>
    </row>
    <row r="172" spans="2:15" hidden="1" outlineLevel="1" x14ac:dyDescent="0.2">
      <c r="B172" s="2">
        <f t="shared" si="42"/>
        <v>119</v>
      </c>
      <c r="D172" s="22">
        <f>IF(B172&lt;$D$24,(+'CALCULETTE (2)'!T751/'CALCULETTE (2)'!$B$612),0)</f>
        <v>0</v>
      </c>
      <c r="E172" s="22" t="str">
        <f t="shared" si="43"/>
        <v/>
      </c>
      <c r="F172" s="22" t="str">
        <f t="shared" si="44"/>
        <v/>
      </c>
      <c r="G172" s="22" t="str">
        <f t="shared" si="45"/>
        <v/>
      </c>
      <c r="H172" s="22" t="str">
        <f t="shared" si="46"/>
        <v/>
      </c>
      <c r="I172" s="22" t="str">
        <f t="shared" si="47"/>
        <v/>
      </c>
      <c r="J172" s="22" t="str">
        <f t="shared" si="48"/>
        <v/>
      </c>
      <c r="K172" s="22" t="str">
        <f t="shared" si="49"/>
        <v/>
      </c>
      <c r="L172" s="22" t="str">
        <f t="shared" si="50"/>
        <v/>
      </c>
      <c r="M172" s="22" t="str">
        <f t="shared" si="51"/>
        <v/>
      </c>
      <c r="N172" s="103"/>
      <c r="O172" s="102"/>
    </row>
    <row r="173" spans="2:15" hidden="1" outlineLevel="1" x14ac:dyDescent="0.2">
      <c r="B173" s="2">
        <f t="shared" si="42"/>
        <v>120</v>
      </c>
      <c r="D173" s="22">
        <f>IF(B173&lt;$D$24,(+'CALCULETTE (2)'!T752/'CALCULETTE (2)'!$B$612),0)</f>
        <v>0</v>
      </c>
      <c r="E173" s="22" t="str">
        <f t="shared" si="43"/>
        <v/>
      </c>
      <c r="F173" s="22" t="str">
        <f t="shared" si="44"/>
        <v/>
      </c>
      <c r="G173" s="22" t="str">
        <f t="shared" si="45"/>
        <v/>
      </c>
      <c r="H173" s="22" t="str">
        <f t="shared" si="46"/>
        <v/>
      </c>
      <c r="I173" s="22" t="str">
        <f t="shared" si="47"/>
        <v/>
      </c>
      <c r="J173" s="22" t="str">
        <f t="shared" si="48"/>
        <v/>
      </c>
      <c r="K173" s="22" t="str">
        <f t="shared" si="49"/>
        <v/>
      </c>
      <c r="L173" s="22" t="str">
        <f t="shared" si="50"/>
        <v/>
      </c>
      <c r="M173" s="22" t="str">
        <f t="shared" si="51"/>
        <v/>
      </c>
      <c r="N173" s="103"/>
      <c r="O173" s="102"/>
    </row>
    <row r="174" spans="2:15" hidden="1" outlineLevel="1" x14ac:dyDescent="0.2">
      <c r="B174" s="2">
        <f t="shared" si="42"/>
        <v>121</v>
      </c>
      <c r="D174" s="22">
        <f>IF(B174&lt;$D$24,(+'CALCULETTE (2)'!T753/'CALCULETTE (2)'!$B$612),0)</f>
        <v>0</v>
      </c>
      <c r="E174" s="22" t="str">
        <f t="shared" si="43"/>
        <v/>
      </c>
      <c r="F174" s="22" t="str">
        <f t="shared" si="44"/>
        <v/>
      </c>
      <c r="G174" s="22" t="str">
        <f t="shared" si="45"/>
        <v/>
      </c>
      <c r="H174" s="22" t="str">
        <f t="shared" si="46"/>
        <v/>
      </c>
      <c r="I174" s="22" t="str">
        <f t="shared" si="47"/>
        <v/>
      </c>
      <c r="J174" s="22" t="str">
        <f t="shared" si="48"/>
        <v/>
      </c>
      <c r="K174" s="22" t="str">
        <f t="shared" si="49"/>
        <v/>
      </c>
      <c r="L174" s="22" t="str">
        <f t="shared" si="50"/>
        <v/>
      </c>
      <c r="M174" s="22" t="str">
        <f t="shared" si="51"/>
        <v/>
      </c>
      <c r="N174" s="103"/>
      <c r="O174" s="102"/>
    </row>
    <row r="175" spans="2:15" hidden="1" outlineLevel="1" x14ac:dyDescent="0.2">
      <c r="B175" s="2">
        <f t="shared" si="42"/>
        <v>122</v>
      </c>
      <c r="D175" s="22">
        <f>IF(B175&lt;$D$24,(+'CALCULETTE (2)'!T754/'CALCULETTE (2)'!$B$612),0)</f>
        <v>0</v>
      </c>
      <c r="E175" s="22" t="str">
        <f t="shared" si="43"/>
        <v/>
      </c>
      <c r="F175" s="22" t="str">
        <f t="shared" si="44"/>
        <v/>
      </c>
      <c r="G175" s="22" t="str">
        <f t="shared" si="45"/>
        <v/>
      </c>
      <c r="H175" s="22" t="str">
        <f t="shared" si="46"/>
        <v/>
      </c>
      <c r="I175" s="22" t="str">
        <f t="shared" si="47"/>
        <v/>
      </c>
      <c r="J175" s="22" t="str">
        <f t="shared" si="48"/>
        <v/>
      </c>
      <c r="K175" s="22" t="str">
        <f t="shared" si="49"/>
        <v/>
      </c>
      <c r="L175" s="22" t="str">
        <f t="shared" si="50"/>
        <v/>
      </c>
      <c r="M175" s="22" t="str">
        <f t="shared" si="51"/>
        <v/>
      </c>
      <c r="N175" s="103"/>
      <c r="O175" s="102"/>
    </row>
    <row r="176" spans="2:15" hidden="1" outlineLevel="1" x14ac:dyDescent="0.2">
      <c r="B176" s="2">
        <f t="shared" si="42"/>
        <v>123</v>
      </c>
      <c r="D176" s="22">
        <f>IF(B176&lt;$D$24,(+'CALCULETTE (2)'!T755/'CALCULETTE (2)'!$B$612),0)</f>
        <v>0</v>
      </c>
      <c r="E176" s="22" t="str">
        <f t="shared" si="43"/>
        <v/>
      </c>
      <c r="F176" s="22" t="str">
        <f t="shared" si="44"/>
        <v/>
      </c>
      <c r="G176" s="22" t="str">
        <f t="shared" si="45"/>
        <v/>
      </c>
      <c r="H176" s="22" t="str">
        <f t="shared" si="46"/>
        <v/>
      </c>
      <c r="I176" s="22" t="str">
        <f t="shared" si="47"/>
        <v/>
      </c>
      <c r="J176" s="22" t="str">
        <f t="shared" si="48"/>
        <v/>
      </c>
      <c r="K176" s="22" t="str">
        <f t="shared" si="49"/>
        <v/>
      </c>
      <c r="L176" s="22" t="str">
        <f t="shared" si="50"/>
        <v/>
      </c>
      <c r="M176" s="22" t="str">
        <f t="shared" si="51"/>
        <v/>
      </c>
      <c r="N176" s="103"/>
      <c r="O176" s="102"/>
    </row>
    <row r="177" spans="2:15" hidden="1" outlineLevel="1" x14ac:dyDescent="0.2">
      <c r="B177" s="2">
        <f t="shared" si="42"/>
        <v>124</v>
      </c>
      <c r="D177" s="22">
        <f>IF(B177&lt;$D$24,(+'CALCULETTE (2)'!T756/'CALCULETTE (2)'!$B$612),0)</f>
        <v>0</v>
      </c>
      <c r="E177" s="22" t="str">
        <f t="shared" si="43"/>
        <v/>
      </c>
      <c r="F177" s="22" t="str">
        <f t="shared" si="44"/>
        <v/>
      </c>
      <c r="G177" s="22" t="str">
        <f t="shared" si="45"/>
        <v/>
      </c>
      <c r="H177" s="22" t="str">
        <f t="shared" si="46"/>
        <v/>
      </c>
      <c r="I177" s="22" t="str">
        <f t="shared" si="47"/>
        <v/>
      </c>
      <c r="J177" s="22" t="str">
        <f t="shared" si="48"/>
        <v/>
      </c>
      <c r="K177" s="22" t="str">
        <f t="shared" si="49"/>
        <v/>
      </c>
      <c r="L177" s="22" t="str">
        <f t="shared" si="50"/>
        <v/>
      </c>
      <c r="M177" s="22" t="str">
        <f t="shared" si="51"/>
        <v/>
      </c>
      <c r="N177" s="103"/>
      <c r="O177" s="102"/>
    </row>
    <row r="178" spans="2:15" hidden="1" outlineLevel="1" x14ac:dyDescent="0.2">
      <c r="B178" s="2">
        <f t="shared" si="42"/>
        <v>125</v>
      </c>
      <c r="D178" s="22">
        <f>IF(B178&lt;$D$24,(+'CALCULETTE (2)'!T757/'CALCULETTE (2)'!$B$612),0)</f>
        <v>0</v>
      </c>
      <c r="E178" s="22" t="str">
        <f t="shared" si="43"/>
        <v/>
      </c>
      <c r="F178" s="22" t="str">
        <f t="shared" si="44"/>
        <v/>
      </c>
      <c r="G178" s="22" t="str">
        <f t="shared" si="45"/>
        <v/>
      </c>
      <c r="H178" s="22" t="str">
        <f t="shared" si="46"/>
        <v/>
      </c>
      <c r="I178" s="22" t="str">
        <f t="shared" si="47"/>
        <v/>
      </c>
      <c r="J178" s="22" t="str">
        <f t="shared" si="48"/>
        <v/>
      </c>
      <c r="K178" s="22" t="str">
        <f t="shared" si="49"/>
        <v/>
      </c>
      <c r="L178" s="22" t="str">
        <f t="shared" si="50"/>
        <v/>
      </c>
      <c r="M178" s="22" t="str">
        <f t="shared" si="51"/>
        <v/>
      </c>
      <c r="N178" s="103"/>
      <c r="O178" s="102"/>
    </row>
    <row r="179" spans="2:15" hidden="1" outlineLevel="1" x14ac:dyDescent="0.2">
      <c r="B179" s="2">
        <f t="shared" si="42"/>
        <v>126</v>
      </c>
      <c r="D179" s="22">
        <f>IF(B179&lt;$D$24,(+'CALCULETTE (2)'!T758/'CALCULETTE (2)'!$B$612),0)</f>
        <v>0</v>
      </c>
      <c r="E179" s="22" t="str">
        <f t="shared" si="43"/>
        <v/>
      </c>
      <c r="F179" s="22" t="str">
        <f t="shared" si="44"/>
        <v/>
      </c>
      <c r="G179" s="22" t="str">
        <f t="shared" si="45"/>
        <v/>
      </c>
      <c r="H179" s="22" t="str">
        <f t="shared" si="46"/>
        <v/>
      </c>
      <c r="I179" s="22" t="str">
        <f t="shared" si="47"/>
        <v/>
      </c>
      <c r="J179" s="22" t="str">
        <f t="shared" si="48"/>
        <v/>
      </c>
      <c r="K179" s="22" t="str">
        <f t="shared" si="49"/>
        <v/>
      </c>
      <c r="L179" s="22" t="str">
        <f t="shared" si="50"/>
        <v/>
      </c>
      <c r="M179" s="22" t="str">
        <f t="shared" si="51"/>
        <v/>
      </c>
      <c r="N179" s="103"/>
      <c r="O179" s="102"/>
    </row>
    <row r="180" spans="2:15" hidden="1" outlineLevel="1" x14ac:dyDescent="0.2">
      <c r="B180" s="2">
        <f t="shared" si="42"/>
        <v>127</v>
      </c>
      <c r="D180" s="22">
        <f>IF(B180&lt;$D$24,(+'CALCULETTE (2)'!T759/'CALCULETTE (2)'!$B$612),0)</f>
        <v>0</v>
      </c>
      <c r="E180" s="22" t="str">
        <f t="shared" si="43"/>
        <v/>
      </c>
      <c r="F180" s="22" t="str">
        <f t="shared" si="44"/>
        <v/>
      </c>
      <c r="G180" s="22" t="str">
        <f t="shared" si="45"/>
        <v/>
      </c>
      <c r="H180" s="22" t="str">
        <f t="shared" si="46"/>
        <v/>
      </c>
      <c r="I180" s="22" t="str">
        <f t="shared" si="47"/>
        <v/>
      </c>
      <c r="J180" s="22" t="str">
        <f t="shared" si="48"/>
        <v/>
      </c>
      <c r="K180" s="22" t="str">
        <f t="shared" si="49"/>
        <v/>
      </c>
      <c r="L180" s="22" t="str">
        <f t="shared" si="50"/>
        <v/>
      </c>
      <c r="M180" s="22" t="str">
        <f t="shared" si="51"/>
        <v/>
      </c>
      <c r="N180" s="103"/>
      <c r="O180" s="102"/>
    </row>
    <row r="181" spans="2:15" hidden="1" outlineLevel="1" x14ac:dyDescent="0.2">
      <c r="B181" s="2">
        <f t="shared" si="42"/>
        <v>128</v>
      </c>
      <c r="D181" s="22">
        <f>IF(B181&lt;$D$24,(+'CALCULETTE (2)'!T760/'CALCULETTE (2)'!$B$612),0)</f>
        <v>0</v>
      </c>
      <c r="E181" s="22" t="str">
        <f t="shared" si="43"/>
        <v/>
      </c>
      <c r="F181" s="22" t="str">
        <f t="shared" si="44"/>
        <v/>
      </c>
      <c r="G181" s="22" t="str">
        <f t="shared" si="45"/>
        <v/>
      </c>
      <c r="H181" s="22" t="str">
        <f t="shared" si="46"/>
        <v/>
      </c>
      <c r="I181" s="22" t="str">
        <f t="shared" si="47"/>
        <v/>
      </c>
      <c r="J181" s="22" t="str">
        <f t="shared" si="48"/>
        <v/>
      </c>
      <c r="K181" s="22" t="str">
        <f t="shared" si="49"/>
        <v/>
      </c>
      <c r="L181" s="22" t="str">
        <f t="shared" si="50"/>
        <v/>
      </c>
      <c r="M181" s="22" t="str">
        <f t="shared" si="51"/>
        <v/>
      </c>
      <c r="N181" s="103"/>
      <c r="O181" s="102"/>
    </row>
    <row r="182" spans="2:15" hidden="1" outlineLevel="1" x14ac:dyDescent="0.2">
      <c r="B182" s="2">
        <f t="shared" ref="B182:B213" si="52">B181+1</f>
        <v>129</v>
      </c>
      <c r="D182" s="22">
        <f>IF(B182&lt;$D$24,(+'CALCULETTE (2)'!T761/'CALCULETTE (2)'!$B$612),0)</f>
        <v>0</v>
      </c>
      <c r="E182" s="22" t="str">
        <f t="shared" ref="E182:E213" si="53">IF(E$1=0,"",IF($B182&lt;E$23,E181+PPMT(E$25/12,$B182,E$23,E$53,-E$27,0),IF($B182=E$23,E181+PPMT(E$25/12,$B182,E$23,E$53,-E$27,0)-E$27,0)))</f>
        <v/>
      </c>
      <c r="F182" s="22" t="str">
        <f t="shared" ref="F182:F213" si="54">IF(F$1=0,"",IF($B182&lt;F$23,F181+PPMT(F$25/12,$B182,F$23,F$53,-F$27,0),IF($B182=F$23,F181+PPMT(F$25/12,$B182,F$23,F$53,-F$27,0)-F$27,0)))</f>
        <v/>
      </c>
      <c r="G182" s="22" t="str">
        <f t="shared" ref="G182:G213" si="55">IF(G$1=0,"",IF($B182&lt;G$23,G181+PPMT(G$25/12,$B182,G$23,G$53,-G$27,0),IF($B182=G$23,G181+PPMT(G$25/12,$B182,G$23,G$53,-G$27,0)-G$27,0)))</f>
        <v/>
      </c>
      <c r="H182" s="22" t="str">
        <f t="shared" ref="H182:H213" si="56">IF(H$1=0,"",IF($B182&lt;H$23,H181+PPMT(H$25/12,$B182,H$23,H$53,-H$27,0),IF($B182=H$23,H181+PPMT(H$25/12,$B182,H$23,H$53,-H$27,0)-H$27,0)))</f>
        <v/>
      </c>
      <c r="I182" s="22" t="str">
        <f t="shared" ref="I182:I213" si="57">IF(I$1=0,"",IF($B182&lt;I$23,I181+PPMT(I$25/12,$B182,I$23,I$53,-I$27,0),IF($B182=I$23,I181+PPMT(I$25/12,$B182,I$23,I$53,-I$27,0)-I$27,0)))</f>
        <v/>
      </c>
      <c r="J182" s="22" t="str">
        <f t="shared" ref="J182:J213" si="58">IF(J$1=0,"",IF($B182&lt;J$23,J181+PPMT(J$25/12,$B182,J$23,J$53,-J$27,0),IF($B182=J$23,J181+PPMT(J$25/12,$B182,J$23,J$53,-J$27,0)-J$27,0)))</f>
        <v/>
      </c>
      <c r="K182" s="22" t="str">
        <f t="shared" ref="K182:K213" si="59">IF(K$1=0,"",IF($B182&lt;K$23,K181+PPMT(K$25/12,$B182,K$23,K$53,-K$27,0),IF($B182=K$23,K181+PPMT(K$25/12,$B182,K$23,K$53,-K$27,0)-K$27,0)))</f>
        <v/>
      </c>
      <c r="L182" s="22" t="str">
        <f t="shared" ref="L182:L213" si="60">IF(L$1=0,"",IF($B182&lt;L$23,L181+PPMT(L$25/12,$B182,L$23,L$53,-L$27,0),IF($B182=L$23,L181+PPMT(L$25/12,$B182,L$23,L$53,-L$27,0)-L$27,0)))</f>
        <v/>
      </c>
      <c r="M182" s="22" t="str">
        <f t="shared" ref="M182:M213" si="61">IF(M$1=0,"",IF($B182&lt;M$23,M181+PPMT(M$25/12,$B182,M$23,M$53,-M$27,0),IF($B182=M$23,M181+PPMT(M$25/12,$B182,M$23,M$53,-M$27,0)-M$27,0)))</f>
        <v/>
      </c>
      <c r="N182" s="103"/>
      <c r="O182" s="102"/>
    </row>
    <row r="183" spans="2:15" hidden="1" outlineLevel="1" x14ac:dyDescent="0.2">
      <c r="B183" s="2">
        <f t="shared" si="52"/>
        <v>130</v>
      </c>
      <c r="D183" s="22">
        <f>IF(B183&lt;$D$24,(+'CALCULETTE (2)'!T762/'CALCULETTE (2)'!$B$612),0)</f>
        <v>0</v>
      </c>
      <c r="E183" s="22" t="str">
        <f t="shared" si="53"/>
        <v/>
      </c>
      <c r="F183" s="22" t="str">
        <f t="shared" si="54"/>
        <v/>
      </c>
      <c r="G183" s="22" t="str">
        <f t="shared" si="55"/>
        <v/>
      </c>
      <c r="H183" s="22" t="str">
        <f t="shared" si="56"/>
        <v/>
      </c>
      <c r="I183" s="22" t="str">
        <f t="shared" si="57"/>
        <v/>
      </c>
      <c r="J183" s="22" t="str">
        <f t="shared" si="58"/>
        <v/>
      </c>
      <c r="K183" s="22" t="str">
        <f t="shared" si="59"/>
        <v/>
      </c>
      <c r="L183" s="22" t="str">
        <f t="shared" si="60"/>
        <v/>
      </c>
      <c r="M183" s="22" t="str">
        <f t="shared" si="61"/>
        <v/>
      </c>
      <c r="N183" s="103"/>
      <c r="O183" s="102"/>
    </row>
    <row r="184" spans="2:15" hidden="1" outlineLevel="1" x14ac:dyDescent="0.2">
      <c r="B184" s="2">
        <f t="shared" si="52"/>
        <v>131</v>
      </c>
      <c r="D184" s="22">
        <f>IF(B184&lt;$D$24,(+'CALCULETTE (2)'!T763/'CALCULETTE (2)'!$B$612),0)</f>
        <v>0</v>
      </c>
      <c r="E184" s="22" t="str">
        <f t="shared" si="53"/>
        <v/>
      </c>
      <c r="F184" s="22" t="str">
        <f t="shared" si="54"/>
        <v/>
      </c>
      <c r="G184" s="22" t="str">
        <f t="shared" si="55"/>
        <v/>
      </c>
      <c r="H184" s="22" t="str">
        <f t="shared" si="56"/>
        <v/>
      </c>
      <c r="I184" s="22" t="str">
        <f t="shared" si="57"/>
        <v/>
      </c>
      <c r="J184" s="22" t="str">
        <f t="shared" si="58"/>
        <v/>
      </c>
      <c r="K184" s="22" t="str">
        <f t="shared" si="59"/>
        <v/>
      </c>
      <c r="L184" s="22" t="str">
        <f t="shared" si="60"/>
        <v/>
      </c>
      <c r="M184" s="22" t="str">
        <f t="shared" si="61"/>
        <v/>
      </c>
      <c r="N184" s="103"/>
      <c r="O184" s="102"/>
    </row>
    <row r="185" spans="2:15" hidden="1" outlineLevel="1" x14ac:dyDescent="0.2">
      <c r="B185" s="2">
        <f t="shared" si="52"/>
        <v>132</v>
      </c>
      <c r="D185" s="22">
        <f>IF(B185&lt;$D$24,(+'CALCULETTE (2)'!T764/'CALCULETTE (2)'!$B$612),0)</f>
        <v>0</v>
      </c>
      <c r="E185" s="22" t="str">
        <f t="shared" si="53"/>
        <v/>
      </c>
      <c r="F185" s="22" t="str">
        <f t="shared" si="54"/>
        <v/>
      </c>
      <c r="G185" s="22" t="str">
        <f t="shared" si="55"/>
        <v/>
      </c>
      <c r="H185" s="22" t="str">
        <f t="shared" si="56"/>
        <v/>
      </c>
      <c r="I185" s="22" t="str">
        <f t="shared" si="57"/>
        <v/>
      </c>
      <c r="J185" s="22" t="str">
        <f t="shared" si="58"/>
        <v/>
      </c>
      <c r="K185" s="22" t="str">
        <f t="shared" si="59"/>
        <v/>
      </c>
      <c r="L185" s="22" t="str">
        <f t="shared" si="60"/>
        <v/>
      </c>
      <c r="M185" s="22" t="str">
        <f t="shared" si="61"/>
        <v/>
      </c>
      <c r="N185" s="103"/>
      <c r="O185" s="102"/>
    </row>
    <row r="186" spans="2:15" hidden="1" outlineLevel="1" x14ac:dyDescent="0.2">
      <c r="B186" s="2">
        <f t="shared" si="52"/>
        <v>133</v>
      </c>
      <c r="D186" s="22">
        <f>IF(B186&lt;$D$24,(+'CALCULETTE (2)'!T765/'CALCULETTE (2)'!$B$612),0)</f>
        <v>0</v>
      </c>
      <c r="E186" s="22" t="str">
        <f t="shared" si="53"/>
        <v/>
      </c>
      <c r="F186" s="22" t="str">
        <f t="shared" si="54"/>
        <v/>
      </c>
      <c r="G186" s="22" t="str">
        <f t="shared" si="55"/>
        <v/>
      </c>
      <c r="H186" s="22" t="str">
        <f t="shared" si="56"/>
        <v/>
      </c>
      <c r="I186" s="22" t="str">
        <f t="shared" si="57"/>
        <v/>
      </c>
      <c r="J186" s="22" t="str">
        <f t="shared" si="58"/>
        <v/>
      </c>
      <c r="K186" s="22" t="str">
        <f t="shared" si="59"/>
        <v/>
      </c>
      <c r="L186" s="22" t="str">
        <f t="shared" si="60"/>
        <v/>
      </c>
      <c r="M186" s="22" t="str">
        <f t="shared" si="61"/>
        <v/>
      </c>
      <c r="N186" s="103"/>
      <c r="O186" s="102"/>
    </row>
    <row r="187" spans="2:15" hidden="1" outlineLevel="1" x14ac:dyDescent="0.2">
      <c r="B187" s="2">
        <f t="shared" si="52"/>
        <v>134</v>
      </c>
      <c r="D187" s="22">
        <f>IF(B187&lt;$D$24,(+'CALCULETTE (2)'!T766/'CALCULETTE (2)'!$B$612),0)</f>
        <v>0</v>
      </c>
      <c r="E187" s="22" t="str">
        <f t="shared" si="53"/>
        <v/>
      </c>
      <c r="F187" s="22" t="str">
        <f t="shared" si="54"/>
        <v/>
      </c>
      <c r="G187" s="22" t="str">
        <f t="shared" si="55"/>
        <v/>
      </c>
      <c r="H187" s="22" t="str">
        <f t="shared" si="56"/>
        <v/>
      </c>
      <c r="I187" s="22" t="str">
        <f t="shared" si="57"/>
        <v/>
      </c>
      <c r="J187" s="22" t="str">
        <f t="shared" si="58"/>
        <v/>
      </c>
      <c r="K187" s="22" t="str">
        <f t="shared" si="59"/>
        <v/>
      </c>
      <c r="L187" s="22" t="str">
        <f t="shared" si="60"/>
        <v/>
      </c>
      <c r="M187" s="22" t="str">
        <f t="shared" si="61"/>
        <v/>
      </c>
      <c r="N187" s="103"/>
      <c r="O187" s="102"/>
    </row>
    <row r="188" spans="2:15" hidden="1" outlineLevel="1" x14ac:dyDescent="0.2">
      <c r="B188" s="2">
        <f t="shared" si="52"/>
        <v>135</v>
      </c>
      <c r="D188" s="22">
        <f>IF(B188&lt;$D$24,(+#REF!/'CALCULETTE (2)'!$B$612),0)</f>
        <v>0</v>
      </c>
      <c r="E188" s="22" t="str">
        <f t="shared" si="53"/>
        <v/>
      </c>
      <c r="F188" s="22" t="str">
        <f t="shared" si="54"/>
        <v/>
      </c>
      <c r="G188" s="22" t="str">
        <f t="shared" si="55"/>
        <v/>
      </c>
      <c r="H188" s="22" t="str">
        <f t="shared" si="56"/>
        <v/>
      </c>
      <c r="I188" s="22" t="str">
        <f t="shared" si="57"/>
        <v/>
      </c>
      <c r="J188" s="22" t="str">
        <f t="shared" si="58"/>
        <v/>
      </c>
      <c r="K188" s="22" t="str">
        <f t="shared" si="59"/>
        <v/>
      </c>
      <c r="L188" s="22" t="str">
        <f t="shared" si="60"/>
        <v/>
      </c>
      <c r="M188" s="22" t="str">
        <f t="shared" si="61"/>
        <v/>
      </c>
      <c r="N188" s="103"/>
      <c r="O188" s="102"/>
    </row>
    <row r="189" spans="2:15" hidden="1" outlineLevel="1" x14ac:dyDescent="0.2">
      <c r="B189" s="2">
        <f t="shared" si="52"/>
        <v>136</v>
      </c>
      <c r="D189" s="22">
        <f>IF(B189&lt;$D$24,(+#REF!/'CALCULETTE (2)'!$B$612),0)</f>
        <v>0</v>
      </c>
      <c r="E189" s="22" t="str">
        <f t="shared" si="53"/>
        <v/>
      </c>
      <c r="F189" s="22" t="str">
        <f t="shared" si="54"/>
        <v/>
      </c>
      <c r="G189" s="22" t="str">
        <f t="shared" si="55"/>
        <v/>
      </c>
      <c r="H189" s="22" t="str">
        <f t="shared" si="56"/>
        <v/>
      </c>
      <c r="I189" s="22" t="str">
        <f t="shared" si="57"/>
        <v/>
      </c>
      <c r="J189" s="22" t="str">
        <f t="shared" si="58"/>
        <v/>
      </c>
      <c r="K189" s="22" t="str">
        <f t="shared" si="59"/>
        <v/>
      </c>
      <c r="L189" s="22" t="str">
        <f t="shared" si="60"/>
        <v/>
      </c>
      <c r="M189" s="22" t="str">
        <f t="shared" si="61"/>
        <v/>
      </c>
      <c r="N189" s="103"/>
      <c r="O189" s="102"/>
    </row>
    <row r="190" spans="2:15" hidden="1" outlineLevel="1" x14ac:dyDescent="0.2">
      <c r="B190" s="2">
        <f t="shared" si="52"/>
        <v>137</v>
      </c>
      <c r="D190" s="22">
        <f>IF(B190&lt;$D$24,(+#REF!/'CALCULETTE (2)'!$B$612),0)</f>
        <v>0</v>
      </c>
      <c r="E190" s="22" t="str">
        <f t="shared" si="53"/>
        <v/>
      </c>
      <c r="F190" s="22" t="str">
        <f t="shared" si="54"/>
        <v/>
      </c>
      <c r="G190" s="22" t="str">
        <f t="shared" si="55"/>
        <v/>
      </c>
      <c r="H190" s="22" t="str">
        <f t="shared" si="56"/>
        <v/>
      </c>
      <c r="I190" s="22" t="str">
        <f t="shared" si="57"/>
        <v/>
      </c>
      <c r="J190" s="22" t="str">
        <f t="shared" si="58"/>
        <v/>
      </c>
      <c r="K190" s="22" t="str">
        <f t="shared" si="59"/>
        <v/>
      </c>
      <c r="L190" s="22" t="str">
        <f t="shared" si="60"/>
        <v/>
      </c>
      <c r="M190" s="22" t="str">
        <f t="shared" si="61"/>
        <v/>
      </c>
      <c r="N190" s="103"/>
      <c r="O190" s="102"/>
    </row>
    <row r="191" spans="2:15" hidden="1" outlineLevel="1" x14ac:dyDescent="0.2">
      <c r="B191" s="2">
        <f t="shared" si="52"/>
        <v>138</v>
      </c>
      <c r="D191" s="22">
        <f>IF(B191&lt;$D$24,(+#REF!/'CALCULETTE (2)'!$B$612),0)</f>
        <v>0</v>
      </c>
      <c r="E191" s="22" t="str">
        <f t="shared" si="53"/>
        <v/>
      </c>
      <c r="F191" s="22" t="str">
        <f t="shared" si="54"/>
        <v/>
      </c>
      <c r="G191" s="22" t="str">
        <f t="shared" si="55"/>
        <v/>
      </c>
      <c r="H191" s="22" t="str">
        <f t="shared" si="56"/>
        <v/>
      </c>
      <c r="I191" s="22" t="str">
        <f t="shared" si="57"/>
        <v/>
      </c>
      <c r="J191" s="22" t="str">
        <f t="shared" si="58"/>
        <v/>
      </c>
      <c r="K191" s="22" t="str">
        <f t="shared" si="59"/>
        <v/>
      </c>
      <c r="L191" s="22" t="str">
        <f t="shared" si="60"/>
        <v/>
      </c>
      <c r="M191" s="22" t="str">
        <f t="shared" si="61"/>
        <v/>
      </c>
      <c r="N191" s="103"/>
      <c r="O191" s="102"/>
    </row>
    <row r="192" spans="2:15" hidden="1" outlineLevel="1" x14ac:dyDescent="0.2">
      <c r="B192" s="2">
        <f t="shared" si="52"/>
        <v>139</v>
      </c>
      <c r="D192" s="22">
        <f>IF(B192&lt;$D$24,(+#REF!/'CALCULETTE (2)'!$B$612),0)</f>
        <v>0</v>
      </c>
      <c r="E192" s="22" t="str">
        <f t="shared" si="53"/>
        <v/>
      </c>
      <c r="F192" s="22" t="str">
        <f t="shared" si="54"/>
        <v/>
      </c>
      <c r="G192" s="22" t="str">
        <f t="shared" si="55"/>
        <v/>
      </c>
      <c r="H192" s="22" t="str">
        <f t="shared" si="56"/>
        <v/>
      </c>
      <c r="I192" s="22" t="str">
        <f t="shared" si="57"/>
        <v/>
      </c>
      <c r="J192" s="22" t="str">
        <f t="shared" si="58"/>
        <v/>
      </c>
      <c r="K192" s="22" t="str">
        <f t="shared" si="59"/>
        <v/>
      </c>
      <c r="L192" s="22" t="str">
        <f t="shared" si="60"/>
        <v/>
      </c>
      <c r="M192" s="22" t="str">
        <f t="shared" si="61"/>
        <v/>
      </c>
      <c r="N192" s="103"/>
      <c r="O192" s="102"/>
    </row>
    <row r="193" spans="2:15" hidden="1" outlineLevel="1" x14ac:dyDescent="0.2">
      <c r="B193" s="2">
        <f t="shared" si="52"/>
        <v>140</v>
      </c>
      <c r="D193" s="22">
        <f>IF(B193&lt;$D$24,(+#REF!/'CALCULETTE (2)'!$B$612),0)</f>
        <v>0</v>
      </c>
      <c r="E193" s="22" t="str">
        <f t="shared" si="53"/>
        <v/>
      </c>
      <c r="F193" s="22" t="str">
        <f t="shared" si="54"/>
        <v/>
      </c>
      <c r="G193" s="22" t="str">
        <f t="shared" si="55"/>
        <v/>
      </c>
      <c r="H193" s="22" t="str">
        <f t="shared" si="56"/>
        <v/>
      </c>
      <c r="I193" s="22" t="str">
        <f t="shared" si="57"/>
        <v/>
      </c>
      <c r="J193" s="22" t="str">
        <f t="shared" si="58"/>
        <v/>
      </c>
      <c r="K193" s="22" t="str">
        <f t="shared" si="59"/>
        <v/>
      </c>
      <c r="L193" s="22" t="str">
        <f t="shared" si="60"/>
        <v/>
      </c>
      <c r="M193" s="22" t="str">
        <f t="shared" si="61"/>
        <v/>
      </c>
      <c r="N193" s="103"/>
      <c r="O193" s="102"/>
    </row>
    <row r="194" spans="2:15" hidden="1" outlineLevel="1" x14ac:dyDescent="0.2">
      <c r="B194" s="2">
        <f t="shared" si="52"/>
        <v>141</v>
      </c>
      <c r="D194" s="22">
        <f>IF(B194&lt;$D$24,(+#REF!/'CALCULETTE (2)'!$B$612),0)</f>
        <v>0</v>
      </c>
      <c r="E194" s="22" t="str">
        <f t="shared" si="53"/>
        <v/>
      </c>
      <c r="F194" s="22" t="str">
        <f t="shared" si="54"/>
        <v/>
      </c>
      <c r="G194" s="22" t="str">
        <f t="shared" si="55"/>
        <v/>
      </c>
      <c r="H194" s="22" t="str">
        <f t="shared" si="56"/>
        <v/>
      </c>
      <c r="I194" s="22" t="str">
        <f t="shared" si="57"/>
        <v/>
      </c>
      <c r="J194" s="22" t="str">
        <f t="shared" si="58"/>
        <v/>
      </c>
      <c r="K194" s="22" t="str">
        <f t="shared" si="59"/>
        <v/>
      </c>
      <c r="L194" s="22" t="str">
        <f t="shared" si="60"/>
        <v/>
      </c>
      <c r="M194" s="22" t="str">
        <f t="shared" si="61"/>
        <v/>
      </c>
      <c r="N194" s="103"/>
      <c r="O194" s="102"/>
    </row>
    <row r="195" spans="2:15" hidden="1" outlineLevel="1" x14ac:dyDescent="0.2">
      <c r="B195" s="2">
        <f t="shared" si="52"/>
        <v>142</v>
      </c>
      <c r="D195" s="22">
        <f>IF(B195&lt;$D$24,(+#REF!/'CALCULETTE (2)'!$B$612),0)</f>
        <v>0</v>
      </c>
      <c r="E195" s="22" t="str">
        <f t="shared" si="53"/>
        <v/>
      </c>
      <c r="F195" s="22" t="str">
        <f t="shared" si="54"/>
        <v/>
      </c>
      <c r="G195" s="22" t="str">
        <f t="shared" si="55"/>
        <v/>
      </c>
      <c r="H195" s="22" t="str">
        <f t="shared" si="56"/>
        <v/>
      </c>
      <c r="I195" s="22" t="str">
        <f t="shared" si="57"/>
        <v/>
      </c>
      <c r="J195" s="22" t="str">
        <f t="shared" si="58"/>
        <v/>
      </c>
      <c r="K195" s="22" t="str">
        <f t="shared" si="59"/>
        <v/>
      </c>
      <c r="L195" s="22" t="str">
        <f t="shared" si="60"/>
        <v/>
      </c>
      <c r="M195" s="22" t="str">
        <f t="shared" si="61"/>
        <v/>
      </c>
      <c r="N195" s="103"/>
      <c r="O195" s="102"/>
    </row>
    <row r="196" spans="2:15" hidden="1" outlineLevel="1" x14ac:dyDescent="0.2">
      <c r="B196" s="2">
        <f t="shared" si="52"/>
        <v>143</v>
      </c>
      <c r="D196" s="22">
        <f>IF(B196&lt;$D$24,(+#REF!/'CALCULETTE (2)'!$B$612),0)</f>
        <v>0</v>
      </c>
      <c r="E196" s="22" t="str">
        <f t="shared" si="53"/>
        <v/>
      </c>
      <c r="F196" s="22" t="str">
        <f t="shared" si="54"/>
        <v/>
      </c>
      <c r="G196" s="22" t="str">
        <f t="shared" si="55"/>
        <v/>
      </c>
      <c r="H196" s="22" t="str">
        <f t="shared" si="56"/>
        <v/>
      </c>
      <c r="I196" s="22" t="str">
        <f t="shared" si="57"/>
        <v/>
      </c>
      <c r="J196" s="22" t="str">
        <f t="shared" si="58"/>
        <v/>
      </c>
      <c r="K196" s="22" t="str">
        <f t="shared" si="59"/>
        <v/>
      </c>
      <c r="L196" s="22" t="str">
        <f t="shared" si="60"/>
        <v/>
      </c>
      <c r="M196" s="22" t="str">
        <f t="shared" si="61"/>
        <v/>
      </c>
      <c r="N196" s="103"/>
      <c r="O196" s="102"/>
    </row>
    <row r="197" spans="2:15" hidden="1" outlineLevel="1" x14ac:dyDescent="0.2">
      <c r="B197" s="2">
        <f t="shared" si="52"/>
        <v>144</v>
      </c>
      <c r="D197" s="22">
        <f>IF(B197&lt;$D$24,(+#REF!/'CALCULETTE (2)'!$B$612),0)</f>
        <v>0</v>
      </c>
      <c r="E197" s="22" t="str">
        <f t="shared" si="53"/>
        <v/>
      </c>
      <c r="F197" s="22" t="str">
        <f t="shared" si="54"/>
        <v/>
      </c>
      <c r="G197" s="22" t="str">
        <f t="shared" si="55"/>
        <v/>
      </c>
      <c r="H197" s="22" t="str">
        <f t="shared" si="56"/>
        <v/>
      </c>
      <c r="I197" s="22" t="str">
        <f t="shared" si="57"/>
        <v/>
      </c>
      <c r="J197" s="22" t="str">
        <f t="shared" si="58"/>
        <v/>
      </c>
      <c r="K197" s="22" t="str">
        <f t="shared" si="59"/>
        <v/>
      </c>
      <c r="L197" s="22" t="str">
        <f t="shared" si="60"/>
        <v/>
      </c>
      <c r="M197" s="22" t="str">
        <f t="shared" si="61"/>
        <v/>
      </c>
      <c r="N197" s="103"/>
      <c r="O197" s="102"/>
    </row>
    <row r="198" spans="2:15" hidden="1" outlineLevel="1" x14ac:dyDescent="0.2">
      <c r="B198" s="2">
        <f t="shared" si="52"/>
        <v>145</v>
      </c>
      <c r="D198" s="22">
        <f>IF(B198&lt;$D$24,(+#REF!/'CALCULETTE (2)'!$B$612),0)</f>
        <v>0</v>
      </c>
      <c r="E198" s="22" t="str">
        <f t="shared" si="53"/>
        <v/>
      </c>
      <c r="F198" s="22" t="str">
        <f t="shared" si="54"/>
        <v/>
      </c>
      <c r="G198" s="22" t="str">
        <f t="shared" si="55"/>
        <v/>
      </c>
      <c r="H198" s="22" t="str">
        <f t="shared" si="56"/>
        <v/>
      </c>
      <c r="I198" s="22" t="str">
        <f t="shared" si="57"/>
        <v/>
      </c>
      <c r="J198" s="22" t="str">
        <f t="shared" si="58"/>
        <v/>
      </c>
      <c r="K198" s="22" t="str">
        <f t="shared" si="59"/>
        <v/>
      </c>
      <c r="L198" s="22" t="str">
        <f t="shared" si="60"/>
        <v/>
      </c>
      <c r="M198" s="22" t="str">
        <f t="shared" si="61"/>
        <v/>
      </c>
      <c r="N198" s="103"/>
      <c r="O198" s="102"/>
    </row>
    <row r="199" spans="2:15" hidden="1" outlineLevel="1" x14ac:dyDescent="0.2">
      <c r="B199" s="2">
        <f t="shared" si="52"/>
        <v>146</v>
      </c>
      <c r="D199" s="22">
        <f>IF(B199&lt;$D$24,(+#REF!/'CALCULETTE (2)'!$B$612),0)</f>
        <v>0</v>
      </c>
      <c r="E199" s="22" t="str">
        <f t="shared" si="53"/>
        <v/>
      </c>
      <c r="F199" s="22" t="str">
        <f t="shared" si="54"/>
        <v/>
      </c>
      <c r="G199" s="22" t="str">
        <f t="shared" si="55"/>
        <v/>
      </c>
      <c r="H199" s="22" t="str">
        <f t="shared" si="56"/>
        <v/>
      </c>
      <c r="I199" s="22" t="str">
        <f t="shared" si="57"/>
        <v/>
      </c>
      <c r="J199" s="22" t="str">
        <f t="shared" si="58"/>
        <v/>
      </c>
      <c r="K199" s="22" t="str">
        <f t="shared" si="59"/>
        <v/>
      </c>
      <c r="L199" s="22" t="str">
        <f t="shared" si="60"/>
        <v/>
      </c>
      <c r="M199" s="22" t="str">
        <f t="shared" si="61"/>
        <v/>
      </c>
      <c r="N199" s="103"/>
      <c r="O199" s="102"/>
    </row>
    <row r="200" spans="2:15" hidden="1" outlineLevel="1" x14ac:dyDescent="0.2">
      <c r="B200" s="2">
        <f t="shared" si="52"/>
        <v>147</v>
      </c>
      <c r="D200" s="22">
        <f>IF(B200&lt;$D$24,(+#REF!/'CALCULETTE (2)'!$B$612),0)</f>
        <v>0</v>
      </c>
      <c r="E200" s="22" t="str">
        <f t="shared" si="53"/>
        <v/>
      </c>
      <c r="F200" s="22" t="str">
        <f t="shared" si="54"/>
        <v/>
      </c>
      <c r="G200" s="22" t="str">
        <f t="shared" si="55"/>
        <v/>
      </c>
      <c r="H200" s="22" t="str">
        <f t="shared" si="56"/>
        <v/>
      </c>
      <c r="I200" s="22" t="str">
        <f t="shared" si="57"/>
        <v/>
      </c>
      <c r="J200" s="22" t="str">
        <f t="shared" si="58"/>
        <v/>
      </c>
      <c r="K200" s="22" t="str">
        <f t="shared" si="59"/>
        <v/>
      </c>
      <c r="L200" s="22" t="str">
        <f t="shared" si="60"/>
        <v/>
      </c>
      <c r="M200" s="22" t="str">
        <f t="shared" si="61"/>
        <v/>
      </c>
      <c r="N200" s="103"/>
      <c r="O200" s="102"/>
    </row>
    <row r="201" spans="2:15" hidden="1" outlineLevel="1" x14ac:dyDescent="0.2">
      <c r="B201" s="2">
        <f t="shared" si="52"/>
        <v>148</v>
      </c>
      <c r="D201" s="22">
        <f>IF(B201&lt;$D$24,(+#REF!/'CALCULETTE (2)'!$B$612),0)</f>
        <v>0</v>
      </c>
      <c r="E201" s="22" t="str">
        <f t="shared" si="53"/>
        <v/>
      </c>
      <c r="F201" s="22" t="str">
        <f t="shared" si="54"/>
        <v/>
      </c>
      <c r="G201" s="22" t="str">
        <f t="shared" si="55"/>
        <v/>
      </c>
      <c r="H201" s="22" t="str">
        <f t="shared" si="56"/>
        <v/>
      </c>
      <c r="I201" s="22" t="str">
        <f t="shared" si="57"/>
        <v/>
      </c>
      <c r="J201" s="22" t="str">
        <f t="shared" si="58"/>
        <v/>
      </c>
      <c r="K201" s="22" t="str">
        <f t="shared" si="59"/>
        <v/>
      </c>
      <c r="L201" s="22" t="str">
        <f t="shared" si="60"/>
        <v/>
      </c>
      <c r="M201" s="22" t="str">
        <f t="shared" si="61"/>
        <v/>
      </c>
      <c r="N201" s="103"/>
      <c r="O201" s="102"/>
    </row>
    <row r="202" spans="2:15" hidden="1" outlineLevel="1" x14ac:dyDescent="0.2">
      <c r="B202" s="2">
        <f t="shared" si="52"/>
        <v>149</v>
      </c>
      <c r="D202" s="22">
        <f>IF(B202&lt;$D$24,(+#REF!/'CALCULETTE (2)'!$B$612),0)</f>
        <v>0</v>
      </c>
      <c r="E202" s="22" t="str">
        <f t="shared" si="53"/>
        <v/>
      </c>
      <c r="F202" s="22" t="str">
        <f t="shared" si="54"/>
        <v/>
      </c>
      <c r="G202" s="22" t="str">
        <f t="shared" si="55"/>
        <v/>
      </c>
      <c r="H202" s="22" t="str">
        <f t="shared" si="56"/>
        <v/>
      </c>
      <c r="I202" s="22" t="str">
        <f t="shared" si="57"/>
        <v/>
      </c>
      <c r="J202" s="22" t="str">
        <f t="shared" si="58"/>
        <v/>
      </c>
      <c r="K202" s="22" t="str">
        <f t="shared" si="59"/>
        <v/>
      </c>
      <c r="L202" s="22" t="str">
        <f t="shared" si="60"/>
        <v/>
      </c>
      <c r="M202" s="22" t="str">
        <f t="shared" si="61"/>
        <v/>
      </c>
      <c r="N202" s="103"/>
      <c r="O202" s="102"/>
    </row>
    <row r="203" spans="2:15" hidden="1" outlineLevel="1" x14ac:dyDescent="0.2">
      <c r="B203" s="2">
        <f t="shared" si="52"/>
        <v>150</v>
      </c>
      <c r="D203" s="22">
        <f>IF(B203&lt;$D$24,(+#REF!/'CALCULETTE (2)'!$B$612),0)</f>
        <v>0</v>
      </c>
      <c r="E203" s="22" t="str">
        <f t="shared" si="53"/>
        <v/>
      </c>
      <c r="F203" s="22" t="str">
        <f t="shared" si="54"/>
        <v/>
      </c>
      <c r="G203" s="22" t="str">
        <f t="shared" si="55"/>
        <v/>
      </c>
      <c r="H203" s="22" t="str">
        <f t="shared" si="56"/>
        <v/>
      </c>
      <c r="I203" s="22" t="str">
        <f t="shared" si="57"/>
        <v/>
      </c>
      <c r="J203" s="22" t="str">
        <f t="shared" si="58"/>
        <v/>
      </c>
      <c r="K203" s="22" t="str">
        <f t="shared" si="59"/>
        <v/>
      </c>
      <c r="L203" s="22" t="str">
        <f t="shared" si="60"/>
        <v/>
      </c>
      <c r="M203" s="22" t="str">
        <f t="shared" si="61"/>
        <v/>
      </c>
      <c r="N203" s="103"/>
      <c r="O203" s="102"/>
    </row>
    <row r="204" spans="2:15" hidden="1" outlineLevel="1" x14ac:dyDescent="0.2">
      <c r="B204" s="2">
        <f t="shared" si="52"/>
        <v>151</v>
      </c>
      <c r="D204" s="22">
        <f>IF(B204&lt;$D$24,(+#REF!/'CALCULETTE (2)'!$B$612),0)</f>
        <v>0</v>
      </c>
      <c r="E204" s="22" t="str">
        <f t="shared" si="53"/>
        <v/>
      </c>
      <c r="F204" s="22" t="str">
        <f t="shared" si="54"/>
        <v/>
      </c>
      <c r="G204" s="22" t="str">
        <f t="shared" si="55"/>
        <v/>
      </c>
      <c r="H204" s="22" t="str">
        <f t="shared" si="56"/>
        <v/>
      </c>
      <c r="I204" s="22" t="str">
        <f t="shared" si="57"/>
        <v/>
      </c>
      <c r="J204" s="22" t="str">
        <f t="shared" si="58"/>
        <v/>
      </c>
      <c r="K204" s="22" t="str">
        <f t="shared" si="59"/>
        <v/>
      </c>
      <c r="L204" s="22" t="str">
        <f t="shared" si="60"/>
        <v/>
      </c>
      <c r="M204" s="22" t="str">
        <f t="shared" si="61"/>
        <v/>
      </c>
      <c r="N204" s="103"/>
      <c r="O204" s="102"/>
    </row>
    <row r="205" spans="2:15" hidden="1" outlineLevel="1" x14ac:dyDescent="0.2">
      <c r="B205" s="2">
        <f t="shared" si="52"/>
        <v>152</v>
      </c>
      <c r="D205" s="22">
        <f>IF(B205&lt;$D$24,(+#REF!/'CALCULETTE (2)'!$B$612),0)</f>
        <v>0</v>
      </c>
      <c r="E205" s="22" t="str">
        <f t="shared" si="53"/>
        <v/>
      </c>
      <c r="F205" s="22" t="str">
        <f t="shared" si="54"/>
        <v/>
      </c>
      <c r="G205" s="22" t="str">
        <f t="shared" si="55"/>
        <v/>
      </c>
      <c r="H205" s="22" t="str">
        <f t="shared" si="56"/>
        <v/>
      </c>
      <c r="I205" s="22" t="str">
        <f t="shared" si="57"/>
        <v/>
      </c>
      <c r="J205" s="22" t="str">
        <f t="shared" si="58"/>
        <v/>
      </c>
      <c r="K205" s="22" t="str">
        <f t="shared" si="59"/>
        <v/>
      </c>
      <c r="L205" s="22" t="str">
        <f t="shared" si="60"/>
        <v/>
      </c>
      <c r="M205" s="22" t="str">
        <f t="shared" si="61"/>
        <v/>
      </c>
      <c r="N205" s="103"/>
      <c r="O205" s="102"/>
    </row>
    <row r="206" spans="2:15" hidden="1" outlineLevel="1" x14ac:dyDescent="0.2">
      <c r="B206" s="2">
        <f t="shared" si="52"/>
        <v>153</v>
      </c>
      <c r="D206" s="22">
        <f>IF(B206&lt;$D$24,(+#REF!/'CALCULETTE (2)'!$B$612),0)</f>
        <v>0</v>
      </c>
      <c r="E206" s="22" t="str">
        <f t="shared" si="53"/>
        <v/>
      </c>
      <c r="F206" s="22" t="str">
        <f t="shared" si="54"/>
        <v/>
      </c>
      <c r="G206" s="22" t="str">
        <f t="shared" si="55"/>
        <v/>
      </c>
      <c r="H206" s="22" t="str">
        <f t="shared" si="56"/>
        <v/>
      </c>
      <c r="I206" s="22" t="str">
        <f t="shared" si="57"/>
        <v/>
      </c>
      <c r="J206" s="22" t="str">
        <f t="shared" si="58"/>
        <v/>
      </c>
      <c r="K206" s="22" t="str">
        <f t="shared" si="59"/>
        <v/>
      </c>
      <c r="L206" s="22" t="str">
        <f t="shared" si="60"/>
        <v/>
      </c>
      <c r="M206" s="22" t="str">
        <f t="shared" si="61"/>
        <v/>
      </c>
      <c r="N206" s="103"/>
      <c r="O206" s="102"/>
    </row>
    <row r="207" spans="2:15" hidden="1" outlineLevel="1" x14ac:dyDescent="0.2">
      <c r="B207" s="2">
        <f t="shared" si="52"/>
        <v>154</v>
      </c>
      <c r="D207" s="22">
        <f>IF(B207&lt;$D$24,(+#REF!/'CALCULETTE (2)'!$B$612),0)</f>
        <v>0</v>
      </c>
      <c r="E207" s="22" t="str">
        <f t="shared" si="53"/>
        <v/>
      </c>
      <c r="F207" s="22" t="str">
        <f t="shared" si="54"/>
        <v/>
      </c>
      <c r="G207" s="22" t="str">
        <f t="shared" si="55"/>
        <v/>
      </c>
      <c r="H207" s="22" t="str">
        <f t="shared" si="56"/>
        <v/>
      </c>
      <c r="I207" s="22" t="str">
        <f t="shared" si="57"/>
        <v/>
      </c>
      <c r="J207" s="22" t="str">
        <f t="shared" si="58"/>
        <v/>
      </c>
      <c r="K207" s="22" t="str">
        <f t="shared" si="59"/>
        <v/>
      </c>
      <c r="L207" s="22" t="str">
        <f t="shared" si="60"/>
        <v/>
      </c>
      <c r="M207" s="22" t="str">
        <f t="shared" si="61"/>
        <v/>
      </c>
      <c r="N207" s="103"/>
      <c r="O207" s="102"/>
    </row>
    <row r="208" spans="2:15" hidden="1" outlineLevel="1" x14ac:dyDescent="0.2">
      <c r="B208" s="2">
        <f t="shared" si="52"/>
        <v>155</v>
      </c>
      <c r="D208" s="22">
        <f>IF(B208&lt;$D$24,(+#REF!/'CALCULETTE (2)'!$B$612),0)</f>
        <v>0</v>
      </c>
      <c r="E208" s="22" t="str">
        <f t="shared" si="53"/>
        <v/>
      </c>
      <c r="F208" s="22" t="str">
        <f t="shared" si="54"/>
        <v/>
      </c>
      <c r="G208" s="22" t="str">
        <f t="shared" si="55"/>
        <v/>
      </c>
      <c r="H208" s="22" t="str">
        <f t="shared" si="56"/>
        <v/>
      </c>
      <c r="I208" s="22" t="str">
        <f t="shared" si="57"/>
        <v/>
      </c>
      <c r="J208" s="22" t="str">
        <f t="shared" si="58"/>
        <v/>
      </c>
      <c r="K208" s="22" t="str">
        <f t="shared" si="59"/>
        <v/>
      </c>
      <c r="L208" s="22" t="str">
        <f t="shared" si="60"/>
        <v/>
      </c>
      <c r="M208" s="22" t="str">
        <f t="shared" si="61"/>
        <v/>
      </c>
      <c r="N208" s="103"/>
      <c r="O208" s="102"/>
    </row>
    <row r="209" spans="2:15" hidden="1" outlineLevel="1" x14ac:dyDescent="0.2">
      <c r="B209" s="2">
        <f t="shared" si="52"/>
        <v>156</v>
      </c>
      <c r="D209" s="22">
        <f>IF(B209&lt;$D$24,(+#REF!/'CALCULETTE (2)'!$B$612),0)</f>
        <v>0</v>
      </c>
      <c r="E209" s="22" t="str">
        <f t="shared" si="53"/>
        <v/>
      </c>
      <c r="F209" s="22" t="str">
        <f t="shared" si="54"/>
        <v/>
      </c>
      <c r="G209" s="22" t="str">
        <f t="shared" si="55"/>
        <v/>
      </c>
      <c r="H209" s="22" t="str">
        <f t="shared" si="56"/>
        <v/>
      </c>
      <c r="I209" s="22" t="str">
        <f t="shared" si="57"/>
        <v/>
      </c>
      <c r="J209" s="22" t="str">
        <f t="shared" si="58"/>
        <v/>
      </c>
      <c r="K209" s="22" t="str">
        <f t="shared" si="59"/>
        <v/>
      </c>
      <c r="L209" s="22" t="str">
        <f t="shared" si="60"/>
        <v/>
      </c>
      <c r="M209" s="22" t="str">
        <f t="shared" si="61"/>
        <v/>
      </c>
      <c r="N209" s="103"/>
      <c r="O209" s="102"/>
    </row>
    <row r="210" spans="2:15" hidden="1" outlineLevel="1" x14ac:dyDescent="0.2">
      <c r="B210" s="2">
        <f t="shared" si="52"/>
        <v>157</v>
      </c>
      <c r="D210" s="22">
        <f>IF(B210&lt;$D$24,(+#REF!/'CALCULETTE (2)'!$B$612),0)</f>
        <v>0</v>
      </c>
      <c r="E210" s="22" t="str">
        <f t="shared" si="53"/>
        <v/>
      </c>
      <c r="F210" s="22" t="str">
        <f t="shared" si="54"/>
        <v/>
      </c>
      <c r="G210" s="22" t="str">
        <f t="shared" si="55"/>
        <v/>
      </c>
      <c r="H210" s="22" t="str">
        <f t="shared" si="56"/>
        <v/>
      </c>
      <c r="I210" s="22" t="str">
        <f t="shared" si="57"/>
        <v/>
      </c>
      <c r="J210" s="22" t="str">
        <f t="shared" si="58"/>
        <v/>
      </c>
      <c r="K210" s="22" t="str">
        <f t="shared" si="59"/>
        <v/>
      </c>
      <c r="L210" s="22" t="str">
        <f t="shared" si="60"/>
        <v/>
      </c>
      <c r="M210" s="22" t="str">
        <f t="shared" si="61"/>
        <v/>
      </c>
      <c r="N210" s="103"/>
      <c r="O210" s="102"/>
    </row>
    <row r="211" spans="2:15" hidden="1" outlineLevel="1" x14ac:dyDescent="0.2">
      <c r="B211" s="2">
        <f t="shared" si="52"/>
        <v>158</v>
      </c>
      <c r="D211" s="22">
        <f>IF(B211&lt;$D$24,(+#REF!/'CALCULETTE (2)'!$B$612),0)</f>
        <v>0</v>
      </c>
      <c r="E211" s="22" t="str">
        <f t="shared" si="53"/>
        <v/>
      </c>
      <c r="F211" s="22" t="str">
        <f t="shared" si="54"/>
        <v/>
      </c>
      <c r="G211" s="22" t="str">
        <f t="shared" si="55"/>
        <v/>
      </c>
      <c r="H211" s="22" t="str">
        <f t="shared" si="56"/>
        <v/>
      </c>
      <c r="I211" s="22" t="str">
        <f t="shared" si="57"/>
        <v/>
      </c>
      <c r="J211" s="22" t="str">
        <f t="shared" si="58"/>
        <v/>
      </c>
      <c r="K211" s="22" t="str">
        <f t="shared" si="59"/>
        <v/>
      </c>
      <c r="L211" s="22" t="str">
        <f t="shared" si="60"/>
        <v/>
      </c>
      <c r="M211" s="22" t="str">
        <f t="shared" si="61"/>
        <v/>
      </c>
      <c r="N211" s="103"/>
      <c r="O211" s="102"/>
    </row>
    <row r="212" spans="2:15" hidden="1" outlineLevel="1" x14ac:dyDescent="0.2">
      <c r="B212" s="2">
        <f t="shared" si="52"/>
        <v>159</v>
      </c>
      <c r="D212" s="22">
        <f>IF(B212&lt;$D$24,(+#REF!/'CALCULETTE (2)'!$B$612),0)</f>
        <v>0</v>
      </c>
      <c r="E212" s="22" t="str">
        <f t="shared" si="53"/>
        <v/>
      </c>
      <c r="F212" s="22" t="str">
        <f t="shared" si="54"/>
        <v/>
      </c>
      <c r="G212" s="22" t="str">
        <f t="shared" si="55"/>
        <v/>
      </c>
      <c r="H212" s="22" t="str">
        <f t="shared" si="56"/>
        <v/>
      </c>
      <c r="I212" s="22" t="str">
        <f t="shared" si="57"/>
        <v/>
      </c>
      <c r="J212" s="22" t="str">
        <f t="shared" si="58"/>
        <v/>
      </c>
      <c r="K212" s="22" t="str">
        <f t="shared" si="59"/>
        <v/>
      </c>
      <c r="L212" s="22" t="str">
        <f t="shared" si="60"/>
        <v/>
      </c>
      <c r="M212" s="22" t="str">
        <f t="shared" si="61"/>
        <v/>
      </c>
      <c r="N212" s="103"/>
      <c r="O212" s="102"/>
    </row>
    <row r="213" spans="2:15" hidden="1" outlineLevel="1" x14ac:dyDescent="0.2">
      <c r="B213" s="2">
        <f t="shared" si="52"/>
        <v>160</v>
      </c>
      <c r="D213" s="22">
        <f>IF(B213&lt;$D$24,(+#REF!/'CALCULETTE (2)'!$B$612),0)</f>
        <v>0</v>
      </c>
      <c r="E213" s="22" t="str">
        <f t="shared" si="53"/>
        <v/>
      </c>
      <c r="F213" s="22" t="str">
        <f t="shared" si="54"/>
        <v/>
      </c>
      <c r="G213" s="22" t="str">
        <f t="shared" si="55"/>
        <v/>
      </c>
      <c r="H213" s="22" t="str">
        <f t="shared" si="56"/>
        <v/>
      </c>
      <c r="I213" s="22" t="str">
        <f t="shared" si="57"/>
        <v/>
      </c>
      <c r="J213" s="22" t="str">
        <f t="shared" si="58"/>
        <v/>
      </c>
      <c r="K213" s="22" t="str">
        <f t="shared" si="59"/>
        <v/>
      </c>
      <c r="L213" s="22" t="str">
        <f t="shared" si="60"/>
        <v/>
      </c>
      <c r="M213" s="22" t="str">
        <f t="shared" si="61"/>
        <v/>
      </c>
      <c r="N213" s="103"/>
      <c r="O213" s="102"/>
    </row>
    <row r="214" spans="2:15" hidden="1" outlineLevel="1" x14ac:dyDescent="0.2">
      <c r="B214" s="2">
        <f t="shared" ref="B214:B232" si="62">B213+1</f>
        <v>161</v>
      </c>
      <c r="D214" s="22">
        <f>IF(B214&lt;$D$24,(+#REF!/'CALCULETTE (2)'!$B$612),0)</f>
        <v>0</v>
      </c>
      <c r="E214" s="22" t="str">
        <f t="shared" ref="E214:E232" si="63">IF(E$1=0,"",IF($B214&lt;E$23,E213+PPMT(E$25/12,$B214,E$23,E$53,-E$27,0),IF($B214=E$23,E213+PPMT(E$25/12,$B214,E$23,E$53,-E$27,0)-E$27,0)))</f>
        <v/>
      </c>
      <c r="F214" s="22" t="str">
        <f t="shared" ref="F214:F232" si="64">IF(F$1=0,"",IF($B214&lt;F$23,F213+PPMT(F$25/12,$B214,F$23,F$53,-F$27,0),IF($B214=F$23,F213+PPMT(F$25/12,$B214,F$23,F$53,-F$27,0)-F$27,0)))</f>
        <v/>
      </c>
      <c r="G214" s="22" t="str">
        <f t="shared" ref="G214:G232" si="65">IF(G$1=0,"",IF($B214&lt;G$23,G213+PPMT(G$25/12,$B214,G$23,G$53,-G$27,0),IF($B214=G$23,G213+PPMT(G$25/12,$B214,G$23,G$53,-G$27,0)-G$27,0)))</f>
        <v/>
      </c>
      <c r="H214" s="22" t="str">
        <f t="shared" ref="H214:H232" si="66">IF(H$1=0,"",IF($B214&lt;H$23,H213+PPMT(H$25/12,$B214,H$23,H$53,-H$27,0),IF($B214=H$23,H213+PPMT(H$25/12,$B214,H$23,H$53,-H$27,0)-H$27,0)))</f>
        <v/>
      </c>
      <c r="I214" s="22" t="str">
        <f t="shared" ref="I214:I232" si="67">IF(I$1=0,"",IF($B214&lt;I$23,I213+PPMT(I$25/12,$B214,I$23,I$53,-I$27,0),IF($B214=I$23,I213+PPMT(I$25/12,$B214,I$23,I$53,-I$27,0)-I$27,0)))</f>
        <v/>
      </c>
      <c r="J214" s="22" t="str">
        <f t="shared" ref="J214:J232" si="68">IF(J$1=0,"",IF($B214&lt;J$23,J213+PPMT(J$25/12,$B214,J$23,J$53,-J$27,0),IF($B214=J$23,J213+PPMT(J$25/12,$B214,J$23,J$53,-J$27,0)-J$27,0)))</f>
        <v/>
      </c>
      <c r="K214" s="22" t="str">
        <f t="shared" ref="K214:K232" si="69">IF(K$1=0,"",IF($B214&lt;K$23,K213+PPMT(K$25/12,$B214,K$23,K$53,-K$27,0),IF($B214=K$23,K213+PPMT(K$25/12,$B214,K$23,K$53,-K$27,0)-K$27,0)))</f>
        <v/>
      </c>
      <c r="L214" s="22" t="str">
        <f t="shared" ref="L214:L232" si="70">IF(L$1=0,"",IF($B214&lt;L$23,L213+PPMT(L$25/12,$B214,L$23,L$53,-L$27,0),IF($B214=L$23,L213+PPMT(L$25/12,$B214,L$23,L$53,-L$27,0)-L$27,0)))</f>
        <v/>
      </c>
      <c r="M214" s="22" t="str">
        <f t="shared" ref="M214:M232" si="71">IF(M$1=0,"",IF($B214&lt;M$23,M213+PPMT(M$25/12,$B214,M$23,M$53,-M$27,0),IF($B214=M$23,M213+PPMT(M$25/12,$B214,M$23,M$53,-M$27,0)-M$27,0)))</f>
        <v/>
      </c>
      <c r="N214" s="103"/>
      <c r="O214" s="102"/>
    </row>
    <row r="215" spans="2:15" hidden="1" outlineLevel="1" x14ac:dyDescent="0.2">
      <c r="B215" s="2">
        <f t="shared" si="62"/>
        <v>162</v>
      </c>
      <c r="D215" s="22">
        <f>IF(B215&lt;$D$24,(+#REF!/'CALCULETTE (2)'!$B$612),0)</f>
        <v>0</v>
      </c>
      <c r="E215" s="22" t="str">
        <f t="shared" si="63"/>
        <v/>
      </c>
      <c r="F215" s="22" t="str">
        <f t="shared" si="64"/>
        <v/>
      </c>
      <c r="G215" s="22" t="str">
        <f t="shared" si="65"/>
        <v/>
      </c>
      <c r="H215" s="22" t="str">
        <f t="shared" si="66"/>
        <v/>
      </c>
      <c r="I215" s="22" t="str">
        <f t="shared" si="67"/>
        <v/>
      </c>
      <c r="J215" s="22" t="str">
        <f t="shared" si="68"/>
        <v/>
      </c>
      <c r="K215" s="22" t="str">
        <f t="shared" si="69"/>
        <v/>
      </c>
      <c r="L215" s="22" t="str">
        <f t="shared" si="70"/>
        <v/>
      </c>
      <c r="M215" s="22" t="str">
        <f t="shared" si="71"/>
        <v/>
      </c>
      <c r="N215" s="103"/>
      <c r="O215" s="102"/>
    </row>
    <row r="216" spans="2:15" hidden="1" outlineLevel="1" x14ac:dyDescent="0.2">
      <c r="B216" s="2">
        <f t="shared" si="62"/>
        <v>163</v>
      </c>
      <c r="D216" s="22">
        <f>IF(B216&lt;$D$24,(+#REF!/'CALCULETTE (2)'!$B$612),0)</f>
        <v>0</v>
      </c>
      <c r="E216" s="22" t="str">
        <f t="shared" si="63"/>
        <v/>
      </c>
      <c r="F216" s="22" t="str">
        <f t="shared" si="64"/>
        <v/>
      </c>
      <c r="G216" s="22" t="str">
        <f t="shared" si="65"/>
        <v/>
      </c>
      <c r="H216" s="22" t="str">
        <f t="shared" si="66"/>
        <v/>
      </c>
      <c r="I216" s="22" t="str">
        <f t="shared" si="67"/>
        <v/>
      </c>
      <c r="J216" s="22" t="str">
        <f t="shared" si="68"/>
        <v/>
      </c>
      <c r="K216" s="22" t="str">
        <f t="shared" si="69"/>
        <v/>
      </c>
      <c r="L216" s="22" t="str">
        <f t="shared" si="70"/>
        <v/>
      </c>
      <c r="M216" s="22" t="str">
        <f t="shared" si="71"/>
        <v/>
      </c>
      <c r="N216" s="103"/>
      <c r="O216" s="102"/>
    </row>
    <row r="217" spans="2:15" hidden="1" outlineLevel="1" x14ac:dyDescent="0.2">
      <c r="B217" s="2">
        <f t="shared" si="62"/>
        <v>164</v>
      </c>
      <c r="D217" s="22">
        <f>IF(B217&lt;$D$24,(+#REF!/'CALCULETTE (2)'!$B$612),0)</f>
        <v>0</v>
      </c>
      <c r="E217" s="22" t="str">
        <f t="shared" si="63"/>
        <v/>
      </c>
      <c r="F217" s="22" t="str">
        <f t="shared" si="64"/>
        <v/>
      </c>
      <c r="G217" s="22" t="str">
        <f t="shared" si="65"/>
        <v/>
      </c>
      <c r="H217" s="22" t="str">
        <f t="shared" si="66"/>
        <v/>
      </c>
      <c r="I217" s="22" t="str">
        <f t="shared" si="67"/>
        <v/>
      </c>
      <c r="J217" s="22" t="str">
        <f t="shared" si="68"/>
        <v/>
      </c>
      <c r="K217" s="22" t="str">
        <f t="shared" si="69"/>
        <v/>
      </c>
      <c r="L217" s="22" t="str">
        <f t="shared" si="70"/>
        <v/>
      </c>
      <c r="M217" s="22" t="str">
        <f t="shared" si="71"/>
        <v/>
      </c>
      <c r="N217" s="103"/>
      <c r="O217" s="102"/>
    </row>
    <row r="218" spans="2:15" hidden="1" outlineLevel="1" x14ac:dyDescent="0.2">
      <c r="B218" s="2">
        <f t="shared" si="62"/>
        <v>165</v>
      </c>
      <c r="D218" s="22">
        <f>IF(B218&lt;$D$24,(+#REF!/'CALCULETTE (2)'!$B$612),0)</f>
        <v>0</v>
      </c>
      <c r="E218" s="22" t="str">
        <f t="shared" si="63"/>
        <v/>
      </c>
      <c r="F218" s="22" t="str">
        <f t="shared" si="64"/>
        <v/>
      </c>
      <c r="G218" s="22" t="str">
        <f t="shared" si="65"/>
        <v/>
      </c>
      <c r="H218" s="22" t="str">
        <f t="shared" si="66"/>
        <v/>
      </c>
      <c r="I218" s="22" t="str">
        <f t="shared" si="67"/>
        <v/>
      </c>
      <c r="J218" s="22" t="str">
        <f t="shared" si="68"/>
        <v/>
      </c>
      <c r="K218" s="22" t="str">
        <f t="shared" si="69"/>
        <v/>
      </c>
      <c r="L218" s="22" t="str">
        <f t="shared" si="70"/>
        <v/>
      </c>
      <c r="M218" s="22" t="str">
        <f t="shared" si="71"/>
        <v/>
      </c>
      <c r="N218" s="103"/>
      <c r="O218" s="102"/>
    </row>
    <row r="219" spans="2:15" hidden="1" outlineLevel="1" x14ac:dyDescent="0.2">
      <c r="B219" s="2">
        <f t="shared" si="62"/>
        <v>166</v>
      </c>
      <c r="D219" s="22">
        <f>IF(B219&lt;$D$24,(+#REF!/'CALCULETTE (2)'!$B$612),0)</f>
        <v>0</v>
      </c>
      <c r="E219" s="22" t="str">
        <f t="shared" si="63"/>
        <v/>
      </c>
      <c r="F219" s="22" t="str">
        <f t="shared" si="64"/>
        <v/>
      </c>
      <c r="G219" s="22" t="str">
        <f t="shared" si="65"/>
        <v/>
      </c>
      <c r="H219" s="22" t="str">
        <f t="shared" si="66"/>
        <v/>
      </c>
      <c r="I219" s="22" t="str">
        <f t="shared" si="67"/>
        <v/>
      </c>
      <c r="J219" s="22" t="str">
        <f t="shared" si="68"/>
        <v/>
      </c>
      <c r="K219" s="22" t="str">
        <f t="shared" si="69"/>
        <v/>
      </c>
      <c r="L219" s="22" t="str">
        <f t="shared" si="70"/>
        <v/>
      </c>
      <c r="M219" s="22" t="str">
        <f t="shared" si="71"/>
        <v/>
      </c>
      <c r="N219" s="103"/>
      <c r="O219" s="102"/>
    </row>
    <row r="220" spans="2:15" hidden="1" outlineLevel="1" x14ac:dyDescent="0.2">
      <c r="B220" s="2">
        <f t="shared" si="62"/>
        <v>167</v>
      </c>
      <c r="D220" s="22">
        <f>IF(B220&lt;$D$24,(+#REF!/'CALCULETTE (2)'!$B$612),0)</f>
        <v>0</v>
      </c>
      <c r="E220" s="22" t="str">
        <f t="shared" si="63"/>
        <v/>
      </c>
      <c r="F220" s="22" t="str">
        <f t="shared" si="64"/>
        <v/>
      </c>
      <c r="G220" s="22" t="str">
        <f t="shared" si="65"/>
        <v/>
      </c>
      <c r="H220" s="22" t="str">
        <f t="shared" si="66"/>
        <v/>
      </c>
      <c r="I220" s="22" t="str">
        <f t="shared" si="67"/>
        <v/>
      </c>
      <c r="J220" s="22" t="str">
        <f t="shared" si="68"/>
        <v/>
      </c>
      <c r="K220" s="22" t="str">
        <f t="shared" si="69"/>
        <v/>
      </c>
      <c r="L220" s="22" t="str">
        <f t="shared" si="70"/>
        <v/>
      </c>
      <c r="M220" s="22" t="str">
        <f t="shared" si="71"/>
        <v/>
      </c>
      <c r="N220" s="103"/>
      <c r="O220" s="102"/>
    </row>
    <row r="221" spans="2:15" hidden="1" outlineLevel="1" x14ac:dyDescent="0.2">
      <c r="B221" s="2">
        <f t="shared" si="62"/>
        <v>168</v>
      </c>
      <c r="D221" s="22">
        <f>IF(B221&lt;$D$24,(+#REF!/'CALCULETTE (2)'!$B$612),0)</f>
        <v>0</v>
      </c>
      <c r="E221" s="22" t="str">
        <f t="shared" si="63"/>
        <v/>
      </c>
      <c r="F221" s="22" t="str">
        <f t="shared" si="64"/>
        <v/>
      </c>
      <c r="G221" s="22" t="str">
        <f t="shared" si="65"/>
        <v/>
      </c>
      <c r="H221" s="22" t="str">
        <f t="shared" si="66"/>
        <v/>
      </c>
      <c r="I221" s="22" t="str">
        <f t="shared" si="67"/>
        <v/>
      </c>
      <c r="J221" s="22" t="str">
        <f t="shared" si="68"/>
        <v/>
      </c>
      <c r="K221" s="22" t="str">
        <f t="shared" si="69"/>
        <v/>
      </c>
      <c r="L221" s="22" t="str">
        <f t="shared" si="70"/>
        <v/>
      </c>
      <c r="M221" s="22" t="str">
        <f t="shared" si="71"/>
        <v/>
      </c>
      <c r="N221" s="103"/>
      <c r="O221" s="102"/>
    </row>
    <row r="222" spans="2:15" hidden="1" outlineLevel="1" x14ac:dyDescent="0.2">
      <c r="B222" s="2">
        <f t="shared" si="62"/>
        <v>169</v>
      </c>
      <c r="D222" s="22">
        <f>IF(B222&lt;$D$24,(+#REF!/'CALCULETTE (2)'!$B$612),0)</f>
        <v>0</v>
      </c>
      <c r="E222" s="22" t="str">
        <f t="shared" si="63"/>
        <v/>
      </c>
      <c r="F222" s="22" t="str">
        <f t="shared" si="64"/>
        <v/>
      </c>
      <c r="G222" s="22" t="str">
        <f t="shared" si="65"/>
        <v/>
      </c>
      <c r="H222" s="22" t="str">
        <f t="shared" si="66"/>
        <v/>
      </c>
      <c r="I222" s="22" t="str">
        <f t="shared" si="67"/>
        <v/>
      </c>
      <c r="J222" s="22" t="str">
        <f t="shared" si="68"/>
        <v/>
      </c>
      <c r="K222" s="22" t="str">
        <f t="shared" si="69"/>
        <v/>
      </c>
      <c r="L222" s="22" t="str">
        <f t="shared" si="70"/>
        <v/>
      </c>
      <c r="M222" s="22" t="str">
        <f t="shared" si="71"/>
        <v/>
      </c>
      <c r="N222" s="103"/>
      <c r="O222" s="102"/>
    </row>
    <row r="223" spans="2:15" hidden="1" outlineLevel="1" x14ac:dyDescent="0.2">
      <c r="B223" s="2">
        <f t="shared" si="62"/>
        <v>170</v>
      </c>
      <c r="D223" s="22">
        <f>IF(B223&lt;$D$24,(+#REF!/'CALCULETTE (2)'!$B$612),0)</f>
        <v>0</v>
      </c>
      <c r="E223" s="22" t="str">
        <f t="shared" si="63"/>
        <v/>
      </c>
      <c r="F223" s="22" t="str">
        <f t="shared" si="64"/>
        <v/>
      </c>
      <c r="G223" s="22" t="str">
        <f t="shared" si="65"/>
        <v/>
      </c>
      <c r="H223" s="22" t="str">
        <f t="shared" si="66"/>
        <v/>
      </c>
      <c r="I223" s="22" t="str">
        <f t="shared" si="67"/>
        <v/>
      </c>
      <c r="J223" s="22" t="str">
        <f t="shared" si="68"/>
        <v/>
      </c>
      <c r="K223" s="22" t="str">
        <f t="shared" si="69"/>
        <v/>
      </c>
      <c r="L223" s="22" t="str">
        <f t="shared" si="70"/>
        <v/>
      </c>
      <c r="M223" s="22" t="str">
        <f t="shared" si="71"/>
        <v/>
      </c>
      <c r="N223" s="103"/>
      <c r="O223" s="102"/>
    </row>
    <row r="224" spans="2:15" hidden="1" outlineLevel="1" x14ac:dyDescent="0.2">
      <c r="B224" s="2">
        <f t="shared" si="62"/>
        <v>171</v>
      </c>
      <c r="D224" s="22">
        <f>IF(B224&lt;$D$24,(+#REF!/'CALCULETTE (2)'!$B$612),0)</f>
        <v>0</v>
      </c>
      <c r="E224" s="22" t="str">
        <f t="shared" si="63"/>
        <v/>
      </c>
      <c r="F224" s="22" t="str">
        <f t="shared" si="64"/>
        <v/>
      </c>
      <c r="G224" s="22" t="str">
        <f t="shared" si="65"/>
        <v/>
      </c>
      <c r="H224" s="22" t="str">
        <f t="shared" si="66"/>
        <v/>
      </c>
      <c r="I224" s="22" t="str">
        <f t="shared" si="67"/>
        <v/>
      </c>
      <c r="J224" s="22" t="str">
        <f t="shared" si="68"/>
        <v/>
      </c>
      <c r="K224" s="22" t="str">
        <f t="shared" si="69"/>
        <v/>
      </c>
      <c r="L224" s="22" t="str">
        <f t="shared" si="70"/>
        <v/>
      </c>
      <c r="M224" s="22" t="str">
        <f t="shared" si="71"/>
        <v/>
      </c>
      <c r="N224" s="103"/>
      <c r="O224" s="102"/>
    </row>
    <row r="225" spans="2:15" hidden="1" outlineLevel="1" x14ac:dyDescent="0.2">
      <c r="B225" s="2">
        <f t="shared" si="62"/>
        <v>172</v>
      </c>
      <c r="D225" s="22">
        <f>IF(B225&lt;$D$24,(+#REF!/'CALCULETTE (2)'!$B$612),0)</f>
        <v>0</v>
      </c>
      <c r="E225" s="22" t="str">
        <f t="shared" si="63"/>
        <v/>
      </c>
      <c r="F225" s="22" t="str">
        <f t="shared" si="64"/>
        <v/>
      </c>
      <c r="G225" s="22" t="str">
        <f t="shared" si="65"/>
        <v/>
      </c>
      <c r="H225" s="22" t="str">
        <f t="shared" si="66"/>
        <v/>
      </c>
      <c r="I225" s="22" t="str">
        <f t="shared" si="67"/>
        <v/>
      </c>
      <c r="J225" s="22" t="str">
        <f t="shared" si="68"/>
        <v/>
      </c>
      <c r="K225" s="22" t="str">
        <f t="shared" si="69"/>
        <v/>
      </c>
      <c r="L225" s="22" t="str">
        <f t="shared" si="70"/>
        <v/>
      </c>
      <c r="M225" s="22" t="str">
        <f t="shared" si="71"/>
        <v/>
      </c>
      <c r="N225" s="103"/>
      <c r="O225" s="102"/>
    </row>
    <row r="226" spans="2:15" hidden="1" outlineLevel="1" x14ac:dyDescent="0.2">
      <c r="B226" s="2">
        <f t="shared" si="62"/>
        <v>173</v>
      </c>
      <c r="D226" s="22">
        <f>IF(B226&lt;$D$24,(+#REF!/'CALCULETTE (2)'!$B$612),0)</f>
        <v>0</v>
      </c>
      <c r="E226" s="22" t="str">
        <f t="shared" si="63"/>
        <v/>
      </c>
      <c r="F226" s="22" t="str">
        <f t="shared" si="64"/>
        <v/>
      </c>
      <c r="G226" s="22" t="str">
        <f t="shared" si="65"/>
        <v/>
      </c>
      <c r="H226" s="22" t="str">
        <f t="shared" si="66"/>
        <v/>
      </c>
      <c r="I226" s="22" t="str">
        <f t="shared" si="67"/>
        <v/>
      </c>
      <c r="J226" s="22" t="str">
        <f t="shared" si="68"/>
        <v/>
      </c>
      <c r="K226" s="22" t="str">
        <f t="shared" si="69"/>
        <v/>
      </c>
      <c r="L226" s="22" t="str">
        <f t="shared" si="70"/>
        <v/>
      </c>
      <c r="M226" s="22" t="str">
        <f t="shared" si="71"/>
        <v/>
      </c>
      <c r="N226" s="103"/>
      <c r="O226" s="102"/>
    </row>
    <row r="227" spans="2:15" hidden="1" outlineLevel="1" x14ac:dyDescent="0.2">
      <c r="B227" s="2">
        <f t="shared" si="62"/>
        <v>174</v>
      </c>
      <c r="D227" s="22">
        <f>IF(B227&lt;$D$24,(+#REF!/'CALCULETTE (2)'!$B$612),0)</f>
        <v>0</v>
      </c>
      <c r="E227" s="22" t="str">
        <f t="shared" si="63"/>
        <v/>
      </c>
      <c r="F227" s="22" t="str">
        <f t="shared" si="64"/>
        <v/>
      </c>
      <c r="G227" s="22" t="str">
        <f t="shared" si="65"/>
        <v/>
      </c>
      <c r="H227" s="22" t="str">
        <f t="shared" si="66"/>
        <v/>
      </c>
      <c r="I227" s="22" t="str">
        <f t="shared" si="67"/>
        <v/>
      </c>
      <c r="J227" s="22" t="str">
        <f t="shared" si="68"/>
        <v/>
      </c>
      <c r="K227" s="22" t="str">
        <f t="shared" si="69"/>
        <v/>
      </c>
      <c r="L227" s="22" t="str">
        <f t="shared" si="70"/>
        <v/>
      </c>
      <c r="M227" s="22" t="str">
        <f t="shared" si="71"/>
        <v/>
      </c>
      <c r="N227" s="103"/>
      <c r="O227" s="102"/>
    </row>
    <row r="228" spans="2:15" hidden="1" outlineLevel="1" x14ac:dyDescent="0.2">
      <c r="B228" s="2">
        <f t="shared" si="62"/>
        <v>175</v>
      </c>
      <c r="D228" s="22">
        <f>IF(B228&lt;$D$24,(+#REF!/'CALCULETTE (2)'!$B$612),0)</f>
        <v>0</v>
      </c>
      <c r="E228" s="22" t="str">
        <f t="shared" si="63"/>
        <v/>
      </c>
      <c r="F228" s="22" t="str">
        <f t="shared" si="64"/>
        <v/>
      </c>
      <c r="G228" s="22" t="str">
        <f t="shared" si="65"/>
        <v/>
      </c>
      <c r="H228" s="22" t="str">
        <f t="shared" si="66"/>
        <v/>
      </c>
      <c r="I228" s="22" t="str">
        <f t="shared" si="67"/>
        <v/>
      </c>
      <c r="J228" s="22" t="str">
        <f t="shared" si="68"/>
        <v/>
      </c>
      <c r="K228" s="22" t="str">
        <f t="shared" si="69"/>
        <v/>
      </c>
      <c r="L228" s="22" t="str">
        <f t="shared" si="70"/>
        <v/>
      </c>
      <c r="M228" s="22" t="str">
        <f t="shared" si="71"/>
        <v/>
      </c>
      <c r="N228" s="103"/>
      <c r="O228" s="102"/>
    </row>
    <row r="229" spans="2:15" hidden="1" outlineLevel="1" x14ac:dyDescent="0.2">
      <c r="B229" s="2">
        <f t="shared" si="62"/>
        <v>176</v>
      </c>
      <c r="D229" s="22">
        <f>IF(B229&lt;$D$24,(+#REF!/'CALCULETTE (2)'!$B$612),0)</f>
        <v>0</v>
      </c>
      <c r="E229" s="22" t="str">
        <f t="shared" si="63"/>
        <v/>
      </c>
      <c r="F229" s="22" t="str">
        <f t="shared" si="64"/>
        <v/>
      </c>
      <c r="G229" s="22" t="str">
        <f t="shared" si="65"/>
        <v/>
      </c>
      <c r="H229" s="22" t="str">
        <f t="shared" si="66"/>
        <v/>
      </c>
      <c r="I229" s="22" t="str">
        <f t="shared" si="67"/>
        <v/>
      </c>
      <c r="J229" s="22" t="str">
        <f t="shared" si="68"/>
        <v/>
      </c>
      <c r="K229" s="22" t="str">
        <f t="shared" si="69"/>
        <v/>
      </c>
      <c r="L229" s="22" t="str">
        <f t="shared" si="70"/>
        <v/>
      </c>
      <c r="M229" s="22" t="str">
        <f t="shared" si="71"/>
        <v/>
      </c>
      <c r="N229" s="103"/>
      <c r="O229" s="102"/>
    </row>
    <row r="230" spans="2:15" hidden="1" outlineLevel="1" x14ac:dyDescent="0.2">
      <c r="B230" s="2">
        <f t="shared" si="62"/>
        <v>177</v>
      </c>
      <c r="D230" s="22">
        <f>IF(B230&lt;$D$24,(+#REF!/'CALCULETTE (2)'!$B$612),0)</f>
        <v>0</v>
      </c>
      <c r="E230" s="22" t="str">
        <f t="shared" si="63"/>
        <v/>
      </c>
      <c r="F230" s="22" t="str">
        <f t="shared" si="64"/>
        <v/>
      </c>
      <c r="G230" s="22" t="str">
        <f t="shared" si="65"/>
        <v/>
      </c>
      <c r="H230" s="22" t="str">
        <f t="shared" si="66"/>
        <v/>
      </c>
      <c r="I230" s="22" t="str">
        <f t="shared" si="67"/>
        <v/>
      </c>
      <c r="J230" s="22" t="str">
        <f t="shared" si="68"/>
        <v/>
      </c>
      <c r="K230" s="22" t="str">
        <f t="shared" si="69"/>
        <v/>
      </c>
      <c r="L230" s="22" t="str">
        <f t="shared" si="70"/>
        <v/>
      </c>
      <c r="M230" s="22" t="str">
        <f t="shared" si="71"/>
        <v/>
      </c>
      <c r="N230" s="103"/>
      <c r="O230" s="102"/>
    </row>
    <row r="231" spans="2:15" hidden="1" outlineLevel="1" x14ac:dyDescent="0.2">
      <c r="B231" s="2">
        <f t="shared" si="62"/>
        <v>178</v>
      </c>
      <c r="D231" s="22">
        <f>IF(B231&lt;$D$24,(+#REF!/'CALCULETTE (2)'!$B$612),0)</f>
        <v>0</v>
      </c>
      <c r="E231" s="22" t="str">
        <f t="shared" si="63"/>
        <v/>
      </c>
      <c r="F231" s="22" t="str">
        <f t="shared" si="64"/>
        <v/>
      </c>
      <c r="G231" s="22" t="str">
        <f t="shared" si="65"/>
        <v/>
      </c>
      <c r="H231" s="22" t="str">
        <f t="shared" si="66"/>
        <v/>
      </c>
      <c r="I231" s="22" t="str">
        <f t="shared" si="67"/>
        <v/>
      </c>
      <c r="J231" s="22" t="str">
        <f t="shared" si="68"/>
        <v/>
      </c>
      <c r="K231" s="22" t="str">
        <f t="shared" si="69"/>
        <v/>
      </c>
      <c r="L231" s="22" t="str">
        <f t="shared" si="70"/>
        <v/>
      </c>
      <c r="M231" s="22" t="str">
        <f t="shared" si="71"/>
        <v/>
      </c>
      <c r="N231" s="103"/>
      <c r="O231" s="102"/>
    </row>
    <row r="232" spans="2:15" hidden="1" outlineLevel="1" x14ac:dyDescent="0.2">
      <c r="B232" s="2">
        <f t="shared" si="62"/>
        <v>179</v>
      </c>
      <c r="D232" s="22">
        <f>IF(B232&lt;$D$24,(+#REF!/'CALCULETTE (2)'!$B$612),0)</f>
        <v>0</v>
      </c>
      <c r="E232" s="22" t="str">
        <f t="shared" si="63"/>
        <v/>
      </c>
      <c r="F232" s="22" t="str">
        <f t="shared" si="64"/>
        <v/>
      </c>
      <c r="G232" s="22" t="str">
        <f t="shared" si="65"/>
        <v/>
      </c>
      <c r="H232" s="22" t="str">
        <f t="shared" si="66"/>
        <v/>
      </c>
      <c r="I232" s="22" t="str">
        <f t="shared" si="67"/>
        <v/>
      </c>
      <c r="J232" s="22" t="str">
        <f t="shared" si="68"/>
        <v/>
      </c>
      <c r="K232" s="22" t="str">
        <f t="shared" si="69"/>
        <v/>
      </c>
      <c r="L232" s="22" t="str">
        <f t="shared" si="70"/>
        <v/>
      </c>
      <c r="M232" s="22" t="str">
        <f t="shared" si="71"/>
        <v/>
      </c>
      <c r="N232" s="103"/>
      <c r="O232" s="102"/>
    </row>
    <row r="233" spans="2:15" hidden="1" outlineLevel="1" x14ac:dyDescent="0.2"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103"/>
    </row>
    <row r="234" spans="2:15" hidden="1" outlineLevel="1" x14ac:dyDescent="0.2">
      <c r="B234" s="21" t="s">
        <v>45</v>
      </c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103"/>
    </row>
    <row r="235" spans="2:15" hidden="1" outlineLevel="1" x14ac:dyDescent="0.2">
      <c r="B235" s="2">
        <v>0</v>
      </c>
      <c r="D235" s="22">
        <f>IF(B235&lt;$D$24,(+'CALCULETTE (2)'!G632/'CALCULETTE (2)'!$B$612),0)</f>
        <v>0.995</v>
      </c>
      <c r="E235" s="22" t="str">
        <f t="shared" ref="E235:M235" si="72">IF(E$1=0,"",1)</f>
        <v/>
      </c>
      <c r="F235" s="22" t="str">
        <f t="shared" si="72"/>
        <v/>
      </c>
      <c r="G235" s="22" t="str">
        <f t="shared" si="72"/>
        <v/>
      </c>
      <c r="H235" s="22" t="str">
        <f t="shared" si="72"/>
        <v/>
      </c>
      <c r="I235" s="22" t="str">
        <f t="shared" si="72"/>
        <v/>
      </c>
      <c r="J235" s="22" t="str">
        <f t="shared" si="72"/>
        <v/>
      </c>
      <c r="K235" s="22" t="str">
        <f t="shared" si="72"/>
        <v/>
      </c>
      <c r="L235" s="22" t="str">
        <f t="shared" si="72"/>
        <v/>
      </c>
      <c r="M235" s="22" t="str">
        <f t="shared" si="72"/>
        <v/>
      </c>
      <c r="N235" s="103"/>
      <c r="O235" s="102"/>
    </row>
    <row r="236" spans="2:15" hidden="1" outlineLevel="1" x14ac:dyDescent="0.2">
      <c r="B236" s="2">
        <f t="shared" ref="B236:B267" si="73">B235+1</f>
        <v>1</v>
      </c>
      <c r="D236" s="22">
        <f>IF(B236&lt;$D$24,(+'CALCULETTE (2)'!G633/'CALCULETTE (2)'!$B$612),0)</f>
        <v>0.97979706938554523</v>
      </c>
      <c r="E236" s="22" t="str">
        <f t="shared" ref="E236:E267" si="74">IF(E$1=0,"",IF($B236&lt;E$23,E235+PPMT(E$26/12,$B236,E$23,E$235,-E$27,0),IF($B236=E$23,E235+PPMT(E$26/12,$B236,E$23,E$235,-E$27,0)-E$27,0)))</f>
        <v/>
      </c>
      <c r="F236" s="22" t="str">
        <f t="shared" ref="F236:F267" si="75">IF(F$1=0,"",IF($B236&lt;F$23,F235+PPMT(F$26/12,$B236,F$23,F$235,-F$27,0),IF($B236=F$23,F235+PPMT(F$26/12,$B236,F$23,F$235,-F$27,0)-F$27,0)))</f>
        <v/>
      </c>
      <c r="G236" s="22" t="str">
        <f t="shared" ref="G236:G267" si="76">IF(G$1=0,"",IF($B236&lt;G$23,G235+PPMT(G$26/12,$B236,G$23,G$235,-G$27,0),IF($B236=G$23,G235+PPMT(G$26/12,$B236,G$23,G$235,-G$27,0)-G$27,0)))</f>
        <v/>
      </c>
      <c r="H236" s="22" t="str">
        <f t="shared" ref="H236:H267" si="77">IF(H$1=0,"",IF($B236&lt;H$23,H235+PPMT(H$26/12,$B236,H$23,H$235,-H$27,0),IF($B236=H$23,H235+PPMT(H$26/12,$B236,H$23,H$235,-H$27,0)-H$27,0)))</f>
        <v/>
      </c>
      <c r="I236" s="22" t="str">
        <f t="shared" ref="I236:I267" si="78">IF(I$1=0,"",IF($B236&lt;I$23,I235+PPMT(I$26/12,$B236,I$23,I$235,-I$27,0),IF($B236=I$23,I235+PPMT(I$26/12,$B236,I$23,I$235,-I$27,0)-I$27,0)))</f>
        <v/>
      </c>
      <c r="J236" s="22" t="str">
        <f t="shared" ref="J236:J267" si="79">IF(J$1=0,"",IF($B236&lt;J$23,J235+PPMT(J$26/12,$B236,J$23,J$235,-J$27,0),IF($B236=J$23,J235+PPMT(J$26/12,$B236,J$23,J$235,-J$27,0)-J$27,0)))</f>
        <v/>
      </c>
      <c r="K236" s="22" t="str">
        <f t="shared" ref="K236:K267" si="80">IF(K$1=0,"",IF($B236&lt;K$23,K235+PPMT(K$26/12,$B236,K$23,K$235,-K$27,0),IF($B236=K$23,K235+PPMT(K$26/12,$B236,K$23,K$235,-K$27,0)-K$27,0)))</f>
        <v/>
      </c>
      <c r="L236" s="22" t="str">
        <f t="shared" ref="L236:L267" si="81">IF(L$1=0,"",IF($B236&lt;L$23,L235+PPMT(L$26/12,$B236,L$23,L$235,-L$27,0),IF($B236=L$23,L235+PPMT(L$26/12,$B236,L$23,L$235,-L$27,0)-L$27,0)))</f>
        <v/>
      </c>
      <c r="M236" s="22" t="str">
        <f t="shared" ref="M236:M267" si="82">IF(M$1=0,"",IF($B236&lt;M$23,M235+PPMT(M$26/12,$B236,M$23,M$235,-M$27,0),IF($B236=M$23,M235+PPMT(M$26/12,$B236,M$23,M$235,-M$27,0)-M$27,0)))</f>
        <v/>
      </c>
      <c r="N236" s="103"/>
      <c r="O236" s="102"/>
    </row>
    <row r="237" spans="2:15" hidden="1" outlineLevel="1" x14ac:dyDescent="0.2">
      <c r="B237" s="2">
        <f t="shared" si="73"/>
        <v>2</v>
      </c>
      <c r="D237" s="22">
        <f>IF(B237&lt;$D$24,(+'CALCULETTE (2)'!G634/'CALCULETTE (2)'!$B$612),0)</f>
        <v>0.96467083315538493</v>
      </c>
      <c r="E237" s="22" t="str">
        <f t="shared" si="74"/>
        <v/>
      </c>
      <c r="F237" s="22" t="str">
        <f t="shared" si="75"/>
        <v/>
      </c>
      <c r="G237" s="22" t="str">
        <f t="shared" si="76"/>
        <v/>
      </c>
      <c r="H237" s="22" t="str">
        <f t="shared" si="77"/>
        <v/>
      </c>
      <c r="I237" s="22" t="str">
        <f t="shared" si="78"/>
        <v/>
      </c>
      <c r="J237" s="22" t="str">
        <f t="shared" si="79"/>
        <v/>
      </c>
      <c r="K237" s="22" t="str">
        <f t="shared" si="80"/>
        <v/>
      </c>
      <c r="L237" s="22" t="str">
        <f t="shared" si="81"/>
        <v/>
      </c>
      <c r="M237" s="22" t="str">
        <f t="shared" si="82"/>
        <v/>
      </c>
      <c r="N237" s="103"/>
      <c r="O237" s="102"/>
    </row>
    <row r="238" spans="2:15" hidden="1" outlineLevel="1" x14ac:dyDescent="0.2">
      <c r="B238" s="2">
        <f t="shared" si="73"/>
        <v>3</v>
      </c>
      <c r="D238" s="22">
        <f>IF(B238&lt;$D$24,(+'CALCULETTE (2)'!G635/'CALCULETTE (2)'!$B$612),0)</f>
        <v>0.94962090779242359</v>
      </c>
      <c r="E238" s="22" t="str">
        <f t="shared" si="74"/>
        <v/>
      </c>
      <c r="F238" s="22" t="str">
        <f t="shared" si="75"/>
        <v/>
      </c>
      <c r="G238" s="22" t="str">
        <f t="shared" si="76"/>
        <v/>
      </c>
      <c r="H238" s="22" t="str">
        <f t="shared" si="77"/>
        <v/>
      </c>
      <c r="I238" s="22" t="str">
        <f t="shared" si="78"/>
        <v/>
      </c>
      <c r="J238" s="22" t="str">
        <f t="shared" si="79"/>
        <v/>
      </c>
      <c r="K238" s="22" t="str">
        <f t="shared" si="80"/>
        <v/>
      </c>
      <c r="L238" s="22" t="str">
        <f t="shared" si="81"/>
        <v/>
      </c>
      <c r="M238" s="22" t="str">
        <f t="shared" si="82"/>
        <v/>
      </c>
      <c r="N238" s="103"/>
      <c r="O238" s="102"/>
    </row>
    <row r="239" spans="2:15" hidden="1" outlineLevel="1" x14ac:dyDescent="0.2">
      <c r="B239" s="2">
        <f t="shared" si="73"/>
        <v>4</v>
      </c>
      <c r="D239" s="22">
        <f>IF(B239&lt;$D$24,(+'CALCULETTE (2)'!G636/'CALCULETTE (2)'!$B$612),0)</f>
        <v>0.93464691169715464</v>
      </c>
      <c r="E239" s="22" t="str">
        <f t="shared" si="74"/>
        <v/>
      </c>
      <c r="F239" s="22" t="str">
        <f t="shared" si="75"/>
        <v/>
      </c>
      <c r="G239" s="22" t="str">
        <f t="shared" si="76"/>
        <v/>
      </c>
      <c r="H239" s="22" t="str">
        <f t="shared" si="77"/>
        <v/>
      </c>
      <c r="I239" s="22" t="str">
        <f t="shared" si="78"/>
        <v/>
      </c>
      <c r="J239" s="22" t="str">
        <f t="shared" si="79"/>
        <v/>
      </c>
      <c r="K239" s="22" t="str">
        <f t="shared" si="80"/>
        <v/>
      </c>
      <c r="L239" s="22" t="str">
        <f t="shared" si="81"/>
        <v/>
      </c>
      <c r="M239" s="22" t="str">
        <f t="shared" si="82"/>
        <v/>
      </c>
      <c r="N239" s="103"/>
      <c r="O239" s="102"/>
    </row>
    <row r="240" spans="2:15" hidden="1" outlineLevel="1" x14ac:dyDescent="0.2">
      <c r="B240" s="2">
        <f t="shared" si="73"/>
        <v>5</v>
      </c>
      <c r="D240" s="22">
        <f>IF(B240&lt;$D$24,(+'CALCULETTE (2)'!G637/'CALCULETTE (2)'!$B$612),0)</f>
        <v>0.91974846517807163</v>
      </c>
      <c r="E240" s="22" t="str">
        <f t="shared" si="74"/>
        <v/>
      </c>
      <c r="F240" s="22" t="str">
        <f t="shared" si="75"/>
        <v/>
      </c>
      <c r="G240" s="22" t="str">
        <f t="shared" si="76"/>
        <v/>
      </c>
      <c r="H240" s="22" t="str">
        <f t="shared" si="77"/>
        <v/>
      </c>
      <c r="I240" s="22" t="str">
        <f t="shared" si="78"/>
        <v/>
      </c>
      <c r="J240" s="22" t="str">
        <f t="shared" si="79"/>
        <v/>
      </c>
      <c r="K240" s="22" t="str">
        <f t="shared" si="80"/>
        <v/>
      </c>
      <c r="L240" s="22" t="str">
        <f t="shared" si="81"/>
        <v/>
      </c>
      <c r="M240" s="22" t="str">
        <f t="shared" si="82"/>
        <v/>
      </c>
      <c r="N240" s="103"/>
      <c r="O240" s="102"/>
    </row>
    <row r="241" spans="2:15" hidden="1" outlineLevel="1" x14ac:dyDescent="0.2">
      <c r="B241" s="2">
        <f t="shared" si="73"/>
        <v>6</v>
      </c>
      <c r="D241" s="22">
        <f>IF(B241&lt;$D$24,(+'CALCULETTE (2)'!G638/'CALCULETTE (2)'!$B$612),0)</f>
        <v>0.90492519044212905</v>
      </c>
      <c r="E241" s="22" t="str">
        <f t="shared" si="74"/>
        <v/>
      </c>
      <c r="F241" s="22" t="str">
        <f t="shared" si="75"/>
        <v/>
      </c>
      <c r="G241" s="22" t="str">
        <f t="shared" si="76"/>
        <v/>
      </c>
      <c r="H241" s="22" t="str">
        <f t="shared" si="77"/>
        <v/>
      </c>
      <c r="I241" s="22" t="str">
        <f t="shared" si="78"/>
        <v/>
      </c>
      <c r="J241" s="22" t="str">
        <f t="shared" si="79"/>
        <v/>
      </c>
      <c r="K241" s="22" t="str">
        <f t="shared" si="80"/>
        <v/>
      </c>
      <c r="L241" s="22" t="str">
        <f t="shared" si="81"/>
        <v/>
      </c>
      <c r="M241" s="22" t="str">
        <f t="shared" si="82"/>
        <v/>
      </c>
      <c r="N241" s="103"/>
      <c r="O241" s="102"/>
    </row>
    <row r="242" spans="2:15" hidden="1" outlineLevel="1" x14ac:dyDescent="0.2">
      <c r="B242" s="2">
        <f t="shared" si="73"/>
        <v>7</v>
      </c>
      <c r="D242" s="22">
        <f>IF(B242&lt;$D$24,(+'CALCULETTE (2)'!G639/'CALCULETTE (2)'!$B$612),0)</f>
        <v>0.89017671158524903</v>
      </c>
      <c r="E242" s="22" t="str">
        <f t="shared" si="74"/>
        <v/>
      </c>
      <c r="F242" s="22" t="str">
        <f t="shared" si="75"/>
        <v/>
      </c>
      <c r="G242" s="22" t="str">
        <f t="shared" si="76"/>
        <v/>
      </c>
      <c r="H242" s="22" t="str">
        <f t="shared" si="77"/>
        <v/>
      </c>
      <c r="I242" s="22" t="str">
        <f t="shared" si="78"/>
        <v/>
      </c>
      <c r="J242" s="22" t="str">
        <f t="shared" si="79"/>
        <v/>
      </c>
      <c r="K242" s="22" t="str">
        <f t="shared" si="80"/>
        <v/>
      </c>
      <c r="L242" s="22" t="str">
        <f t="shared" si="81"/>
        <v/>
      </c>
      <c r="M242" s="22" t="str">
        <f t="shared" si="82"/>
        <v/>
      </c>
      <c r="N242" s="103"/>
      <c r="O242" s="102"/>
    </row>
    <row r="243" spans="2:15" hidden="1" outlineLevel="1" x14ac:dyDescent="0.2">
      <c r="B243" s="2">
        <f t="shared" si="73"/>
        <v>8</v>
      </c>
      <c r="D243" s="22">
        <f>IF(B243&lt;$D$24,(+'CALCULETTE (2)'!G640/'CALCULETTE (2)'!$B$612),0)</f>
        <v>0.87550265458287779</v>
      </c>
      <c r="E243" s="22" t="str">
        <f t="shared" si="74"/>
        <v/>
      </c>
      <c r="F243" s="22" t="str">
        <f t="shared" si="75"/>
        <v/>
      </c>
      <c r="G243" s="22" t="str">
        <f t="shared" si="76"/>
        <v/>
      </c>
      <c r="H243" s="22" t="str">
        <f t="shared" si="77"/>
        <v/>
      </c>
      <c r="I243" s="22" t="str">
        <f t="shared" si="78"/>
        <v/>
      </c>
      <c r="J243" s="22" t="str">
        <f t="shared" si="79"/>
        <v/>
      </c>
      <c r="K243" s="22" t="str">
        <f t="shared" si="80"/>
        <v/>
      </c>
      <c r="L243" s="22" t="str">
        <f t="shared" si="81"/>
        <v/>
      </c>
      <c r="M243" s="22" t="str">
        <f t="shared" si="82"/>
        <v/>
      </c>
      <c r="N243" s="103"/>
      <c r="O243" s="102"/>
    </row>
    <row r="244" spans="2:15" hidden="1" outlineLevel="1" x14ac:dyDescent="0.2">
      <c r="B244" s="2">
        <f t="shared" si="73"/>
        <v>9</v>
      </c>
      <c r="D244" s="22">
        <f>IF(B244&lt;$D$24,(+'CALCULETTE (2)'!G641/'CALCULETTE (2)'!$B$612),0)</f>
        <v>0.86090264728058696</v>
      </c>
      <c r="E244" s="22" t="str">
        <f t="shared" si="74"/>
        <v/>
      </c>
      <c r="F244" s="22" t="str">
        <f t="shared" si="75"/>
        <v/>
      </c>
      <c r="G244" s="22" t="str">
        <f t="shared" si="76"/>
        <v/>
      </c>
      <c r="H244" s="22" t="str">
        <f t="shared" si="77"/>
        <v/>
      </c>
      <c r="I244" s="22" t="str">
        <f t="shared" si="78"/>
        <v/>
      </c>
      <c r="J244" s="22" t="str">
        <f t="shared" si="79"/>
        <v/>
      </c>
      <c r="K244" s="22" t="str">
        <f t="shared" si="80"/>
        <v/>
      </c>
      <c r="L244" s="22" t="str">
        <f t="shared" si="81"/>
        <v/>
      </c>
      <c r="M244" s="22" t="str">
        <f t="shared" si="82"/>
        <v/>
      </c>
      <c r="N244" s="103"/>
      <c r="O244" s="102"/>
    </row>
    <row r="245" spans="2:15" hidden="1" outlineLevel="1" x14ac:dyDescent="0.2">
      <c r="B245" s="2">
        <f t="shared" si="73"/>
        <v>10</v>
      </c>
      <c r="D245" s="22">
        <f>IF(B245&lt;$D$24,(+'CALCULETTE (2)'!G642/'CALCULETTE (2)'!$B$612),0)</f>
        <v>0.84637631938472324</v>
      </c>
      <c r="E245" s="22" t="str">
        <f t="shared" si="74"/>
        <v/>
      </c>
      <c r="F245" s="22" t="str">
        <f t="shared" si="75"/>
        <v/>
      </c>
      <c r="G245" s="22" t="str">
        <f t="shared" si="76"/>
        <v/>
      </c>
      <c r="H245" s="22" t="str">
        <f t="shared" si="77"/>
        <v/>
      </c>
      <c r="I245" s="22" t="str">
        <f t="shared" si="78"/>
        <v/>
      </c>
      <c r="J245" s="22" t="str">
        <f t="shared" si="79"/>
        <v/>
      </c>
      <c r="K245" s="22" t="str">
        <f t="shared" si="80"/>
        <v/>
      </c>
      <c r="L245" s="22" t="str">
        <f t="shared" si="81"/>
        <v/>
      </c>
      <c r="M245" s="22" t="str">
        <f t="shared" si="82"/>
        <v/>
      </c>
      <c r="N245" s="103"/>
      <c r="O245" s="102"/>
    </row>
    <row r="246" spans="2:15" hidden="1" outlineLevel="1" x14ac:dyDescent="0.2">
      <c r="B246" s="2">
        <f t="shared" si="73"/>
        <v>11</v>
      </c>
      <c r="D246" s="22">
        <f>IF(B246&lt;$D$24,(+'CALCULETTE (2)'!G643/'CALCULETTE (2)'!$B$612),0)</f>
        <v>0.83192330245310475</v>
      </c>
      <c r="E246" s="22" t="str">
        <f t="shared" si="74"/>
        <v/>
      </c>
      <c r="F246" s="22" t="str">
        <f t="shared" si="75"/>
        <v/>
      </c>
      <c r="G246" s="22" t="str">
        <f t="shared" si="76"/>
        <v/>
      </c>
      <c r="H246" s="22" t="str">
        <f t="shared" si="77"/>
        <v/>
      </c>
      <c r="I246" s="22" t="str">
        <f t="shared" si="78"/>
        <v/>
      </c>
      <c r="J246" s="22" t="str">
        <f t="shared" si="79"/>
        <v/>
      </c>
      <c r="K246" s="22" t="str">
        <f t="shared" si="80"/>
        <v/>
      </c>
      <c r="L246" s="22" t="str">
        <f t="shared" si="81"/>
        <v/>
      </c>
      <c r="M246" s="22" t="str">
        <f t="shared" si="82"/>
        <v/>
      </c>
      <c r="N246" s="103"/>
      <c r="O246" s="102"/>
    </row>
    <row r="247" spans="2:15" hidden="1" outlineLevel="1" x14ac:dyDescent="0.2">
      <c r="B247" s="2">
        <f t="shared" si="73"/>
        <v>12</v>
      </c>
      <c r="D247" s="22">
        <f>IF(B247&lt;$D$24,(+'CALCULETTE (2)'!G644/'CALCULETTE (2)'!$B$612),0)</f>
        <v>0.81754322988576356</v>
      </c>
      <c r="E247" s="22" t="str">
        <f t="shared" si="74"/>
        <v/>
      </c>
      <c r="F247" s="22" t="str">
        <f t="shared" si="75"/>
        <v/>
      </c>
      <c r="G247" s="22" t="str">
        <f t="shared" si="76"/>
        <v/>
      </c>
      <c r="H247" s="22" t="str">
        <f t="shared" si="77"/>
        <v/>
      </c>
      <c r="I247" s="22" t="str">
        <f t="shared" si="78"/>
        <v/>
      </c>
      <c r="J247" s="22" t="str">
        <f t="shared" si="79"/>
        <v/>
      </c>
      <c r="K247" s="22" t="str">
        <f t="shared" si="80"/>
        <v/>
      </c>
      <c r="L247" s="22" t="str">
        <f t="shared" si="81"/>
        <v/>
      </c>
      <c r="M247" s="22" t="str">
        <f t="shared" si="82"/>
        <v/>
      </c>
      <c r="N247" s="103"/>
      <c r="O247" s="102"/>
    </row>
    <row r="248" spans="2:15" hidden="1" outlineLevel="1" x14ac:dyDescent="0.2">
      <c r="B248" s="2">
        <f t="shared" si="73"/>
        <v>13</v>
      </c>
      <c r="D248" s="22">
        <f>IF(B248&lt;$D$24,(+'CALCULETTE (2)'!G645/'CALCULETTE (2)'!$B$612),0)</f>
        <v>0.80323573691573436</v>
      </c>
      <c r="E248" s="22" t="str">
        <f t="shared" si="74"/>
        <v/>
      </c>
      <c r="F248" s="22" t="str">
        <f t="shared" si="75"/>
        <v/>
      </c>
      <c r="G248" s="22" t="str">
        <f t="shared" si="76"/>
        <v/>
      </c>
      <c r="H248" s="22" t="str">
        <f t="shared" si="77"/>
        <v/>
      </c>
      <c r="I248" s="22" t="str">
        <f t="shared" si="78"/>
        <v/>
      </c>
      <c r="J248" s="22" t="str">
        <f t="shared" si="79"/>
        <v/>
      </c>
      <c r="K248" s="22" t="str">
        <f t="shared" si="80"/>
        <v/>
      </c>
      <c r="L248" s="22" t="str">
        <f t="shared" si="81"/>
        <v/>
      </c>
      <c r="M248" s="22" t="str">
        <f t="shared" si="82"/>
        <v/>
      </c>
      <c r="N248" s="103"/>
      <c r="O248" s="102"/>
    </row>
    <row r="249" spans="2:15" hidden="1" outlineLevel="1" x14ac:dyDescent="0.2">
      <c r="B249" s="2">
        <f t="shared" si="73"/>
        <v>14</v>
      </c>
      <c r="D249" s="22">
        <f>IF(B249&lt;$D$24,(+'CALCULETTE (2)'!G646/'CALCULETTE (2)'!$B$612),0)</f>
        <v>0.78900046059988971</v>
      </c>
      <c r="E249" s="22" t="str">
        <f t="shared" si="74"/>
        <v/>
      </c>
      <c r="F249" s="22" t="str">
        <f t="shared" si="75"/>
        <v/>
      </c>
      <c r="G249" s="22" t="str">
        <f t="shared" si="76"/>
        <v/>
      </c>
      <c r="H249" s="22" t="str">
        <f t="shared" si="77"/>
        <v/>
      </c>
      <c r="I249" s="22" t="str">
        <f t="shared" si="78"/>
        <v/>
      </c>
      <c r="J249" s="22" t="str">
        <f t="shared" si="79"/>
        <v/>
      </c>
      <c r="K249" s="22" t="str">
        <f t="shared" si="80"/>
        <v/>
      </c>
      <c r="L249" s="22" t="str">
        <f t="shared" si="81"/>
        <v/>
      </c>
      <c r="M249" s="22" t="str">
        <f t="shared" si="82"/>
        <v/>
      </c>
      <c r="N249" s="103"/>
      <c r="O249" s="102"/>
    </row>
    <row r="250" spans="2:15" hidden="1" outlineLevel="1" x14ac:dyDescent="0.2">
      <c r="B250" s="2">
        <f t="shared" si="73"/>
        <v>15</v>
      </c>
      <c r="D250" s="22">
        <f>IF(B250&lt;$D$24,(+'CALCULETTE (2)'!G647/'CALCULETTE (2)'!$B$612),0)</f>
        <v>0.77483703980982122</v>
      </c>
      <c r="E250" s="22" t="str">
        <f t="shared" si="74"/>
        <v/>
      </c>
      <c r="F250" s="22" t="str">
        <f t="shared" si="75"/>
        <v/>
      </c>
      <c r="G250" s="22" t="str">
        <f t="shared" si="76"/>
        <v/>
      </c>
      <c r="H250" s="22" t="str">
        <f t="shared" si="77"/>
        <v/>
      </c>
      <c r="I250" s="22" t="str">
        <f t="shared" si="78"/>
        <v/>
      </c>
      <c r="J250" s="22" t="str">
        <f t="shared" si="79"/>
        <v/>
      </c>
      <c r="K250" s="22" t="str">
        <f t="shared" si="80"/>
        <v/>
      </c>
      <c r="L250" s="22" t="str">
        <f t="shared" si="81"/>
        <v/>
      </c>
      <c r="M250" s="22" t="str">
        <f t="shared" si="82"/>
        <v/>
      </c>
      <c r="N250" s="103"/>
      <c r="O250" s="102"/>
    </row>
    <row r="251" spans="2:15" hidden="1" outlineLevel="1" x14ac:dyDescent="0.2">
      <c r="B251" s="2">
        <f t="shared" si="73"/>
        <v>16</v>
      </c>
      <c r="D251" s="22">
        <f>IF(B251&lt;$D$24,(+'CALCULETTE (2)'!G648/'CALCULETTE (2)'!$B$612),0)</f>
        <v>0.76074511522276478</v>
      </c>
      <c r="E251" s="22" t="str">
        <f t="shared" si="74"/>
        <v/>
      </c>
      <c r="F251" s="22" t="str">
        <f t="shared" si="75"/>
        <v/>
      </c>
      <c r="G251" s="22" t="str">
        <f t="shared" si="76"/>
        <v/>
      </c>
      <c r="H251" s="22" t="str">
        <f t="shared" si="77"/>
        <v/>
      </c>
      <c r="I251" s="22" t="str">
        <f t="shared" si="78"/>
        <v/>
      </c>
      <c r="J251" s="22" t="str">
        <f t="shared" si="79"/>
        <v/>
      </c>
      <c r="K251" s="22" t="str">
        <f t="shared" si="80"/>
        <v/>
      </c>
      <c r="L251" s="22" t="str">
        <f t="shared" si="81"/>
        <v/>
      </c>
      <c r="M251" s="22" t="str">
        <f t="shared" si="82"/>
        <v/>
      </c>
      <c r="N251" s="103"/>
      <c r="O251" s="102"/>
    </row>
    <row r="252" spans="2:15" hidden="1" outlineLevel="1" x14ac:dyDescent="0.2">
      <c r="B252" s="2">
        <f t="shared" si="73"/>
        <v>17</v>
      </c>
      <c r="D252" s="22">
        <f>IF(B252&lt;$D$24,(+'CALCULETTE (2)'!G649/'CALCULETTE (2)'!$B$612),0)</f>
        <v>0.74672432931257393</v>
      </c>
      <c r="E252" s="22" t="str">
        <f t="shared" si="74"/>
        <v/>
      </c>
      <c r="F252" s="22" t="str">
        <f t="shared" si="75"/>
        <v/>
      </c>
      <c r="G252" s="22" t="str">
        <f t="shared" si="76"/>
        <v/>
      </c>
      <c r="H252" s="22" t="str">
        <f t="shared" si="77"/>
        <v/>
      </c>
      <c r="I252" s="22" t="str">
        <f t="shared" si="78"/>
        <v/>
      </c>
      <c r="J252" s="22" t="str">
        <f t="shared" si="79"/>
        <v/>
      </c>
      <c r="K252" s="22" t="str">
        <f t="shared" si="80"/>
        <v/>
      </c>
      <c r="L252" s="22" t="str">
        <f t="shared" si="81"/>
        <v/>
      </c>
      <c r="M252" s="22" t="str">
        <f t="shared" si="82"/>
        <v/>
      </c>
      <c r="N252" s="103"/>
      <c r="O252" s="102"/>
    </row>
    <row r="253" spans="2:15" hidden="1" outlineLevel="1" x14ac:dyDescent="0.2">
      <c r="B253" s="2">
        <f t="shared" si="73"/>
        <v>18</v>
      </c>
      <c r="D253" s="22">
        <f>IF(B253&lt;$D$24,(+'CALCULETTE (2)'!G650/'CALCULETTE (2)'!$B$612),0)</f>
        <v>0.73277432634073547</v>
      </c>
      <c r="E253" s="22" t="str">
        <f t="shared" si="74"/>
        <v/>
      </c>
      <c r="F253" s="22" t="str">
        <f t="shared" si="75"/>
        <v/>
      </c>
      <c r="G253" s="22" t="str">
        <f t="shared" si="76"/>
        <v/>
      </c>
      <c r="H253" s="22" t="str">
        <f t="shared" si="77"/>
        <v/>
      </c>
      <c r="I253" s="22" t="str">
        <f t="shared" si="78"/>
        <v/>
      </c>
      <c r="J253" s="22" t="str">
        <f t="shared" si="79"/>
        <v/>
      </c>
      <c r="K253" s="22" t="str">
        <f t="shared" si="80"/>
        <v/>
      </c>
      <c r="L253" s="22" t="str">
        <f t="shared" si="81"/>
        <v/>
      </c>
      <c r="M253" s="22" t="str">
        <f t="shared" si="82"/>
        <v/>
      </c>
      <c r="N253" s="103"/>
      <c r="O253" s="102"/>
    </row>
    <row r="254" spans="2:15" hidden="1" outlineLevel="1" x14ac:dyDescent="0.2">
      <c r="B254" s="2">
        <f t="shared" si="73"/>
        <v>19</v>
      </c>
      <c r="D254" s="22">
        <f>IF(B254&lt;$D$24,(+'CALCULETTE (2)'!G651/'CALCULETTE (2)'!$B$612),0)</f>
        <v>0.71889475234743172</v>
      </c>
      <c r="E254" s="22" t="str">
        <f t="shared" si="74"/>
        <v/>
      </c>
      <c r="F254" s="22" t="str">
        <f t="shared" si="75"/>
        <v/>
      </c>
      <c r="G254" s="22" t="str">
        <f t="shared" si="76"/>
        <v/>
      </c>
      <c r="H254" s="22" t="str">
        <f t="shared" si="77"/>
        <v/>
      </c>
      <c r="I254" s="22" t="str">
        <f t="shared" si="78"/>
        <v/>
      </c>
      <c r="J254" s="22" t="str">
        <f t="shared" si="79"/>
        <v/>
      </c>
      <c r="K254" s="22" t="str">
        <f t="shared" si="80"/>
        <v/>
      </c>
      <c r="L254" s="22" t="str">
        <f t="shared" si="81"/>
        <v/>
      </c>
      <c r="M254" s="22" t="str">
        <f t="shared" si="82"/>
        <v/>
      </c>
      <c r="N254" s="103"/>
      <c r="O254" s="102"/>
    </row>
    <row r="255" spans="2:15" hidden="1" outlineLevel="1" x14ac:dyDescent="0.2">
      <c r="B255" s="2">
        <f t="shared" si="73"/>
        <v>20</v>
      </c>
      <c r="D255" s="22">
        <f>IF(B255&lt;$D$24,(+'CALCULETTE (2)'!G652/'CALCULETTE (2)'!$B$612),0)</f>
        <v>0.70508525514264719</v>
      </c>
      <c r="E255" s="22" t="str">
        <f t="shared" si="74"/>
        <v/>
      </c>
      <c r="F255" s="22" t="str">
        <f t="shared" si="75"/>
        <v/>
      </c>
      <c r="G255" s="22" t="str">
        <f t="shared" si="76"/>
        <v/>
      </c>
      <c r="H255" s="22" t="str">
        <f t="shared" si="77"/>
        <v/>
      </c>
      <c r="I255" s="22" t="str">
        <f t="shared" si="78"/>
        <v/>
      </c>
      <c r="J255" s="22" t="str">
        <f t="shared" si="79"/>
        <v/>
      </c>
      <c r="K255" s="22" t="str">
        <f t="shared" si="80"/>
        <v/>
      </c>
      <c r="L255" s="22" t="str">
        <f t="shared" si="81"/>
        <v/>
      </c>
      <c r="M255" s="22" t="str">
        <f t="shared" si="82"/>
        <v/>
      </c>
      <c r="N255" s="103"/>
      <c r="O255" s="102"/>
    </row>
    <row r="256" spans="2:15" hidden="1" outlineLevel="1" x14ac:dyDescent="0.2">
      <c r="B256" s="2">
        <f t="shared" si="73"/>
        <v>21</v>
      </c>
      <c r="D256" s="22">
        <f>IF(B256&lt;$D$24,(+'CALCULETTE (2)'!G653/'CALCULETTE (2)'!$B$612),0)</f>
        <v>0.69134548429731968</v>
      </c>
      <c r="E256" s="22" t="str">
        <f t="shared" si="74"/>
        <v/>
      </c>
      <c r="F256" s="22" t="str">
        <f t="shared" si="75"/>
        <v/>
      </c>
      <c r="G256" s="22" t="str">
        <f t="shared" si="76"/>
        <v/>
      </c>
      <c r="H256" s="22" t="str">
        <f t="shared" si="77"/>
        <v/>
      </c>
      <c r="I256" s="22" t="str">
        <f t="shared" si="78"/>
        <v/>
      </c>
      <c r="J256" s="22" t="str">
        <f t="shared" si="79"/>
        <v/>
      </c>
      <c r="K256" s="22" t="str">
        <f t="shared" si="80"/>
        <v/>
      </c>
      <c r="L256" s="22" t="str">
        <f t="shared" si="81"/>
        <v/>
      </c>
      <c r="M256" s="22" t="str">
        <f t="shared" si="82"/>
        <v/>
      </c>
      <c r="N256" s="103"/>
      <c r="O256" s="102"/>
    </row>
    <row r="257" spans="2:15" hidden="1" outlineLevel="1" x14ac:dyDescent="0.2">
      <c r="B257" s="2">
        <f t="shared" si="73"/>
        <v>22</v>
      </c>
      <c r="D257" s="22">
        <f>IF(B257&lt;$D$24,(+'CALCULETTE (2)'!G654/'CALCULETTE (2)'!$B$612),0)</f>
        <v>0.67767509113453495</v>
      </c>
      <c r="E257" s="22" t="str">
        <f t="shared" si="74"/>
        <v/>
      </c>
      <c r="F257" s="22" t="str">
        <f t="shared" si="75"/>
        <v/>
      </c>
      <c r="G257" s="22" t="str">
        <f t="shared" si="76"/>
        <v/>
      </c>
      <c r="H257" s="22" t="str">
        <f t="shared" si="77"/>
        <v/>
      </c>
      <c r="I257" s="22" t="str">
        <f t="shared" si="78"/>
        <v/>
      </c>
      <c r="J257" s="22" t="str">
        <f t="shared" si="79"/>
        <v/>
      </c>
      <c r="K257" s="22" t="str">
        <f t="shared" si="80"/>
        <v/>
      </c>
      <c r="L257" s="22" t="str">
        <f t="shared" si="81"/>
        <v/>
      </c>
      <c r="M257" s="22" t="str">
        <f t="shared" si="82"/>
        <v/>
      </c>
      <c r="N257" s="103"/>
      <c r="O257" s="102"/>
    </row>
    <row r="258" spans="2:15" hidden="1" outlineLevel="1" x14ac:dyDescent="0.2">
      <c r="B258" s="2">
        <f t="shared" si="73"/>
        <v>23</v>
      </c>
      <c r="D258" s="22">
        <f>IF(B258&lt;$D$24,(+'CALCULETTE (2)'!G655/'CALCULETTE (2)'!$B$612),0)</f>
        <v>0.66407372872076664</v>
      </c>
      <c r="E258" s="22" t="str">
        <f t="shared" si="74"/>
        <v/>
      </c>
      <c r="F258" s="22" t="str">
        <f t="shared" si="75"/>
        <v/>
      </c>
      <c r="G258" s="22" t="str">
        <f t="shared" si="76"/>
        <v/>
      </c>
      <c r="H258" s="22" t="str">
        <f t="shared" si="77"/>
        <v/>
      </c>
      <c r="I258" s="22" t="str">
        <f t="shared" si="78"/>
        <v/>
      </c>
      <c r="J258" s="22" t="str">
        <f t="shared" si="79"/>
        <v/>
      </c>
      <c r="K258" s="22" t="str">
        <f t="shared" si="80"/>
        <v/>
      </c>
      <c r="L258" s="22" t="str">
        <f t="shared" si="81"/>
        <v/>
      </c>
      <c r="M258" s="22" t="str">
        <f t="shared" si="82"/>
        <v/>
      </c>
      <c r="N258" s="103"/>
      <c r="O258" s="102"/>
    </row>
    <row r="259" spans="2:15" hidden="1" outlineLevel="1" x14ac:dyDescent="0.2">
      <c r="B259" s="2">
        <f t="shared" si="73"/>
        <v>24</v>
      </c>
      <c r="D259" s="22">
        <f>IF(B259&lt;$D$24,(+'CALCULETTE (2)'!G656/'CALCULETTE (2)'!$B$612),0)</f>
        <v>0.65054105185715871</v>
      </c>
      <c r="E259" s="22" t="str">
        <f t="shared" si="74"/>
        <v/>
      </c>
      <c r="F259" s="22" t="str">
        <f t="shared" si="75"/>
        <v/>
      </c>
      <c r="G259" s="22" t="str">
        <f t="shared" si="76"/>
        <v/>
      </c>
      <c r="H259" s="22" t="str">
        <f t="shared" si="77"/>
        <v/>
      </c>
      <c r="I259" s="22" t="str">
        <f t="shared" si="78"/>
        <v/>
      </c>
      <c r="J259" s="22" t="str">
        <f t="shared" si="79"/>
        <v/>
      </c>
      <c r="K259" s="22" t="str">
        <f t="shared" si="80"/>
        <v/>
      </c>
      <c r="L259" s="22" t="str">
        <f t="shared" si="81"/>
        <v/>
      </c>
      <c r="M259" s="22" t="str">
        <f t="shared" si="82"/>
        <v/>
      </c>
      <c r="N259" s="103"/>
      <c r="O259" s="102"/>
    </row>
    <row r="260" spans="2:15" hidden="1" outlineLevel="1" x14ac:dyDescent="0.2">
      <c r="B260" s="2">
        <f t="shared" si="73"/>
        <v>25</v>
      </c>
      <c r="D260" s="22">
        <f>IF(B260&lt;$D$24,(+'CALCULETTE (2)'!G657/'CALCULETTE (2)'!$B$612),0)</f>
        <v>0.63707671707085256</v>
      </c>
      <c r="E260" s="22" t="str">
        <f t="shared" si="74"/>
        <v/>
      </c>
      <c r="F260" s="22" t="str">
        <f t="shared" si="75"/>
        <v/>
      </c>
      <c r="G260" s="22" t="str">
        <f t="shared" si="76"/>
        <v/>
      </c>
      <c r="H260" s="22" t="str">
        <f t="shared" si="77"/>
        <v/>
      </c>
      <c r="I260" s="22" t="str">
        <f t="shared" si="78"/>
        <v/>
      </c>
      <c r="J260" s="22" t="str">
        <f t="shared" si="79"/>
        <v/>
      </c>
      <c r="K260" s="22" t="str">
        <f t="shared" si="80"/>
        <v/>
      </c>
      <c r="L260" s="22" t="str">
        <f t="shared" si="81"/>
        <v/>
      </c>
      <c r="M260" s="22" t="str">
        <f t="shared" si="82"/>
        <v/>
      </c>
      <c r="N260" s="103"/>
      <c r="O260" s="102"/>
    </row>
    <row r="261" spans="2:15" hidden="1" outlineLevel="1" x14ac:dyDescent="0.2">
      <c r="B261" s="2">
        <f t="shared" si="73"/>
        <v>26</v>
      </c>
      <c r="D261" s="22">
        <f>IF(B261&lt;$D$24,(+'CALCULETTE (2)'!G658/'CALCULETTE (2)'!$B$612),0)</f>
        <v>0.62368038260635694</v>
      </c>
      <c r="E261" s="22" t="str">
        <f t="shared" si="74"/>
        <v/>
      </c>
      <c r="F261" s="22" t="str">
        <f t="shared" si="75"/>
        <v/>
      </c>
      <c r="G261" s="22" t="str">
        <f t="shared" si="76"/>
        <v/>
      </c>
      <c r="H261" s="22" t="str">
        <f t="shared" si="77"/>
        <v/>
      </c>
      <c r="I261" s="22" t="str">
        <f t="shared" si="78"/>
        <v/>
      </c>
      <c r="J261" s="22" t="str">
        <f t="shared" si="79"/>
        <v/>
      </c>
      <c r="K261" s="22" t="str">
        <f t="shared" si="80"/>
        <v/>
      </c>
      <c r="L261" s="22" t="str">
        <f t="shared" si="81"/>
        <v/>
      </c>
      <c r="M261" s="22" t="str">
        <f t="shared" si="82"/>
        <v/>
      </c>
      <c r="N261" s="103"/>
      <c r="O261" s="102"/>
    </row>
    <row r="262" spans="2:15" hidden="1" outlineLevel="1" x14ac:dyDescent="0.2">
      <c r="B262" s="2">
        <f t="shared" si="73"/>
        <v>27</v>
      </c>
      <c r="D262" s="22">
        <f>IF(B262&lt;$D$24,(+'CALCULETTE (2)'!G659/'CALCULETTE (2)'!$B$612),0)</f>
        <v>0.61035170841696096</v>
      </c>
      <c r="E262" s="22" t="str">
        <f t="shared" si="74"/>
        <v/>
      </c>
      <c r="F262" s="22" t="str">
        <f t="shared" si="75"/>
        <v/>
      </c>
      <c r="G262" s="22" t="str">
        <f t="shared" si="76"/>
        <v/>
      </c>
      <c r="H262" s="22" t="str">
        <f t="shared" si="77"/>
        <v/>
      </c>
      <c r="I262" s="22" t="str">
        <f t="shared" si="78"/>
        <v/>
      </c>
      <c r="J262" s="22" t="str">
        <f t="shared" si="79"/>
        <v/>
      </c>
      <c r="K262" s="22" t="str">
        <f t="shared" si="80"/>
        <v/>
      </c>
      <c r="L262" s="22" t="str">
        <f t="shared" si="81"/>
        <v/>
      </c>
      <c r="M262" s="22" t="str">
        <f t="shared" si="82"/>
        <v/>
      </c>
      <c r="N262" s="103"/>
      <c r="O262" s="102"/>
    </row>
    <row r="263" spans="2:15" hidden="1" outlineLevel="1" x14ac:dyDescent="0.2">
      <c r="B263" s="2">
        <f t="shared" si="73"/>
        <v>28</v>
      </c>
      <c r="D263" s="22">
        <f>IF(B263&lt;$D$24,(+'CALCULETTE (2)'!G660/'CALCULETTE (2)'!$B$612),0)</f>
        <v>0.59709035615619033</v>
      </c>
      <c r="E263" s="22" t="str">
        <f t="shared" si="74"/>
        <v/>
      </c>
      <c r="F263" s="22" t="str">
        <f t="shared" si="75"/>
        <v/>
      </c>
      <c r="G263" s="22" t="str">
        <f t="shared" si="76"/>
        <v/>
      </c>
      <c r="H263" s="22" t="str">
        <f t="shared" si="77"/>
        <v/>
      </c>
      <c r="I263" s="22" t="str">
        <f t="shared" si="78"/>
        <v/>
      </c>
      <c r="J263" s="22" t="str">
        <f t="shared" si="79"/>
        <v/>
      </c>
      <c r="K263" s="22" t="str">
        <f t="shared" si="80"/>
        <v/>
      </c>
      <c r="L263" s="22" t="str">
        <f t="shared" si="81"/>
        <v/>
      </c>
      <c r="M263" s="22" t="str">
        <f t="shared" si="82"/>
        <v/>
      </c>
      <c r="N263" s="103"/>
      <c r="O263" s="102"/>
    </row>
    <row r="264" spans="2:15" hidden="1" outlineLevel="1" x14ac:dyDescent="0.2">
      <c r="B264" s="2">
        <f t="shared" si="73"/>
        <v>29</v>
      </c>
      <c r="D264" s="22">
        <f>IF(B264&lt;$D$24,(+'CALCULETTE (2)'!G661/'CALCULETTE (2)'!$B$612),0)</f>
        <v>0.58389598916930607</v>
      </c>
      <c r="E264" s="22" t="str">
        <f t="shared" si="74"/>
        <v/>
      </c>
      <c r="F264" s="22" t="str">
        <f t="shared" si="75"/>
        <v/>
      </c>
      <c r="G264" s="22" t="str">
        <f t="shared" si="76"/>
        <v/>
      </c>
      <c r="H264" s="22" t="str">
        <f t="shared" si="77"/>
        <v/>
      </c>
      <c r="I264" s="22" t="str">
        <f t="shared" si="78"/>
        <v/>
      </c>
      <c r="J264" s="22" t="str">
        <f t="shared" si="79"/>
        <v/>
      </c>
      <c r="K264" s="22" t="str">
        <f t="shared" si="80"/>
        <v/>
      </c>
      <c r="L264" s="22" t="str">
        <f t="shared" si="81"/>
        <v/>
      </c>
      <c r="M264" s="22" t="str">
        <f t="shared" si="82"/>
        <v/>
      </c>
      <c r="N264" s="103"/>
      <c r="O264" s="102"/>
    </row>
    <row r="265" spans="2:15" hidden="1" outlineLevel="1" x14ac:dyDescent="0.2">
      <c r="B265" s="2">
        <f t="shared" si="73"/>
        <v>30</v>
      </c>
      <c r="D265" s="22">
        <f>IF(B265&lt;$D$24,(+'CALCULETTE (2)'!G662/'CALCULETTE (2)'!$B$612),0)</f>
        <v>0.57076827248484607</v>
      </c>
      <c r="E265" s="22" t="str">
        <f t="shared" si="74"/>
        <v/>
      </c>
      <c r="F265" s="22" t="str">
        <f t="shared" si="75"/>
        <v/>
      </c>
      <c r="G265" s="22" t="str">
        <f t="shared" si="76"/>
        <v/>
      </c>
      <c r="H265" s="22" t="str">
        <f t="shared" si="77"/>
        <v/>
      </c>
      <c r="I265" s="22" t="str">
        <f t="shared" si="78"/>
        <v/>
      </c>
      <c r="J265" s="22" t="str">
        <f t="shared" si="79"/>
        <v/>
      </c>
      <c r="K265" s="22" t="str">
        <f t="shared" si="80"/>
        <v/>
      </c>
      <c r="L265" s="22" t="str">
        <f t="shared" si="81"/>
        <v/>
      </c>
      <c r="M265" s="22" t="str">
        <f t="shared" si="82"/>
        <v/>
      </c>
      <c r="N265" s="103"/>
      <c r="O265" s="102"/>
    </row>
    <row r="266" spans="2:15" hidden="1" outlineLevel="1" x14ac:dyDescent="0.2">
      <c r="B266" s="2">
        <f t="shared" si="73"/>
        <v>31</v>
      </c>
      <c r="D266" s="22">
        <f>IF(B266&lt;$D$24,(+'CALCULETTE (2)'!G663/'CALCULETTE (2)'!$B$612),0)</f>
        <v>0.55770687280620812</v>
      </c>
      <c r="E266" s="22" t="str">
        <f t="shared" si="74"/>
        <v/>
      </c>
      <c r="F266" s="22" t="str">
        <f t="shared" si="75"/>
        <v/>
      </c>
      <c r="G266" s="22" t="str">
        <f t="shared" si="76"/>
        <v/>
      </c>
      <c r="H266" s="22" t="str">
        <f t="shared" si="77"/>
        <v/>
      </c>
      <c r="I266" s="22" t="str">
        <f t="shared" si="78"/>
        <v/>
      </c>
      <c r="J266" s="22" t="str">
        <f t="shared" si="79"/>
        <v/>
      </c>
      <c r="K266" s="22" t="str">
        <f t="shared" si="80"/>
        <v/>
      </c>
      <c r="L266" s="22" t="str">
        <f t="shared" si="81"/>
        <v/>
      </c>
      <c r="M266" s="22" t="str">
        <f t="shared" si="82"/>
        <v/>
      </c>
      <c r="N266" s="103"/>
      <c r="O266" s="102"/>
    </row>
    <row r="267" spans="2:15" hidden="1" outlineLevel="1" x14ac:dyDescent="0.2">
      <c r="B267" s="2">
        <f t="shared" si="73"/>
        <v>32</v>
      </c>
      <c r="D267" s="22">
        <f>IF(B267&lt;$D$24,(+'CALCULETTE (2)'!G664/'CALCULETTE (2)'!$B$612),0)</f>
        <v>0.54471145850327662</v>
      </c>
      <c r="E267" s="22" t="str">
        <f t="shared" si="74"/>
        <v/>
      </c>
      <c r="F267" s="22" t="str">
        <f t="shared" si="75"/>
        <v/>
      </c>
      <c r="G267" s="22" t="str">
        <f t="shared" si="76"/>
        <v/>
      </c>
      <c r="H267" s="22" t="str">
        <f t="shared" si="77"/>
        <v/>
      </c>
      <c r="I267" s="22" t="str">
        <f t="shared" si="78"/>
        <v/>
      </c>
      <c r="J267" s="22" t="str">
        <f t="shared" si="79"/>
        <v/>
      </c>
      <c r="K267" s="22" t="str">
        <f t="shared" si="80"/>
        <v/>
      </c>
      <c r="L267" s="22" t="str">
        <f t="shared" si="81"/>
        <v/>
      </c>
      <c r="M267" s="22" t="str">
        <f t="shared" si="82"/>
        <v/>
      </c>
      <c r="N267" s="103"/>
      <c r="O267" s="102"/>
    </row>
    <row r="268" spans="2:15" hidden="1" outlineLevel="1" x14ac:dyDescent="0.2">
      <c r="B268" s="2">
        <f t="shared" ref="B268:B299" si="83">B267+1</f>
        <v>33</v>
      </c>
      <c r="D268" s="22">
        <f>IF(B268&lt;$D$24,(+'CALCULETTE (2)'!G665/'CALCULETTE (2)'!$B$612),0)</f>
        <v>0.53178169960408905</v>
      </c>
      <c r="E268" s="22" t="str">
        <f t="shared" ref="E268:E299" si="84">IF(E$1=0,"",IF($B268&lt;E$23,E267+PPMT(E$26/12,$B268,E$23,E$235,-E$27,0),IF($B268=E$23,E267+PPMT(E$26/12,$B268,E$23,E$235,-E$27,0)-E$27,0)))</f>
        <v/>
      </c>
      <c r="F268" s="22" t="str">
        <f t="shared" ref="F268:F299" si="85">IF(F$1=0,"",IF($B268&lt;F$23,F267+PPMT(F$26/12,$B268,F$23,F$235,-F$27,0),IF($B268=F$23,F267+PPMT(F$26/12,$B268,F$23,F$235,-F$27,0)-F$27,0)))</f>
        <v/>
      </c>
      <c r="G268" s="22" t="str">
        <f t="shared" ref="G268:G299" si="86">IF(G$1=0,"",IF($B268&lt;G$23,G267+PPMT(G$26/12,$B268,G$23,G$235,-G$27,0),IF($B268=G$23,G267+PPMT(G$26/12,$B268,G$23,G$235,-G$27,0)-G$27,0)))</f>
        <v/>
      </c>
      <c r="H268" s="22" t="str">
        <f t="shared" ref="H268:H299" si="87">IF(H$1=0,"",IF($B268&lt;H$23,H267+PPMT(H$26/12,$B268,H$23,H$235,-H$27,0),IF($B268=H$23,H267+PPMT(H$26/12,$B268,H$23,H$235,-H$27,0)-H$27,0)))</f>
        <v/>
      </c>
      <c r="I268" s="22" t="str">
        <f t="shared" ref="I268:I299" si="88">IF(I$1=0,"",IF($B268&lt;I$23,I267+PPMT(I$26/12,$B268,I$23,I$235,-I$27,0),IF($B268=I$23,I267+PPMT(I$26/12,$B268,I$23,I$235,-I$27,0)-I$27,0)))</f>
        <v/>
      </c>
      <c r="J268" s="22" t="str">
        <f t="shared" ref="J268:J299" si="89">IF(J$1=0,"",IF($B268&lt;J$23,J267+PPMT(J$26/12,$B268,J$23,J$235,-J$27,0),IF($B268=J$23,J267+PPMT(J$26/12,$B268,J$23,J$235,-J$27,0)-J$27,0)))</f>
        <v/>
      </c>
      <c r="K268" s="22" t="str">
        <f t="shared" ref="K268:K299" si="90">IF(K$1=0,"",IF($B268&lt;K$23,K267+PPMT(K$26/12,$B268,K$23,K$235,-K$27,0),IF($B268=K$23,K267+PPMT(K$26/12,$B268,K$23,K$235,-K$27,0)-K$27,0)))</f>
        <v/>
      </c>
      <c r="L268" s="22" t="str">
        <f t="shared" ref="L268:L299" si="91">IF(L$1=0,"",IF($B268&lt;L$23,L267+PPMT(L$26/12,$B268,L$23,L$235,-L$27,0),IF($B268=L$23,L267+PPMT(L$26/12,$B268,L$23,L$235,-L$27,0)-L$27,0)))</f>
        <v/>
      </c>
      <c r="M268" s="22" t="str">
        <f t="shared" ref="M268:M299" si="92">IF(M$1=0,"",IF($B268&lt;M$23,M267+PPMT(M$26/12,$B268,M$23,M$235,-M$27,0),IF($B268=M$23,M267+PPMT(M$26/12,$B268,M$23,M$235,-M$27,0)-M$27,0)))</f>
        <v/>
      </c>
      <c r="N268" s="103"/>
      <c r="O268" s="102"/>
    </row>
    <row r="269" spans="2:15" hidden="1" outlineLevel="1" x14ac:dyDescent="0.2">
      <c r="B269" s="2">
        <f t="shared" si="83"/>
        <v>34</v>
      </c>
      <c r="D269" s="22">
        <f>IF(B269&lt;$D$24,(+'CALCULETTE (2)'!G666/'CALCULETTE (2)'!$B$612),0)</f>
        <v>0.51891726778654579</v>
      </c>
      <c r="E269" s="22" t="str">
        <f t="shared" si="84"/>
        <v/>
      </c>
      <c r="F269" s="22" t="str">
        <f t="shared" si="85"/>
        <v/>
      </c>
      <c r="G269" s="22" t="str">
        <f t="shared" si="86"/>
        <v/>
      </c>
      <c r="H269" s="22" t="str">
        <f t="shared" si="87"/>
        <v/>
      </c>
      <c r="I269" s="22" t="str">
        <f t="shared" si="88"/>
        <v/>
      </c>
      <c r="J269" s="22" t="str">
        <f t="shared" si="89"/>
        <v/>
      </c>
      <c r="K269" s="22" t="str">
        <f t="shared" si="90"/>
        <v/>
      </c>
      <c r="L269" s="22" t="str">
        <f t="shared" si="91"/>
        <v/>
      </c>
      <c r="M269" s="22" t="str">
        <f t="shared" si="92"/>
        <v/>
      </c>
      <c r="N269" s="103"/>
      <c r="O269" s="102"/>
    </row>
    <row r="270" spans="2:15" hidden="1" outlineLevel="1" x14ac:dyDescent="0.2">
      <c r="B270" s="2">
        <f t="shared" si="83"/>
        <v>35</v>
      </c>
      <c r="D270" s="22">
        <f>IF(B270&lt;$D$24,(+'CALCULETTE (2)'!G667/'CALCULETTE (2)'!$B$612),0)</f>
        <v>0</v>
      </c>
      <c r="E270" s="22" t="str">
        <f t="shared" si="84"/>
        <v/>
      </c>
      <c r="F270" s="22" t="str">
        <f t="shared" si="85"/>
        <v/>
      </c>
      <c r="G270" s="22" t="str">
        <f t="shared" si="86"/>
        <v/>
      </c>
      <c r="H270" s="22" t="str">
        <f t="shared" si="87"/>
        <v/>
      </c>
      <c r="I270" s="22" t="str">
        <f t="shared" si="88"/>
        <v/>
      </c>
      <c r="J270" s="22" t="str">
        <f t="shared" si="89"/>
        <v/>
      </c>
      <c r="K270" s="22" t="str">
        <f t="shared" si="90"/>
        <v/>
      </c>
      <c r="L270" s="22" t="str">
        <f t="shared" si="91"/>
        <v/>
      </c>
      <c r="M270" s="22" t="str">
        <f t="shared" si="92"/>
        <v/>
      </c>
      <c r="N270" s="103"/>
      <c r="O270" s="102"/>
    </row>
    <row r="271" spans="2:15" hidden="1" outlineLevel="1" x14ac:dyDescent="0.2">
      <c r="B271" s="2">
        <f t="shared" si="83"/>
        <v>36</v>
      </c>
      <c r="D271" s="22">
        <f>IF(B271&lt;$D$24,(+'CALCULETTE (2)'!G668/'CALCULETTE (2)'!$B$612),0)</f>
        <v>0</v>
      </c>
      <c r="E271" s="22" t="str">
        <f t="shared" si="84"/>
        <v/>
      </c>
      <c r="F271" s="22" t="str">
        <f t="shared" si="85"/>
        <v/>
      </c>
      <c r="G271" s="22" t="str">
        <f t="shared" si="86"/>
        <v/>
      </c>
      <c r="H271" s="22" t="str">
        <f t="shared" si="87"/>
        <v/>
      </c>
      <c r="I271" s="22" t="str">
        <f t="shared" si="88"/>
        <v/>
      </c>
      <c r="J271" s="22" t="str">
        <f t="shared" si="89"/>
        <v/>
      </c>
      <c r="K271" s="22" t="str">
        <f t="shared" si="90"/>
        <v/>
      </c>
      <c r="L271" s="22" t="str">
        <f t="shared" si="91"/>
        <v/>
      </c>
      <c r="M271" s="22" t="str">
        <f t="shared" si="92"/>
        <v/>
      </c>
      <c r="N271" s="103"/>
      <c r="O271" s="102"/>
    </row>
    <row r="272" spans="2:15" hidden="1" outlineLevel="1" x14ac:dyDescent="0.2">
      <c r="B272" s="2">
        <f t="shared" si="83"/>
        <v>37</v>
      </c>
      <c r="D272" s="22">
        <f>IF(B272&lt;$D$24,(+'CALCULETTE (2)'!G669/'CALCULETTE (2)'!$B$612),0)</f>
        <v>0</v>
      </c>
      <c r="E272" s="22" t="str">
        <f t="shared" si="84"/>
        <v/>
      </c>
      <c r="F272" s="22" t="str">
        <f t="shared" si="85"/>
        <v/>
      </c>
      <c r="G272" s="22" t="str">
        <f t="shared" si="86"/>
        <v/>
      </c>
      <c r="H272" s="22" t="str">
        <f t="shared" si="87"/>
        <v/>
      </c>
      <c r="I272" s="22" t="str">
        <f t="shared" si="88"/>
        <v/>
      </c>
      <c r="J272" s="22" t="str">
        <f t="shared" si="89"/>
        <v/>
      </c>
      <c r="K272" s="22" t="str">
        <f t="shared" si="90"/>
        <v/>
      </c>
      <c r="L272" s="22" t="str">
        <f t="shared" si="91"/>
        <v/>
      </c>
      <c r="M272" s="22" t="str">
        <f t="shared" si="92"/>
        <v/>
      </c>
      <c r="N272" s="103"/>
      <c r="O272" s="102"/>
    </row>
    <row r="273" spans="2:15" hidden="1" outlineLevel="1" x14ac:dyDescent="0.2">
      <c r="B273" s="2">
        <f t="shared" si="83"/>
        <v>38</v>
      </c>
      <c r="D273" s="22">
        <f>IF(B273&lt;$D$24,(+'CALCULETTE (2)'!G670/'CALCULETTE (2)'!$B$612),0)</f>
        <v>0</v>
      </c>
      <c r="E273" s="22" t="str">
        <f t="shared" si="84"/>
        <v/>
      </c>
      <c r="F273" s="22" t="str">
        <f t="shared" si="85"/>
        <v/>
      </c>
      <c r="G273" s="22" t="str">
        <f t="shared" si="86"/>
        <v/>
      </c>
      <c r="H273" s="22" t="str">
        <f t="shared" si="87"/>
        <v/>
      </c>
      <c r="I273" s="22" t="str">
        <f t="shared" si="88"/>
        <v/>
      </c>
      <c r="J273" s="22" t="str">
        <f t="shared" si="89"/>
        <v/>
      </c>
      <c r="K273" s="22" t="str">
        <f t="shared" si="90"/>
        <v/>
      </c>
      <c r="L273" s="22" t="str">
        <f t="shared" si="91"/>
        <v/>
      </c>
      <c r="M273" s="22" t="str">
        <f t="shared" si="92"/>
        <v/>
      </c>
      <c r="N273" s="103"/>
      <c r="O273" s="102"/>
    </row>
    <row r="274" spans="2:15" hidden="1" outlineLevel="1" x14ac:dyDescent="0.2">
      <c r="B274" s="2">
        <f t="shared" si="83"/>
        <v>39</v>
      </c>
      <c r="D274" s="22">
        <f>IF(B274&lt;$D$24,(+'CALCULETTE (2)'!G671/'CALCULETTE (2)'!$B$612),0)</f>
        <v>0</v>
      </c>
      <c r="E274" s="22" t="str">
        <f t="shared" si="84"/>
        <v/>
      </c>
      <c r="F274" s="22" t="str">
        <f t="shared" si="85"/>
        <v/>
      </c>
      <c r="G274" s="22" t="str">
        <f t="shared" si="86"/>
        <v/>
      </c>
      <c r="H274" s="22" t="str">
        <f t="shared" si="87"/>
        <v/>
      </c>
      <c r="I274" s="22" t="str">
        <f t="shared" si="88"/>
        <v/>
      </c>
      <c r="J274" s="22" t="str">
        <f t="shared" si="89"/>
        <v/>
      </c>
      <c r="K274" s="22" t="str">
        <f t="shared" si="90"/>
        <v/>
      </c>
      <c r="L274" s="22" t="str">
        <f t="shared" si="91"/>
        <v/>
      </c>
      <c r="M274" s="22" t="str">
        <f t="shared" si="92"/>
        <v/>
      </c>
      <c r="N274" s="103"/>
      <c r="O274" s="102"/>
    </row>
    <row r="275" spans="2:15" hidden="1" outlineLevel="1" x14ac:dyDescent="0.2">
      <c r="B275" s="2">
        <f t="shared" si="83"/>
        <v>40</v>
      </c>
      <c r="D275" s="22">
        <f>IF(B275&lt;$D$24,(+'CALCULETTE (2)'!G672/'CALCULETTE (2)'!$B$612),0)</f>
        <v>0</v>
      </c>
      <c r="E275" s="22" t="str">
        <f t="shared" si="84"/>
        <v/>
      </c>
      <c r="F275" s="22" t="str">
        <f t="shared" si="85"/>
        <v/>
      </c>
      <c r="G275" s="22" t="str">
        <f t="shared" si="86"/>
        <v/>
      </c>
      <c r="H275" s="22" t="str">
        <f t="shared" si="87"/>
        <v/>
      </c>
      <c r="I275" s="22" t="str">
        <f t="shared" si="88"/>
        <v/>
      </c>
      <c r="J275" s="22" t="str">
        <f t="shared" si="89"/>
        <v/>
      </c>
      <c r="K275" s="22" t="str">
        <f t="shared" si="90"/>
        <v/>
      </c>
      <c r="L275" s="22" t="str">
        <f t="shared" si="91"/>
        <v/>
      </c>
      <c r="M275" s="22" t="str">
        <f t="shared" si="92"/>
        <v/>
      </c>
      <c r="N275" s="103"/>
      <c r="O275" s="102"/>
    </row>
    <row r="276" spans="2:15" hidden="1" outlineLevel="1" x14ac:dyDescent="0.2">
      <c r="B276" s="2">
        <f t="shared" si="83"/>
        <v>41</v>
      </c>
      <c r="D276" s="22">
        <f>IF(B276&lt;$D$24,(+'CALCULETTE (2)'!G673/'CALCULETTE (2)'!$B$612),0)</f>
        <v>0</v>
      </c>
      <c r="E276" s="22" t="str">
        <f t="shared" si="84"/>
        <v/>
      </c>
      <c r="F276" s="22" t="str">
        <f t="shared" si="85"/>
        <v/>
      </c>
      <c r="G276" s="22" t="str">
        <f t="shared" si="86"/>
        <v/>
      </c>
      <c r="H276" s="22" t="str">
        <f t="shared" si="87"/>
        <v/>
      </c>
      <c r="I276" s="22" t="str">
        <f t="shared" si="88"/>
        <v/>
      </c>
      <c r="J276" s="22" t="str">
        <f t="shared" si="89"/>
        <v/>
      </c>
      <c r="K276" s="22" t="str">
        <f t="shared" si="90"/>
        <v/>
      </c>
      <c r="L276" s="22" t="str">
        <f t="shared" si="91"/>
        <v/>
      </c>
      <c r="M276" s="22" t="str">
        <f t="shared" si="92"/>
        <v/>
      </c>
      <c r="N276" s="103"/>
      <c r="O276" s="102"/>
    </row>
    <row r="277" spans="2:15" hidden="1" outlineLevel="1" x14ac:dyDescent="0.2">
      <c r="B277" s="2">
        <f t="shared" si="83"/>
        <v>42</v>
      </c>
      <c r="D277" s="22">
        <f>IF(B277&lt;$D$24,(+'CALCULETTE (2)'!G674/'CALCULETTE (2)'!$B$612),0)</f>
        <v>0</v>
      </c>
      <c r="E277" s="22" t="str">
        <f t="shared" si="84"/>
        <v/>
      </c>
      <c r="F277" s="22" t="str">
        <f t="shared" si="85"/>
        <v/>
      </c>
      <c r="G277" s="22" t="str">
        <f t="shared" si="86"/>
        <v/>
      </c>
      <c r="H277" s="22" t="str">
        <f t="shared" si="87"/>
        <v/>
      </c>
      <c r="I277" s="22" t="str">
        <f t="shared" si="88"/>
        <v/>
      </c>
      <c r="J277" s="22" t="str">
        <f t="shared" si="89"/>
        <v/>
      </c>
      <c r="K277" s="22" t="str">
        <f t="shared" si="90"/>
        <v/>
      </c>
      <c r="L277" s="22" t="str">
        <f t="shared" si="91"/>
        <v/>
      </c>
      <c r="M277" s="22" t="str">
        <f t="shared" si="92"/>
        <v/>
      </c>
      <c r="N277" s="103"/>
      <c r="O277" s="102"/>
    </row>
    <row r="278" spans="2:15" hidden="1" outlineLevel="1" x14ac:dyDescent="0.2">
      <c r="B278" s="2">
        <f t="shared" si="83"/>
        <v>43</v>
      </c>
      <c r="D278" s="22">
        <f>IF(B278&lt;$D$24,(+'CALCULETTE (2)'!G675/'CALCULETTE (2)'!$B$612),0)</f>
        <v>0</v>
      </c>
      <c r="E278" s="22" t="str">
        <f t="shared" si="84"/>
        <v/>
      </c>
      <c r="F278" s="22" t="str">
        <f t="shared" si="85"/>
        <v/>
      </c>
      <c r="G278" s="22" t="str">
        <f t="shared" si="86"/>
        <v/>
      </c>
      <c r="H278" s="22" t="str">
        <f t="shared" si="87"/>
        <v/>
      </c>
      <c r="I278" s="22" t="str">
        <f t="shared" si="88"/>
        <v/>
      </c>
      <c r="J278" s="22" t="str">
        <f t="shared" si="89"/>
        <v/>
      </c>
      <c r="K278" s="22" t="str">
        <f t="shared" si="90"/>
        <v/>
      </c>
      <c r="L278" s="22" t="str">
        <f t="shared" si="91"/>
        <v/>
      </c>
      <c r="M278" s="22" t="str">
        <f t="shared" si="92"/>
        <v/>
      </c>
      <c r="N278" s="103"/>
      <c r="O278" s="102"/>
    </row>
    <row r="279" spans="2:15" hidden="1" outlineLevel="1" x14ac:dyDescent="0.2">
      <c r="B279" s="2">
        <f t="shared" si="83"/>
        <v>44</v>
      </c>
      <c r="D279" s="22">
        <f>IF(B279&lt;$D$24,(+'CALCULETTE (2)'!G676/'CALCULETTE (2)'!$B$612),0)</f>
        <v>0</v>
      </c>
      <c r="E279" s="22" t="str">
        <f t="shared" si="84"/>
        <v/>
      </c>
      <c r="F279" s="22" t="str">
        <f t="shared" si="85"/>
        <v/>
      </c>
      <c r="G279" s="22" t="str">
        <f t="shared" si="86"/>
        <v/>
      </c>
      <c r="H279" s="22" t="str">
        <f t="shared" si="87"/>
        <v/>
      </c>
      <c r="I279" s="22" t="str">
        <f t="shared" si="88"/>
        <v/>
      </c>
      <c r="J279" s="22" t="str">
        <f t="shared" si="89"/>
        <v/>
      </c>
      <c r="K279" s="22" t="str">
        <f t="shared" si="90"/>
        <v/>
      </c>
      <c r="L279" s="22" t="str">
        <f t="shared" si="91"/>
        <v/>
      </c>
      <c r="M279" s="22" t="str">
        <f t="shared" si="92"/>
        <v/>
      </c>
      <c r="N279" s="103"/>
      <c r="O279" s="102"/>
    </row>
    <row r="280" spans="2:15" hidden="1" outlineLevel="1" x14ac:dyDescent="0.2">
      <c r="B280" s="2">
        <f t="shared" si="83"/>
        <v>45</v>
      </c>
      <c r="D280" s="22">
        <f>IF(B280&lt;$D$24,(+'CALCULETTE (2)'!G677/'CALCULETTE (2)'!$B$612),0)</f>
        <v>0</v>
      </c>
      <c r="E280" s="22" t="str">
        <f t="shared" si="84"/>
        <v/>
      </c>
      <c r="F280" s="22" t="str">
        <f t="shared" si="85"/>
        <v/>
      </c>
      <c r="G280" s="22" t="str">
        <f t="shared" si="86"/>
        <v/>
      </c>
      <c r="H280" s="22" t="str">
        <f t="shared" si="87"/>
        <v/>
      </c>
      <c r="I280" s="22" t="str">
        <f t="shared" si="88"/>
        <v/>
      </c>
      <c r="J280" s="22" t="str">
        <f t="shared" si="89"/>
        <v/>
      </c>
      <c r="K280" s="22" t="str">
        <f t="shared" si="90"/>
        <v/>
      </c>
      <c r="L280" s="22" t="str">
        <f t="shared" si="91"/>
        <v/>
      </c>
      <c r="M280" s="22" t="str">
        <f t="shared" si="92"/>
        <v/>
      </c>
      <c r="N280" s="103"/>
      <c r="O280" s="102"/>
    </row>
    <row r="281" spans="2:15" hidden="1" outlineLevel="1" x14ac:dyDescent="0.2">
      <c r="B281" s="2">
        <f t="shared" si="83"/>
        <v>46</v>
      </c>
      <c r="D281" s="22">
        <f>IF(B281&lt;$D$24,(+'CALCULETTE (2)'!G678/'CALCULETTE (2)'!$B$612),0)</f>
        <v>0</v>
      </c>
      <c r="E281" s="22" t="str">
        <f t="shared" si="84"/>
        <v/>
      </c>
      <c r="F281" s="22" t="str">
        <f t="shared" si="85"/>
        <v/>
      </c>
      <c r="G281" s="22" t="str">
        <f t="shared" si="86"/>
        <v/>
      </c>
      <c r="H281" s="22" t="str">
        <f t="shared" si="87"/>
        <v/>
      </c>
      <c r="I281" s="22" t="str">
        <f t="shared" si="88"/>
        <v/>
      </c>
      <c r="J281" s="22" t="str">
        <f t="shared" si="89"/>
        <v/>
      </c>
      <c r="K281" s="22" t="str">
        <f t="shared" si="90"/>
        <v/>
      </c>
      <c r="L281" s="22" t="str">
        <f t="shared" si="91"/>
        <v/>
      </c>
      <c r="M281" s="22" t="str">
        <f t="shared" si="92"/>
        <v/>
      </c>
      <c r="N281" s="103"/>
      <c r="O281" s="102"/>
    </row>
    <row r="282" spans="2:15" hidden="1" outlineLevel="1" x14ac:dyDescent="0.2">
      <c r="B282" s="2">
        <f t="shared" si="83"/>
        <v>47</v>
      </c>
      <c r="D282" s="22">
        <f>IF(B282&lt;$D$24,(+'CALCULETTE (2)'!G679/'CALCULETTE (2)'!$B$612),0)</f>
        <v>0</v>
      </c>
      <c r="E282" s="22" t="str">
        <f t="shared" si="84"/>
        <v/>
      </c>
      <c r="F282" s="22" t="str">
        <f t="shared" si="85"/>
        <v/>
      </c>
      <c r="G282" s="22" t="str">
        <f t="shared" si="86"/>
        <v/>
      </c>
      <c r="H282" s="22" t="str">
        <f t="shared" si="87"/>
        <v/>
      </c>
      <c r="I282" s="22" t="str">
        <f t="shared" si="88"/>
        <v/>
      </c>
      <c r="J282" s="22" t="str">
        <f t="shared" si="89"/>
        <v/>
      </c>
      <c r="K282" s="22" t="str">
        <f t="shared" si="90"/>
        <v/>
      </c>
      <c r="L282" s="22" t="str">
        <f t="shared" si="91"/>
        <v/>
      </c>
      <c r="M282" s="22" t="str">
        <f t="shared" si="92"/>
        <v/>
      </c>
      <c r="N282" s="103"/>
      <c r="O282" s="102"/>
    </row>
    <row r="283" spans="2:15" hidden="1" outlineLevel="1" x14ac:dyDescent="0.2">
      <c r="B283" s="2">
        <f t="shared" si="83"/>
        <v>48</v>
      </c>
      <c r="D283" s="22">
        <f>IF(B283&lt;$D$24,(+'CALCULETTE (2)'!G680/'CALCULETTE (2)'!$B$612),0)</f>
        <v>0</v>
      </c>
      <c r="E283" s="22" t="str">
        <f t="shared" si="84"/>
        <v/>
      </c>
      <c r="F283" s="22" t="str">
        <f t="shared" si="85"/>
        <v/>
      </c>
      <c r="G283" s="22" t="str">
        <f t="shared" si="86"/>
        <v/>
      </c>
      <c r="H283" s="22" t="str">
        <f t="shared" si="87"/>
        <v/>
      </c>
      <c r="I283" s="22" t="str">
        <f t="shared" si="88"/>
        <v/>
      </c>
      <c r="J283" s="22" t="str">
        <f t="shared" si="89"/>
        <v/>
      </c>
      <c r="K283" s="22" t="str">
        <f t="shared" si="90"/>
        <v/>
      </c>
      <c r="L283" s="22" t="str">
        <f t="shared" si="91"/>
        <v/>
      </c>
      <c r="M283" s="22" t="str">
        <f t="shared" si="92"/>
        <v/>
      </c>
      <c r="N283" s="103"/>
      <c r="O283" s="102"/>
    </row>
    <row r="284" spans="2:15" hidden="1" outlineLevel="1" x14ac:dyDescent="0.2">
      <c r="B284" s="2">
        <f t="shared" si="83"/>
        <v>49</v>
      </c>
      <c r="D284" s="22">
        <f>IF(B284&lt;$D$24,(+'CALCULETTE (2)'!G681/'CALCULETTE (2)'!$B$612),0)</f>
        <v>0</v>
      </c>
      <c r="E284" s="22" t="str">
        <f t="shared" si="84"/>
        <v/>
      </c>
      <c r="F284" s="22" t="str">
        <f t="shared" si="85"/>
        <v/>
      </c>
      <c r="G284" s="22" t="str">
        <f t="shared" si="86"/>
        <v/>
      </c>
      <c r="H284" s="22" t="str">
        <f t="shared" si="87"/>
        <v/>
      </c>
      <c r="I284" s="22" t="str">
        <f t="shared" si="88"/>
        <v/>
      </c>
      <c r="J284" s="22" t="str">
        <f t="shared" si="89"/>
        <v/>
      </c>
      <c r="K284" s="22" t="str">
        <f t="shared" si="90"/>
        <v/>
      </c>
      <c r="L284" s="22" t="str">
        <f t="shared" si="91"/>
        <v/>
      </c>
      <c r="M284" s="22" t="str">
        <f t="shared" si="92"/>
        <v/>
      </c>
      <c r="N284" s="103"/>
      <c r="O284" s="102"/>
    </row>
    <row r="285" spans="2:15" hidden="1" outlineLevel="1" x14ac:dyDescent="0.2">
      <c r="B285" s="2">
        <f t="shared" si="83"/>
        <v>50</v>
      </c>
      <c r="D285" s="22">
        <f>IF(B285&lt;$D$24,(+'CALCULETTE (2)'!G682/'CALCULETTE (2)'!$B$612),0)</f>
        <v>0</v>
      </c>
      <c r="E285" s="22" t="str">
        <f t="shared" si="84"/>
        <v/>
      </c>
      <c r="F285" s="22" t="str">
        <f t="shared" si="85"/>
        <v/>
      </c>
      <c r="G285" s="22" t="str">
        <f t="shared" si="86"/>
        <v/>
      </c>
      <c r="H285" s="22" t="str">
        <f t="shared" si="87"/>
        <v/>
      </c>
      <c r="I285" s="22" t="str">
        <f t="shared" si="88"/>
        <v/>
      </c>
      <c r="J285" s="22" t="str">
        <f t="shared" si="89"/>
        <v/>
      </c>
      <c r="K285" s="22" t="str">
        <f t="shared" si="90"/>
        <v/>
      </c>
      <c r="L285" s="22" t="str">
        <f t="shared" si="91"/>
        <v/>
      </c>
      <c r="M285" s="22" t="str">
        <f t="shared" si="92"/>
        <v/>
      </c>
      <c r="N285" s="103"/>
      <c r="O285" s="102"/>
    </row>
    <row r="286" spans="2:15" hidden="1" outlineLevel="1" x14ac:dyDescent="0.2">
      <c r="B286" s="2">
        <f t="shared" si="83"/>
        <v>51</v>
      </c>
      <c r="D286" s="22">
        <f>IF(B286&lt;$D$24,(+'CALCULETTE (2)'!G683/'CALCULETTE (2)'!$B$612),0)</f>
        <v>0</v>
      </c>
      <c r="E286" s="22" t="str">
        <f t="shared" si="84"/>
        <v/>
      </c>
      <c r="F286" s="22" t="str">
        <f t="shared" si="85"/>
        <v/>
      </c>
      <c r="G286" s="22" t="str">
        <f t="shared" si="86"/>
        <v/>
      </c>
      <c r="H286" s="22" t="str">
        <f t="shared" si="87"/>
        <v/>
      </c>
      <c r="I286" s="22" t="str">
        <f t="shared" si="88"/>
        <v/>
      </c>
      <c r="J286" s="22" t="str">
        <f t="shared" si="89"/>
        <v/>
      </c>
      <c r="K286" s="22" t="str">
        <f t="shared" si="90"/>
        <v/>
      </c>
      <c r="L286" s="22" t="str">
        <f t="shared" si="91"/>
        <v/>
      </c>
      <c r="M286" s="22" t="str">
        <f t="shared" si="92"/>
        <v/>
      </c>
      <c r="N286" s="103"/>
      <c r="O286" s="102"/>
    </row>
    <row r="287" spans="2:15" hidden="1" outlineLevel="1" x14ac:dyDescent="0.2">
      <c r="B287" s="2">
        <f t="shared" si="83"/>
        <v>52</v>
      </c>
      <c r="D287" s="22">
        <f>IF(B287&lt;$D$24,(+'CALCULETTE (2)'!G684/'CALCULETTE (2)'!$B$612),0)</f>
        <v>0</v>
      </c>
      <c r="E287" s="22" t="str">
        <f t="shared" si="84"/>
        <v/>
      </c>
      <c r="F287" s="22" t="str">
        <f t="shared" si="85"/>
        <v/>
      </c>
      <c r="G287" s="22" t="str">
        <f t="shared" si="86"/>
        <v/>
      </c>
      <c r="H287" s="22" t="str">
        <f t="shared" si="87"/>
        <v/>
      </c>
      <c r="I287" s="22" t="str">
        <f t="shared" si="88"/>
        <v/>
      </c>
      <c r="J287" s="22" t="str">
        <f t="shared" si="89"/>
        <v/>
      </c>
      <c r="K287" s="22" t="str">
        <f t="shared" si="90"/>
        <v/>
      </c>
      <c r="L287" s="22" t="str">
        <f t="shared" si="91"/>
        <v/>
      </c>
      <c r="M287" s="22" t="str">
        <f t="shared" si="92"/>
        <v/>
      </c>
      <c r="N287" s="103"/>
      <c r="O287" s="102"/>
    </row>
    <row r="288" spans="2:15" hidden="1" outlineLevel="1" x14ac:dyDescent="0.2">
      <c r="B288" s="2">
        <f t="shared" si="83"/>
        <v>53</v>
      </c>
      <c r="D288" s="22">
        <f>IF(B288&lt;$D$24,(+'CALCULETTE (2)'!G685/'CALCULETTE (2)'!$B$612),0)</f>
        <v>0</v>
      </c>
      <c r="E288" s="22" t="str">
        <f t="shared" si="84"/>
        <v/>
      </c>
      <c r="F288" s="22" t="str">
        <f t="shared" si="85"/>
        <v/>
      </c>
      <c r="G288" s="22" t="str">
        <f t="shared" si="86"/>
        <v/>
      </c>
      <c r="H288" s="22" t="str">
        <f t="shared" si="87"/>
        <v/>
      </c>
      <c r="I288" s="22" t="str">
        <f t="shared" si="88"/>
        <v/>
      </c>
      <c r="J288" s="22" t="str">
        <f t="shared" si="89"/>
        <v/>
      </c>
      <c r="K288" s="22" t="str">
        <f t="shared" si="90"/>
        <v/>
      </c>
      <c r="L288" s="22" t="str">
        <f t="shared" si="91"/>
        <v/>
      </c>
      <c r="M288" s="22" t="str">
        <f t="shared" si="92"/>
        <v/>
      </c>
      <c r="N288" s="103"/>
      <c r="O288" s="102"/>
    </row>
    <row r="289" spans="2:15" hidden="1" outlineLevel="1" x14ac:dyDescent="0.2">
      <c r="B289" s="2">
        <f t="shared" si="83"/>
        <v>54</v>
      </c>
      <c r="D289" s="22">
        <f>IF(B289&lt;$D$24,(+'CALCULETTE (2)'!G686/'CALCULETTE (2)'!$B$612),0)</f>
        <v>0</v>
      </c>
      <c r="E289" s="22" t="str">
        <f t="shared" si="84"/>
        <v/>
      </c>
      <c r="F289" s="22" t="str">
        <f t="shared" si="85"/>
        <v/>
      </c>
      <c r="G289" s="22" t="str">
        <f t="shared" si="86"/>
        <v/>
      </c>
      <c r="H289" s="22" t="str">
        <f t="shared" si="87"/>
        <v/>
      </c>
      <c r="I289" s="22" t="str">
        <f t="shared" si="88"/>
        <v/>
      </c>
      <c r="J289" s="22" t="str">
        <f t="shared" si="89"/>
        <v/>
      </c>
      <c r="K289" s="22" t="str">
        <f t="shared" si="90"/>
        <v/>
      </c>
      <c r="L289" s="22" t="str">
        <f t="shared" si="91"/>
        <v/>
      </c>
      <c r="M289" s="22" t="str">
        <f t="shared" si="92"/>
        <v/>
      </c>
      <c r="N289" s="103"/>
      <c r="O289" s="102"/>
    </row>
    <row r="290" spans="2:15" hidden="1" outlineLevel="1" x14ac:dyDescent="0.2">
      <c r="B290" s="2">
        <f t="shared" si="83"/>
        <v>55</v>
      </c>
      <c r="D290" s="22">
        <f>IF(B290&lt;$D$24,(+'CALCULETTE (2)'!G687/'CALCULETTE (2)'!$B$612),0)</f>
        <v>0</v>
      </c>
      <c r="E290" s="22" t="str">
        <f t="shared" si="84"/>
        <v/>
      </c>
      <c r="F290" s="22" t="str">
        <f t="shared" si="85"/>
        <v/>
      </c>
      <c r="G290" s="22" t="str">
        <f t="shared" si="86"/>
        <v/>
      </c>
      <c r="H290" s="22" t="str">
        <f t="shared" si="87"/>
        <v/>
      </c>
      <c r="I290" s="22" t="str">
        <f t="shared" si="88"/>
        <v/>
      </c>
      <c r="J290" s="22" t="str">
        <f t="shared" si="89"/>
        <v/>
      </c>
      <c r="K290" s="22" t="str">
        <f t="shared" si="90"/>
        <v/>
      </c>
      <c r="L290" s="22" t="str">
        <f t="shared" si="91"/>
        <v/>
      </c>
      <c r="M290" s="22" t="str">
        <f t="shared" si="92"/>
        <v/>
      </c>
      <c r="N290" s="103"/>
      <c r="O290" s="102"/>
    </row>
    <row r="291" spans="2:15" hidden="1" outlineLevel="1" x14ac:dyDescent="0.2">
      <c r="B291" s="2">
        <f t="shared" si="83"/>
        <v>56</v>
      </c>
      <c r="D291" s="22">
        <f>IF(B291&lt;$D$24,(+'CALCULETTE (2)'!G688/'CALCULETTE (2)'!$B$612),0)</f>
        <v>0</v>
      </c>
      <c r="E291" s="22" t="str">
        <f t="shared" si="84"/>
        <v/>
      </c>
      <c r="F291" s="22" t="str">
        <f t="shared" si="85"/>
        <v/>
      </c>
      <c r="G291" s="22" t="str">
        <f t="shared" si="86"/>
        <v/>
      </c>
      <c r="H291" s="22" t="str">
        <f t="shared" si="87"/>
        <v/>
      </c>
      <c r="I291" s="22" t="str">
        <f t="shared" si="88"/>
        <v/>
      </c>
      <c r="J291" s="22" t="str">
        <f t="shared" si="89"/>
        <v/>
      </c>
      <c r="K291" s="22" t="str">
        <f t="shared" si="90"/>
        <v/>
      </c>
      <c r="L291" s="22" t="str">
        <f t="shared" si="91"/>
        <v/>
      </c>
      <c r="M291" s="22" t="str">
        <f t="shared" si="92"/>
        <v/>
      </c>
      <c r="N291" s="103"/>
      <c r="O291" s="102"/>
    </row>
    <row r="292" spans="2:15" hidden="1" outlineLevel="1" x14ac:dyDescent="0.2">
      <c r="B292" s="2">
        <f t="shared" si="83"/>
        <v>57</v>
      </c>
      <c r="D292" s="22">
        <f>IF(B292&lt;$D$24,(+'CALCULETTE (2)'!G689/'CALCULETTE (2)'!$B$612),0)</f>
        <v>0</v>
      </c>
      <c r="E292" s="22" t="str">
        <f t="shared" si="84"/>
        <v/>
      </c>
      <c r="F292" s="22" t="str">
        <f t="shared" si="85"/>
        <v/>
      </c>
      <c r="G292" s="22" t="str">
        <f t="shared" si="86"/>
        <v/>
      </c>
      <c r="H292" s="22" t="str">
        <f t="shared" si="87"/>
        <v/>
      </c>
      <c r="I292" s="22" t="str">
        <f t="shared" si="88"/>
        <v/>
      </c>
      <c r="J292" s="22" t="str">
        <f t="shared" si="89"/>
        <v/>
      </c>
      <c r="K292" s="22" t="str">
        <f t="shared" si="90"/>
        <v/>
      </c>
      <c r="L292" s="22" t="str">
        <f t="shared" si="91"/>
        <v/>
      </c>
      <c r="M292" s="22" t="str">
        <f t="shared" si="92"/>
        <v/>
      </c>
      <c r="N292" s="103"/>
      <c r="O292" s="102"/>
    </row>
    <row r="293" spans="2:15" hidden="1" outlineLevel="1" x14ac:dyDescent="0.2">
      <c r="B293" s="2">
        <f t="shared" si="83"/>
        <v>58</v>
      </c>
      <c r="D293" s="22">
        <f>IF(B293&lt;$D$24,(+'CALCULETTE (2)'!G690/'CALCULETTE (2)'!$B$612),0)</f>
        <v>0</v>
      </c>
      <c r="E293" s="22" t="str">
        <f t="shared" si="84"/>
        <v/>
      </c>
      <c r="F293" s="22" t="str">
        <f t="shared" si="85"/>
        <v/>
      </c>
      <c r="G293" s="22" t="str">
        <f t="shared" si="86"/>
        <v/>
      </c>
      <c r="H293" s="22" t="str">
        <f t="shared" si="87"/>
        <v/>
      </c>
      <c r="I293" s="22" t="str">
        <f t="shared" si="88"/>
        <v/>
      </c>
      <c r="J293" s="22" t="str">
        <f t="shared" si="89"/>
        <v/>
      </c>
      <c r="K293" s="22" t="str">
        <f t="shared" si="90"/>
        <v/>
      </c>
      <c r="L293" s="22" t="str">
        <f t="shared" si="91"/>
        <v/>
      </c>
      <c r="M293" s="22" t="str">
        <f t="shared" si="92"/>
        <v/>
      </c>
      <c r="N293" s="103"/>
      <c r="O293" s="102"/>
    </row>
    <row r="294" spans="2:15" hidden="1" outlineLevel="1" x14ac:dyDescent="0.2">
      <c r="B294" s="2">
        <f t="shared" si="83"/>
        <v>59</v>
      </c>
      <c r="D294" s="22">
        <f>IF(B294&lt;$D$24,(+'CALCULETTE (2)'!G691/'CALCULETTE (2)'!$B$612),0)</f>
        <v>0</v>
      </c>
      <c r="E294" s="22" t="str">
        <f t="shared" si="84"/>
        <v/>
      </c>
      <c r="F294" s="22" t="str">
        <f t="shared" si="85"/>
        <v/>
      </c>
      <c r="G294" s="22" t="str">
        <f t="shared" si="86"/>
        <v/>
      </c>
      <c r="H294" s="22" t="str">
        <f t="shared" si="87"/>
        <v/>
      </c>
      <c r="I294" s="22" t="str">
        <f t="shared" si="88"/>
        <v/>
      </c>
      <c r="J294" s="22" t="str">
        <f t="shared" si="89"/>
        <v/>
      </c>
      <c r="K294" s="22" t="str">
        <f t="shared" si="90"/>
        <v/>
      </c>
      <c r="L294" s="22" t="str">
        <f t="shared" si="91"/>
        <v/>
      </c>
      <c r="M294" s="22" t="str">
        <f t="shared" si="92"/>
        <v/>
      </c>
      <c r="N294" s="103"/>
      <c r="O294" s="102"/>
    </row>
    <row r="295" spans="2:15" hidden="1" outlineLevel="1" x14ac:dyDescent="0.2">
      <c r="B295" s="2">
        <f t="shared" si="83"/>
        <v>60</v>
      </c>
      <c r="D295" s="22">
        <f>IF(B295&lt;$D$24,(+'CALCULETTE (2)'!G692/'CALCULETTE (2)'!$B$612),0)</f>
        <v>0</v>
      </c>
      <c r="E295" s="22" t="str">
        <f t="shared" si="84"/>
        <v/>
      </c>
      <c r="F295" s="22" t="str">
        <f t="shared" si="85"/>
        <v/>
      </c>
      <c r="G295" s="22" t="str">
        <f t="shared" si="86"/>
        <v/>
      </c>
      <c r="H295" s="22" t="str">
        <f t="shared" si="87"/>
        <v/>
      </c>
      <c r="I295" s="22" t="str">
        <f t="shared" si="88"/>
        <v/>
      </c>
      <c r="J295" s="22" t="str">
        <f t="shared" si="89"/>
        <v/>
      </c>
      <c r="K295" s="22" t="str">
        <f t="shared" si="90"/>
        <v/>
      </c>
      <c r="L295" s="22" t="str">
        <f t="shared" si="91"/>
        <v/>
      </c>
      <c r="M295" s="22" t="str">
        <f t="shared" si="92"/>
        <v/>
      </c>
      <c r="N295" s="103"/>
      <c r="O295" s="102"/>
    </row>
    <row r="296" spans="2:15" hidden="1" outlineLevel="1" x14ac:dyDescent="0.2">
      <c r="B296" s="2">
        <f t="shared" si="83"/>
        <v>61</v>
      </c>
      <c r="D296" s="22">
        <f>IF(B296&lt;$D$24,(+'CALCULETTE (2)'!G693/'CALCULETTE (2)'!$B$612),0)</f>
        <v>0</v>
      </c>
      <c r="E296" s="22" t="str">
        <f t="shared" si="84"/>
        <v/>
      </c>
      <c r="F296" s="22" t="str">
        <f t="shared" si="85"/>
        <v/>
      </c>
      <c r="G296" s="22" t="str">
        <f t="shared" si="86"/>
        <v/>
      </c>
      <c r="H296" s="22" t="str">
        <f t="shared" si="87"/>
        <v/>
      </c>
      <c r="I296" s="22" t="str">
        <f t="shared" si="88"/>
        <v/>
      </c>
      <c r="J296" s="22" t="str">
        <f t="shared" si="89"/>
        <v/>
      </c>
      <c r="K296" s="22" t="str">
        <f t="shared" si="90"/>
        <v/>
      </c>
      <c r="L296" s="22" t="str">
        <f t="shared" si="91"/>
        <v/>
      </c>
      <c r="M296" s="22" t="str">
        <f t="shared" si="92"/>
        <v/>
      </c>
      <c r="N296" s="103"/>
      <c r="O296" s="102"/>
    </row>
    <row r="297" spans="2:15" hidden="1" outlineLevel="1" x14ac:dyDescent="0.2">
      <c r="B297" s="2">
        <f t="shared" si="83"/>
        <v>62</v>
      </c>
      <c r="D297" s="22">
        <f>IF(B297&lt;$D$24,(+'CALCULETTE (2)'!G694/'CALCULETTE (2)'!$B$612),0)</f>
        <v>0</v>
      </c>
      <c r="E297" s="22" t="str">
        <f t="shared" si="84"/>
        <v/>
      </c>
      <c r="F297" s="22" t="str">
        <f t="shared" si="85"/>
        <v/>
      </c>
      <c r="G297" s="22" t="str">
        <f t="shared" si="86"/>
        <v/>
      </c>
      <c r="H297" s="22" t="str">
        <f t="shared" si="87"/>
        <v/>
      </c>
      <c r="I297" s="22" t="str">
        <f t="shared" si="88"/>
        <v/>
      </c>
      <c r="J297" s="22" t="str">
        <f t="shared" si="89"/>
        <v/>
      </c>
      <c r="K297" s="22" t="str">
        <f t="shared" si="90"/>
        <v/>
      </c>
      <c r="L297" s="22" t="str">
        <f t="shared" si="91"/>
        <v/>
      </c>
      <c r="M297" s="22" t="str">
        <f t="shared" si="92"/>
        <v/>
      </c>
      <c r="N297" s="103"/>
      <c r="O297" s="102"/>
    </row>
    <row r="298" spans="2:15" hidden="1" outlineLevel="1" x14ac:dyDescent="0.2">
      <c r="B298" s="2">
        <f t="shared" si="83"/>
        <v>63</v>
      </c>
      <c r="D298" s="22">
        <f>IF(B298&lt;$D$24,(+'CALCULETTE (2)'!G695/'CALCULETTE (2)'!$B$612),0)</f>
        <v>0</v>
      </c>
      <c r="E298" s="22" t="str">
        <f t="shared" si="84"/>
        <v/>
      </c>
      <c r="F298" s="22" t="str">
        <f t="shared" si="85"/>
        <v/>
      </c>
      <c r="G298" s="22" t="str">
        <f t="shared" si="86"/>
        <v/>
      </c>
      <c r="H298" s="22" t="str">
        <f t="shared" si="87"/>
        <v/>
      </c>
      <c r="I298" s="22" t="str">
        <f t="shared" si="88"/>
        <v/>
      </c>
      <c r="J298" s="22" t="str">
        <f t="shared" si="89"/>
        <v/>
      </c>
      <c r="K298" s="22" t="str">
        <f t="shared" si="90"/>
        <v/>
      </c>
      <c r="L298" s="22" t="str">
        <f t="shared" si="91"/>
        <v/>
      </c>
      <c r="M298" s="22" t="str">
        <f t="shared" si="92"/>
        <v/>
      </c>
      <c r="N298" s="103"/>
      <c r="O298" s="102"/>
    </row>
    <row r="299" spans="2:15" hidden="1" outlineLevel="1" x14ac:dyDescent="0.2">
      <c r="B299" s="2">
        <f t="shared" si="83"/>
        <v>64</v>
      </c>
      <c r="D299" s="22">
        <f>IF(B299&lt;$D$24,(+'CALCULETTE (2)'!G696/'CALCULETTE (2)'!$B$612),0)</f>
        <v>0</v>
      </c>
      <c r="E299" s="22" t="str">
        <f t="shared" si="84"/>
        <v/>
      </c>
      <c r="F299" s="22" t="str">
        <f t="shared" si="85"/>
        <v/>
      </c>
      <c r="G299" s="22" t="str">
        <f t="shared" si="86"/>
        <v/>
      </c>
      <c r="H299" s="22" t="str">
        <f t="shared" si="87"/>
        <v/>
      </c>
      <c r="I299" s="22" t="str">
        <f t="shared" si="88"/>
        <v/>
      </c>
      <c r="J299" s="22" t="str">
        <f t="shared" si="89"/>
        <v/>
      </c>
      <c r="K299" s="22" t="str">
        <f t="shared" si="90"/>
        <v/>
      </c>
      <c r="L299" s="22" t="str">
        <f t="shared" si="91"/>
        <v/>
      </c>
      <c r="M299" s="22" t="str">
        <f t="shared" si="92"/>
        <v/>
      </c>
      <c r="N299" s="103"/>
      <c r="O299" s="102"/>
    </row>
    <row r="300" spans="2:15" hidden="1" outlineLevel="1" x14ac:dyDescent="0.2">
      <c r="B300" s="2">
        <f t="shared" ref="B300:B331" si="93">B299+1</f>
        <v>65</v>
      </c>
      <c r="D300" s="22">
        <f>IF(B300&lt;$D$24,(+'CALCULETTE (2)'!G697/'CALCULETTE (2)'!$B$612),0)</f>
        <v>0</v>
      </c>
      <c r="E300" s="22" t="str">
        <f t="shared" ref="E300:E331" si="94">IF(E$1=0,"",IF($B300&lt;E$23,E299+PPMT(E$26/12,$B300,E$23,E$235,-E$27,0),IF($B300=E$23,E299+PPMT(E$26/12,$B300,E$23,E$235,-E$27,0)-E$27,0)))</f>
        <v/>
      </c>
      <c r="F300" s="22" t="str">
        <f t="shared" ref="F300:F331" si="95">IF(F$1=0,"",IF($B300&lt;F$23,F299+PPMT(F$26/12,$B300,F$23,F$235,-F$27,0),IF($B300=F$23,F299+PPMT(F$26/12,$B300,F$23,F$235,-F$27,0)-F$27,0)))</f>
        <v/>
      </c>
      <c r="G300" s="22" t="str">
        <f t="shared" ref="G300:G331" si="96">IF(G$1=0,"",IF($B300&lt;G$23,G299+PPMT(G$26/12,$B300,G$23,G$235,-G$27,0),IF($B300=G$23,G299+PPMT(G$26/12,$B300,G$23,G$235,-G$27,0)-G$27,0)))</f>
        <v/>
      </c>
      <c r="H300" s="22" t="str">
        <f t="shared" ref="H300:H331" si="97">IF(H$1=0,"",IF($B300&lt;H$23,H299+PPMT(H$26/12,$B300,H$23,H$235,-H$27,0),IF($B300=H$23,H299+PPMT(H$26/12,$B300,H$23,H$235,-H$27,0)-H$27,0)))</f>
        <v/>
      </c>
      <c r="I300" s="22" t="str">
        <f t="shared" ref="I300:I331" si="98">IF(I$1=0,"",IF($B300&lt;I$23,I299+PPMT(I$26/12,$B300,I$23,I$235,-I$27,0),IF($B300=I$23,I299+PPMT(I$26/12,$B300,I$23,I$235,-I$27,0)-I$27,0)))</f>
        <v/>
      </c>
      <c r="J300" s="22" t="str">
        <f t="shared" ref="J300:J331" si="99">IF(J$1=0,"",IF($B300&lt;J$23,J299+PPMT(J$26/12,$B300,J$23,J$235,-J$27,0),IF($B300=J$23,J299+PPMT(J$26/12,$B300,J$23,J$235,-J$27,0)-J$27,0)))</f>
        <v/>
      </c>
      <c r="K300" s="22" t="str">
        <f t="shared" ref="K300:K331" si="100">IF(K$1=0,"",IF($B300&lt;K$23,K299+PPMT(K$26/12,$B300,K$23,K$235,-K$27,0),IF($B300=K$23,K299+PPMT(K$26/12,$B300,K$23,K$235,-K$27,0)-K$27,0)))</f>
        <v/>
      </c>
      <c r="L300" s="22" t="str">
        <f t="shared" ref="L300:L331" si="101">IF(L$1=0,"",IF($B300&lt;L$23,L299+PPMT(L$26/12,$B300,L$23,L$235,-L$27,0),IF($B300=L$23,L299+PPMT(L$26/12,$B300,L$23,L$235,-L$27,0)-L$27,0)))</f>
        <v/>
      </c>
      <c r="M300" s="22" t="str">
        <f t="shared" ref="M300:M331" si="102">IF(M$1=0,"",IF($B300&lt;M$23,M299+PPMT(M$26/12,$B300,M$23,M$235,-M$27,0),IF($B300=M$23,M299+PPMT(M$26/12,$B300,M$23,M$235,-M$27,0)-M$27,0)))</f>
        <v/>
      </c>
      <c r="N300" s="103"/>
      <c r="O300" s="102"/>
    </row>
    <row r="301" spans="2:15" hidden="1" outlineLevel="1" x14ac:dyDescent="0.2">
      <c r="B301" s="2">
        <f t="shared" si="93"/>
        <v>66</v>
      </c>
      <c r="D301" s="22">
        <f>IF(B301&lt;$D$24,(+'CALCULETTE (2)'!G698/'CALCULETTE (2)'!$B$612),0)</f>
        <v>0</v>
      </c>
      <c r="E301" s="22" t="str">
        <f t="shared" si="94"/>
        <v/>
      </c>
      <c r="F301" s="22" t="str">
        <f t="shared" si="95"/>
        <v/>
      </c>
      <c r="G301" s="22" t="str">
        <f t="shared" si="96"/>
        <v/>
      </c>
      <c r="H301" s="22" t="str">
        <f t="shared" si="97"/>
        <v/>
      </c>
      <c r="I301" s="22" t="str">
        <f t="shared" si="98"/>
        <v/>
      </c>
      <c r="J301" s="22" t="str">
        <f t="shared" si="99"/>
        <v/>
      </c>
      <c r="K301" s="22" t="str">
        <f t="shared" si="100"/>
        <v/>
      </c>
      <c r="L301" s="22" t="str">
        <f t="shared" si="101"/>
        <v/>
      </c>
      <c r="M301" s="22" t="str">
        <f t="shared" si="102"/>
        <v/>
      </c>
      <c r="N301" s="103"/>
      <c r="O301" s="102"/>
    </row>
    <row r="302" spans="2:15" hidden="1" outlineLevel="1" x14ac:dyDescent="0.2">
      <c r="B302" s="2">
        <f t="shared" si="93"/>
        <v>67</v>
      </c>
      <c r="D302" s="22">
        <f>IF(B302&lt;$D$24,(+'CALCULETTE (2)'!G699/'CALCULETTE (2)'!$B$612),0)</f>
        <v>0</v>
      </c>
      <c r="E302" s="22" t="str">
        <f t="shared" si="94"/>
        <v/>
      </c>
      <c r="F302" s="22" t="str">
        <f t="shared" si="95"/>
        <v/>
      </c>
      <c r="G302" s="22" t="str">
        <f t="shared" si="96"/>
        <v/>
      </c>
      <c r="H302" s="22" t="str">
        <f t="shared" si="97"/>
        <v/>
      </c>
      <c r="I302" s="22" t="str">
        <f t="shared" si="98"/>
        <v/>
      </c>
      <c r="J302" s="22" t="str">
        <f t="shared" si="99"/>
        <v/>
      </c>
      <c r="K302" s="22" t="str">
        <f t="shared" si="100"/>
        <v/>
      </c>
      <c r="L302" s="22" t="str">
        <f t="shared" si="101"/>
        <v/>
      </c>
      <c r="M302" s="22" t="str">
        <f t="shared" si="102"/>
        <v/>
      </c>
      <c r="N302" s="103"/>
      <c r="O302" s="102"/>
    </row>
    <row r="303" spans="2:15" hidden="1" outlineLevel="1" x14ac:dyDescent="0.2">
      <c r="B303" s="2">
        <f t="shared" si="93"/>
        <v>68</v>
      </c>
      <c r="D303" s="22">
        <f>IF(B303&lt;$D$24,(+'CALCULETTE (2)'!G700/'CALCULETTE (2)'!$B$612),0)</f>
        <v>0</v>
      </c>
      <c r="E303" s="22" t="str">
        <f t="shared" si="94"/>
        <v/>
      </c>
      <c r="F303" s="22" t="str">
        <f t="shared" si="95"/>
        <v/>
      </c>
      <c r="G303" s="22" t="str">
        <f t="shared" si="96"/>
        <v/>
      </c>
      <c r="H303" s="22" t="str">
        <f t="shared" si="97"/>
        <v/>
      </c>
      <c r="I303" s="22" t="str">
        <f t="shared" si="98"/>
        <v/>
      </c>
      <c r="J303" s="22" t="str">
        <f t="shared" si="99"/>
        <v/>
      </c>
      <c r="K303" s="22" t="str">
        <f t="shared" si="100"/>
        <v/>
      </c>
      <c r="L303" s="22" t="str">
        <f t="shared" si="101"/>
        <v/>
      </c>
      <c r="M303" s="22" t="str">
        <f t="shared" si="102"/>
        <v/>
      </c>
      <c r="N303" s="103"/>
      <c r="O303" s="102"/>
    </row>
    <row r="304" spans="2:15" hidden="1" outlineLevel="1" x14ac:dyDescent="0.2">
      <c r="B304" s="2">
        <f t="shared" si="93"/>
        <v>69</v>
      </c>
      <c r="D304" s="22">
        <f>IF(B304&lt;$D$24,(+'CALCULETTE (2)'!G701/'CALCULETTE (2)'!$B$612),0)</f>
        <v>0</v>
      </c>
      <c r="E304" s="22" t="str">
        <f t="shared" si="94"/>
        <v/>
      </c>
      <c r="F304" s="22" t="str">
        <f t="shared" si="95"/>
        <v/>
      </c>
      <c r="G304" s="22" t="str">
        <f t="shared" si="96"/>
        <v/>
      </c>
      <c r="H304" s="22" t="str">
        <f t="shared" si="97"/>
        <v/>
      </c>
      <c r="I304" s="22" t="str">
        <f t="shared" si="98"/>
        <v/>
      </c>
      <c r="J304" s="22" t="str">
        <f t="shared" si="99"/>
        <v/>
      </c>
      <c r="K304" s="22" t="str">
        <f t="shared" si="100"/>
        <v/>
      </c>
      <c r="L304" s="22" t="str">
        <f t="shared" si="101"/>
        <v/>
      </c>
      <c r="M304" s="22" t="str">
        <f t="shared" si="102"/>
        <v/>
      </c>
      <c r="N304" s="103"/>
      <c r="O304" s="102"/>
    </row>
    <row r="305" spans="2:15" hidden="1" outlineLevel="1" x14ac:dyDescent="0.2">
      <c r="B305" s="2">
        <f t="shared" si="93"/>
        <v>70</v>
      </c>
      <c r="D305" s="22">
        <f>IF(B305&lt;$D$24,(+'CALCULETTE (2)'!G702/'CALCULETTE (2)'!$B$612),0)</f>
        <v>0</v>
      </c>
      <c r="E305" s="22" t="str">
        <f t="shared" si="94"/>
        <v/>
      </c>
      <c r="F305" s="22" t="str">
        <f t="shared" si="95"/>
        <v/>
      </c>
      <c r="G305" s="22" t="str">
        <f t="shared" si="96"/>
        <v/>
      </c>
      <c r="H305" s="22" t="str">
        <f t="shared" si="97"/>
        <v/>
      </c>
      <c r="I305" s="22" t="str">
        <f t="shared" si="98"/>
        <v/>
      </c>
      <c r="J305" s="22" t="str">
        <f t="shared" si="99"/>
        <v/>
      </c>
      <c r="K305" s="22" t="str">
        <f t="shared" si="100"/>
        <v/>
      </c>
      <c r="L305" s="22" t="str">
        <f t="shared" si="101"/>
        <v/>
      </c>
      <c r="M305" s="22" t="str">
        <f t="shared" si="102"/>
        <v/>
      </c>
      <c r="N305" s="103"/>
      <c r="O305" s="102"/>
    </row>
    <row r="306" spans="2:15" hidden="1" outlineLevel="1" x14ac:dyDescent="0.2">
      <c r="B306" s="2">
        <f t="shared" si="93"/>
        <v>71</v>
      </c>
      <c r="D306" s="22">
        <f>IF(B306&lt;$D$24,(+'CALCULETTE (2)'!G703/'CALCULETTE (2)'!$B$612),0)</f>
        <v>0</v>
      </c>
      <c r="E306" s="22" t="str">
        <f t="shared" si="94"/>
        <v/>
      </c>
      <c r="F306" s="22" t="str">
        <f t="shared" si="95"/>
        <v/>
      </c>
      <c r="G306" s="22" t="str">
        <f t="shared" si="96"/>
        <v/>
      </c>
      <c r="H306" s="22" t="str">
        <f t="shared" si="97"/>
        <v/>
      </c>
      <c r="I306" s="22" t="str">
        <f t="shared" si="98"/>
        <v/>
      </c>
      <c r="J306" s="22" t="str">
        <f t="shared" si="99"/>
        <v/>
      </c>
      <c r="K306" s="22" t="str">
        <f t="shared" si="100"/>
        <v/>
      </c>
      <c r="L306" s="22" t="str">
        <f t="shared" si="101"/>
        <v/>
      </c>
      <c r="M306" s="22" t="str">
        <f t="shared" si="102"/>
        <v/>
      </c>
      <c r="N306" s="103"/>
      <c r="O306" s="102"/>
    </row>
    <row r="307" spans="2:15" hidden="1" outlineLevel="1" x14ac:dyDescent="0.2">
      <c r="B307" s="2">
        <f t="shared" si="93"/>
        <v>72</v>
      </c>
      <c r="D307" s="22">
        <f>IF(B307&lt;$D$24,(+'CALCULETTE (2)'!G704/'CALCULETTE (2)'!$B$612),0)</f>
        <v>0</v>
      </c>
      <c r="E307" s="22" t="str">
        <f t="shared" si="94"/>
        <v/>
      </c>
      <c r="F307" s="22" t="str">
        <f t="shared" si="95"/>
        <v/>
      </c>
      <c r="G307" s="22" t="str">
        <f t="shared" si="96"/>
        <v/>
      </c>
      <c r="H307" s="22" t="str">
        <f t="shared" si="97"/>
        <v/>
      </c>
      <c r="I307" s="22" t="str">
        <f t="shared" si="98"/>
        <v/>
      </c>
      <c r="J307" s="22" t="str">
        <f t="shared" si="99"/>
        <v/>
      </c>
      <c r="K307" s="22" t="str">
        <f t="shared" si="100"/>
        <v/>
      </c>
      <c r="L307" s="22" t="str">
        <f t="shared" si="101"/>
        <v/>
      </c>
      <c r="M307" s="22" t="str">
        <f t="shared" si="102"/>
        <v/>
      </c>
      <c r="N307" s="103"/>
      <c r="O307" s="102"/>
    </row>
    <row r="308" spans="2:15" hidden="1" outlineLevel="1" x14ac:dyDescent="0.2">
      <c r="B308" s="2">
        <f t="shared" si="93"/>
        <v>73</v>
      </c>
      <c r="D308" s="22">
        <f>IF(B308&lt;$D$24,(+'CALCULETTE (2)'!G705/'CALCULETTE (2)'!$B$612),0)</f>
        <v>0</v>
      </c>
      <c r="E308" s="22" t="str">
        <f t="shared" si="94"/>
        <v/>
      </c>
      <c r="F308" s="22" t="str">
        <f t="shared" si="95"/>
        <v/>
      </c>
      <c r="G308" s="22" t="str">
        <f t="shared" si="96"/>
        <v/>
      </c>
      <c r="H308" s="22" t="str">
        <f t="shared" si="97"/>
        <v/>
      </c>
      <c r="I308" s="22" t="str">
        <f t="shared" si="98"/>
        <v/>
      </c>
      <c r="J308" s="22" t="str">
        <f t="shared" si="99"/>
        <v/>
      </c>
      <c r="K308" s="22" t="str">
        <f t="shared" si="100"/>
        <v/>
      </c>
      <c r="L308" s="22" t="str">
        <f t="shared" si="101"/>
        <v/>
      </c>
      <c r="M308" s="22" t="str">
        <f t="shared" si="102"/>
        <v/>
      </c>
      <c r="N308" s="103"/>
      <c r="O308" s="102"/>
    </row>
    <row r="309" spans="2:15" hidden="1" outlineLevel="1" x14ac:dyDescent="0.2">
      <c r="B309" s="2">
        <f t="shared" si="93"/>
        <v>74</v>
      </c>
      <c r="D309" s="22">
        <f>IF(B309&lt;$D$24,(+'CALCULETTE (2)'!G706/'CALCULETTE (2)'!$B$612),0)</f>
        <v>0</v>
      </c>
      <c r="E309" s="22" t="str">
        <f t="shared" si="94"/>
        <v/>
      </c>
      <c r="F309" s="22" t="str">
        <f t="shared" si="95"/>
        <v/>
      </c>
      <c r="G309" s="22" t="str">
        <f t="shared" si="96"/>
        <v/>
      </c>
      <c r="H309" s="22" t="str">
        <f t="shared" si="97"/>
        <v/>
      </c>
      <c r="I309" s="22" t="str">
        <f t="shared" si="98"/>
        <v/>
      </c>
      <c r="J309" s="22" t="str">
        <f t="shared" si="99"/>
        <v/>
      </c>
      <c r="K309" s="22" t="str">
        <f t="shared" si="100"/>
        <v/>
      </c>
      <c r="L309" s="22" t="str">
        <f t="shared" si="101"/>
        <v/>
      </c>
      <c r="M309" s="22" t="str">
        <f t="shared" si="102"/>
        <v/>
      </c>
      <c r="N309" s="103"/>
      <c r="O309" s="102"/>
    </row>
    <row r="310" spans="2:15" hidden="1" outlineLevel="1" x14ac:dyDescent="0.2">
      <c r="B310" s="2">
        <f t="shared" si="93"/>
        <v>75</v>
      </c>
      <c r="D310" s="22">
        <f>IF(B310&lt;$D$24,(+'CALCULETTE (2)'!G707/'CALCULETTE (2)'!$B$612),0)</f>
        <v>0</v>
      </c>
      <c r="E310" s="22" t="str">
        <f t="shared" si="94"/>
        <v/>
      </c>
      <c r="F310" s="22" t="str">
        <f t="shared" si="95"/>
        <v/>
      </c>
      <c r="G310" s="22" t="str">
        <f t="shared" si="96"/>
        <v/>
      </c>
      <c r="H310" s="22" t="str">
        <f t="shared" si="97"/>
        <v/>
      </c>
      <c r="I310" s="22" t="str">
        <f t="shared" si="98"/>
        <v/>
      </c>
      <c r="J310" s="22" t="str">
        <f t="shared" si="99"/>
        <v/>
      </c>
      <c r="K310" s="22" t="str">
        <f t="shared" si="100"/>
        <v/>
      </c>
      <c r="L310" s="22" t="str">
        <f t="shared" si="101"/>
        <v/>
      </c>
      <c r="M310" s="22" t="str">
        <f t="shared" si="102"/>
        <v/>
      </c>
      <c r="N310" s="103"/>
      <c r="O310" s="102"/>
    </row>
    <row r="311" spans="2:15" hidden="1" outlineLevel="1" x14ac:dyDescent="0.2">
      <c r="B311" s="2">
        <f t="shared" si="93"/>
        <v>76</v>
      </c>
      <c r="D311" s="22">
        <f>IF(B311&lt;$D$24,(+'CALCULETTE (2)'!G708/'CALCULETTE (2)'!$B$612),0)</f>
        <v>0</v>
      </c>
      <c r="E311" s="22" t="str">
        <f t="shared" si="94"/>
        <v/>
      </c>
      <c r="F311" s="22" t="str">
        <f t="shared" si="95"/>
        <v/>
      </c>
      <c r="G311" s="22" t="str">
        <f t="shared" si="96"/>
        <v/>
      </c>
      <c r="H311" s="22" t="str">
        <f t="shared" si="97"/>
        <v/>
      </c>
      <c r="I311" s="22" t="str">
        <f t="shared" si="98"/>
        <v/>
      </c>
      <c r="J311" s="22" t="str">
        <f t="shared" si="99"/>
        <v/>
      </c>
      <c r="K311" s="22" t="str">
        <f t="shared" si="100"/>
        <v/>
      </c>
      <c r="L311" s="22" t="str">
        <f t="shared" si="101"/>
        <v/>
      </c>
      <c r="M311" s="22" t="str">
        <f t="shared" si="102"/>
        <v/>
      </c>
      <c r="N311" s="103"/>
      <c r="O311" s="102"/>
    </row>
    <row r="312" spans="2:15" hidden="1" outlineLevel="1" x14ac:dyDescent="0.2">
      <c r="B312" s="2">
        <f t="shared" si="93"/>
        <v>77</v>
      </c>
      <c r="D312" s="22">
        <f>IF(B312&lt;$D$24,(+'CALCULETTE (2)'!G709/'CALCULETTE (2)'!$B$612),0)</f>
        <v>0</v>
      </c>
      <c r="E312" s="22" t="str">
        <f t="shared" si="94"/>
        <v/>
      </c>
      <c r="F312" s="22" t="str">
        <f t="shared" si="95"/>
        <v/>
      </c>
      <c r="G312" s="22" t="str">
        <f t="shared" si="96"/>
        <v/>
      </c>
      <c r="H312" s="22" t="str">
        <f t="shared" si="97"/>
        <v/>
      </c>
      <c r="I312" s="22" t="str">
        <f t="shared" si="98"/>
        <v/>
      </c>
      <c r="J312" s="22" t="str">
        <f t="shared" si="99"/>
        <v/>
      </c>
      <c r="K312" s="22" t="str">
        <f t="shared" si="100"/>
        <v/>
      </c>
      <c r="L312" s="22" t="str">
        <f t="shared" si="101"/>
        <v/>
      </c>
      <c r="M312" s="22" t="str">
        <f t="shared" si="102"/>
        <v/>
      </c>
      <c r="N312" s="103"/>
      <c r="O312" s="102"/>
    </row>
    <row r="313" spans="2:15" hidden="1" outlineLevel="1" x14ac:dyDescent="0.2">
      <c r="B313" s="2">
        <f t="shared" si="93"/>
        <v>78</v>
      </c>
      <c r="D313" s="22">
        <f>IF(B313&lt;$D$24,(+'CALCULETTE (2)'!G710/'CALCULETTE (2)'!$B$612),0)</f>
        <v>0</v>
      </c>
      <c r="E313" s="22" t="str">
        <f t="shared" si="94"/>
        <v/>
      </c>
      <c r="F313" s="22" t="str">
        <f t="shared" si="95"/>
        <v/>
      </c>
      <c r="G313" s="22" t="str">
        <f t="shared" si="96"/>
        <v/>
      </c>
      <c r="H313" s="22" t="str">
        <f t="shared" si="97"/>
        <v/>
      </c>
      <c r="I313" s="22" t="str">
        <f t="shared" si="98"/>
        <v/>
      </c>
      <c r="J313" s="22" t="str">
        <f t="shared" si="99"/>
        <v/>
      </c>
      <c r="K313" s="22" t="str">
        <f t="shared" si="100"/>
        <v/>
      </c>
      <c r="L313" s="22" t="str">
        <f t="shared" si="101"/>
        <v/>
      </c>
      <c r="M313" s="22" t="str">
        <f t="shared" si="102"/>
        <v/>
      </c>
      <c r="N313" s="103"/>
      <c r="O313" s="102"/>
    </row>
    <row r="314" spans="2:15" hidden="1" outlineLevel="1" x14ac:dyDescent="0.2">
      <c r="B314" s="2">
        <f t="shared" si="93"/>
        <v>79</v>
      </c>
      <c r="D314" s="22">
        <f>IF(B314&lt;$D$24,(+'CALCULETTE (2)'!G711/'CALCULETTE (2)'!$B$612),0)</f>
        <v>0</v>
      </c>
      <c r="E314" s="22" t="str">
        <f t="shared" si="94"/>
        <v/>
      </c>
      <c r="F314" s="22" t="str">
        <f t="shared" si="95"/>
        <v/>
      </c>
      <c r="G314" s="22" t="str">
        <f t="shared" si="96"/>
        <v/>
      </c>
      <c r="H314" s="22" t="str">
        <f t="shared" si="97"/>
        <v/>
      </c>
      <c r="I314" s="22" t="str">
        <f t="shared" si="98"/>
        <v/>
      </c>
      <c r="J314" s="22" t="str">
        <f t="shared" si="99"/>
        <v/>
      </c>
      <c r="K314" s="22" t="str">
        <f t="shared" si="100"/>
        <v/>
      </c>
      <c r="L314" s="22" t="str">
        <f t="shared" si="101"/>
        <v/>
      </c>
      <c r="M314" s="22" t="str">
        <f t="shared" si="102"/>
        <v/>
      </c>
      <c r="N314" s="103"/>
      <c r="O314" s="102"/>
    </row>
    <row r="315" spans="2:15" hidden="1" outlineLevel="1" x14ac:dyDescent="0.2">
      <c r="B315" s="2">
        <f t="shared" si="93"/>
        <v>80</v>
      </c>
      <c r="D315" s="22">
        <f>IF(B315&lt;$D$24,(+'CALCULETTE (2)'!G712/'CALCULETTE (2)'!$B$612),0)</f>
        <v>0</v>
      </c>
      <c r="E315" s="22" t="str">
        <f t="shared" si="94"/>
        <v/>
      </c>
      <c r="F315" s="22" t="str">
        <f t="shared" si="95"/>
        <v/>
      </c>
      <c r="G315" s="22" t="str">
        <f t="shared" si="96"/>
        <v/>
      </c>
      <c r="H315" s="22" t="str">
        <f t="shared" si="97"/>
        <v/>
      </c>
      <c r="I315" s="22" t="str">
        <f t="shared" si="98"/>
        <v/>
      </c>
      <c r="J315" s="22" t="str">
        <f t="shared" si="99"/>
        <v/>
      </c>
      <c r="K315" s="22" t="str">
        <f t="shared" si="100"/>
        <v/>
      </c>
      <c r="L315" s="22" t="str">
        <f t="shared" si="101"/>
        <v/>
      </c>
      <c r="M315" s="22" t="str">
        <f t="shared" si="102"/>
        <v/>
      </c>
      <c r="N315" s="103"/>
      <c r="O315" s="102"/>
    </row>
    <row r="316" spans="2:15" hidden="1" outlineLevel="1" x14ac:dyDescent="0.2">
      <c r="B316" s="2">
        <f t="shared" si="93"/>
        <v>81</v>
      </c>
      <c r="D316" s="22">
        <f>IF(B316&lt;$D$24,(+'CALCULETTE (2)'!G713/'CALCULETTE (2)'!$B$612),0)</f>
        <v>0</v>
      </c>
      <c r="E316" s="22" t="str">
        <f t="shared" si="94"/>
        <v/>
      </c>
      <c r="F316" s="22" t="str">
        <f t="shared" si="95"/>
        <v/>
      </c>
      <c r="G316" s="22" t="str">
        <f t="shared" si="96"/>
        <v/>
      </c>
      <c r="H316" s="22" t="str">
        <f t="shared" si="97"/>
        <v/>
      </c>
      <c r="I316" s="22" t="str">
        <f t="shared" si="98"/>
        <v/>
      </c>
      <c r="J316" s="22" t="str">
        <f t="shared" si="99"/>
        <v/>
      </c>
      <c r="K316" s="22" t="str">
        <f t="shared" si="100"/>
        <v/>
      </c>
      <c r="L316" s="22" t="str">
        <f t="shared" si="101"/>
        <v/>
      </c>
      <c r="M316" s="22" t="str">
        <f t="shared" si="102"/>
        <v/>
      </c>
      <c r="N316" s="103"/>
      <c r="O316" s="102"/>
    </row>
    <row r="317" spans="2:15" hidden="1" outlineLevel="1" x14ac:dyDescent="0.2">
      <c r="B317" s="2">
        <f t="shared" si="93"/>
        <v>82</v>
      </c>
      <c r="D317" s="22">
        <f>IF(B317&lt;$D$24,(+'CALCULETTE (2)'!G714/'CALCULETTE (2)'!$B$612),0)</f>
        <v>0</v>
      </c>
      <c r="E317" s="22" t="str">
        <f t="shared" si="94"/>
        <v/>
      </c>
      <c r="F317" s="22" t="str">
        <f t="shared" si="95"/>
        <v/>
      </c>
      <c r="G317" s="22" t="str">
        <f t="shared" si="96"/>
        <v/>
      </c>
      <c r="H317" s="22" t="str">
        <f t="shared" si="97"/>
        <v/>
      </c>
      <c r="I317" s="22" t="str">
        <f t="shared" si="98"/>
        <v/>
      </c>
      <c r="J317" s="22" t="str">
        <f t="shared" si="99"/>
        <v/>
      </c>
      <c r="K317" s="22" t="str">
        <f t="shared" si="100"/>
        <v/>
      </c>
      <c r="L317" s="22" t="str">
        <f t="shared" si="101"/>
        <v/>
      </c>
      <c r="M317" s="22" t="str">
        <f t="shared" si="102"/>
        <v/>
      </c>
      <c r="N317" s="103"/>
      <c r="O317" s="102"/>
    </row>
    <row r="318" spans="2:15" hidden="1" outlineLevel="1" x14ac:dyDescent="0.2">
      <c r="B318" s="2">
        <f t="shared" si="93"/>
        <v>83</v>
      </c>
      <c r="D318" s="22">
        <f>IF(B318&lt;$D$24,(+'CALCULETTE (2)'!G715/'CALCULETTE (2)'!$B$612),0)</f>
        <v>0</v>
      </c>
      <c r="E318" s="22" t="str">
        <f t="shared" si="94"/>
        <v/>
      </c>
      <c r="F318" s="22" t="str">
        <f t="shared" si="95"/>
        <v/>
      </c>
      <c r="G318" s="22" t="str">
        <f t="shared" si="96"/>
        <v/>
      </c>
      <c r="H318" s="22" t="str">
        <f t="shared" si="97"/>
        <v/>
      </c>
      <c r="I318" s="22" t="str">
        <f t="shared" si="98"/>
        <v/>
      </c>
      <c r="J318" s="22" t="str">
        <f t="shared" si="99"/>
        <v/>
      </c>
      <c r="K318" s="22" t="str">
        <f t="shared" si="100"/>
        <v/>
      </c>
      <c r="L318" s="22" t="str">
        <f t="shared" si="101"/>
        <v/>
      </c>
      <c r="M318" s="22" t="str">
        <f t="shared" si="102"/>
        <v/>
      </c>
      <c r="N318" s="103"/>
      <c r="O318" s="102"/>
    </row>
    <row r="319" spans="2:15" hidden="1" outlineLevel="1" x14ac:dyDescent="0.2">
      <c r="B319" s="2">
        <f t="shared" si="93"/>
        <v>84</v>
      </c>
      <c r="D319" s="22">
        <f>IF(B319&lt;$D$24,(+'CALCULETTE (2)'!G716/'CALCULETTE (2)'!$B$612),0)</f>
        <v>0</v>
      </c>
      <c r="E319" s="22" t="str">
        <f t="shared" si="94"/>
        <v/>
      </c>
      <c r="F319" s="22" t="str">
        <f t="shared" si="95"/>
        <v/>
      </c>
      <c r="G319" s="22" t="str">
        <f t="shared" si="96"/>
        <v/>
      </c>
      <c r="H319" s="22" t="str">
        <f t="shared" si="97"/>
        <v/>
      </c>
      <c r="I319" s="22" t="str">
        <f t="shared" si="98"/>
        <v/>
      </c>
      <c r="J319" s="22" t="str">
        <f t="shared" si="99"/>
        <v/>
      </c>
      <c r="K319" s="22" t="str">
        <f t="shared" si="100"/>
        <v/>
      </c>
      <c r="L319" s="22" t="str">
        <f t="shared" si="101"/>
        <v/>
      </c>
      <c r="M319" s="22" t="str">
        <f t="shared" si="102"/>
        <v/>
      </c>
      <c r="N319" s="103"/>
      <c r="O319" s="102"/>
    </row>
    <row r="320" spans="2:15" hidden="1" outlineLevel="1" x14ac:dyDescent="0.2">
      <c r="B320" s="2">
        <f t="shared" si="93"/>
        <v>85</v>
      </c>
      <c r="D320" s="22">
        <f>IF(B320&lt;$D$24,(+'CALCULETTE (2)'!G717/'CALCULETTE (2)'!$B$612),0)</f>
        <v>0</v>
      </c>
      <c r="E320" s="22" t="str">
        <f t="shared" si="94"/>
        <v/>
      </c>
      <c r="F320" s="22" t="str">
        <f t="shared" si="95"/>
        <v/>
      </c>
      <c r="G320" s="22" t="str">
        <f t="shared" si="96"/>
        <v/>
      </c>
      <c r="H320" s="22" t="str">
        <f t="shared" si="97"/>
        <v/>
      </c>
      <c r="I320" s="22" t="str">
        <f t="shared" si="98"/>
        <v/>
      </c>
      <c r="J320" s="22" t="str">
        <f t="shared" si="99"/>
        <v/>
      </c>
      <c r="K320" s="22" t="str">
        <f t="shared" si="100"/>
        <v/>
      </c>
      <c r="L320" s="22" t="str">
        <f t="shared" si="101"/>
        <v/>
      </c>
      <c r="M320" s="22" t="str">
        <f t="shared" si="102"/>
        <v/>
      </c>
      <c r="N320" s="103"/>
      <c r="O320" s="102"/>
    </row>
    <row r="321" spans="2:15" hidden="1" outlineLevel="1" x14ac:dyDescent="0.2">
      <c r="B321" s="2">
        <f t="shared" si="93"/>
        <v>86</v>
      </c>
      <c r="D321" s="22">
        <f>IF(B321&lt;$D$24,(+'CALCULETTE (2)'!G718/'CALCULETTE (2)'!$B$612),0)</f>
        <v>0</v>
      </c>
      <c r="E321" s="22" t="str">
        <f t="shared" si="94"/>
        <v/>
      </c>
      <c r="F321" s="22" t="str">
        <f t="shared" si="95"/>
        <v/>
      </c>
      <c r="G321" s="22" t="str">
        <f t="shared" si="96"/>
        <v/>
      </c>
      <c r="H321" s="22" t="str">
        <f t="shared" si="97"/>
        <v/>
      </c>
      <c r="I321" s="22" t="str">
        <f t="shared" si="98"/>
        <v/>
      </c>
      <c r="J321" s="22" t="str">
        <f t="shared" si="99"/>
        <v/>
      </c>
      <c r="K321" s="22" t="str">
        <f t="shared" si="100"/>
        <v/>
      </c>
      <c r="L321" s="22" t="str">
        <f t="shared" si="101"/>
        <v/>
      </c>
      <c r="M321" s="22" t="str">
        <f t="shared" si="102"/>
        <v/>
      </c>
      <c r="N321" s="103"/>
      <c r="O321" s="102"/>
    </row>
    <row r="322" spans="2:15" hidden="1" outlineLevel="1" x14ac:dyDescent="0.2">
      <c r="B322" s="2">
        <f t="shared" si="93"/>
        <v>87</v>
      </c>
      <c r="D322" s="22">
        <f>IF(B322&lt;$D$24,(+'CALCULETTE (2)'!G719/'CALCULETTE (2)'!$B$612),0)</f>
        <v>0</v>
      </c>
      <c r="E322" s="22" t="str">
        <f t="shared" si="94"/>
        <v/>
      </c>
      <c r="F322" s="22" t="str">
        <f t="shared" si="95"/>
        <v/>
      </c>
      <c r="G322" s="22" t="str">
        <f t="shared" si="96"/>
        <v/>
      </c>
      <c r="H322" s="22" t="str">
        <f t="shared" si="97"/>
        <v/>
      </c>
      <c r="I322" s="22" t="str">
        <f t="shared" si="98"/>
        <v/>
      </c>
      <c r="J322" s="22" t="str">
        <f t="shared" si="99"/>
        <v/>
      </c>
      <c r="K322" s="22" t="str">
        <f t="shared" si="100"/>
        <v/>
      </c>
      <c r="L322" s="22" t="str">
        <f t="shared" si="101"/>
        <v/>
      </c>
      <c r="M322" s="22" t="str">
        <f t="shared" si="102"/>
        <v/>
      </c>
      <c r="N322" s="103"/>
      <c r="O322" s="102"/>
    </row>
    <row r="323" spans="2:15" hidden="1" outlineLevel="1" x14ac:dyDescent="0.2">
      <c r="B323" s="2">
        <f t="shared" si="93"/>
        <v>88</v>
      </c>
      <c r="D323" s="22">
        <f>IF(B323&lt;$D$24,(+'CALCULETTE (2)'!G720/'CALCULETTE (2)'!$B$612),0)</f>
        <v>0</v>
      </c>
      <c r="E323" s="22" t="str">
        <f t="shared" si="94"/>
        <v/>
      </c>
      <c r="F323" s="22" t="str">
        <f t="shared" si="95"/>
        <v/>
      </c>
      <c r="G323" s="22" t="str">
        <f t="shared" si="96"/>
        <v/>
      </c>
      <c r="H323" s="22" t="str">
        <f t="shared" si="97"/>
        <v/>
      </c>
      <c r="I323" s="22" t="str">
        <f t="shared" si="98"/>
        <v/>
      </c>
      <c r="J323" s="22" t="str">
        <f t="shared" si="99"/>
        <v/>
      </c>
      <c r="K323" s="22" t="str">
        <f t="shared" si="100"/>
        <v/>
      </c>
      <c r="L323" s="22" t="str">
        <f t="shared" si="101"/>
        <v/>
      </c>
      <c r="M323" s="22" t="str">
        <f t="shared" si="102"/>
        <v/>
      </c>
      <c r="N323" s="103"/>
      <c r="O323" s="102"/>
    </row>
    <row r="324" spans="2:15" hidden="1" outlineLevel="1" x14ac:dyDescent="0.2">
      <c r="B324" s="2">
        <f t="shared" si="93"/>
        <v>89</v>
      </c>
      <c r="D324" s="22">
        <f>IF(B324&lt;$D$24,(+'CALCULETTE (2)'!G721/'CALCULETTE (2)'!$B$612),0)</f>
        <v>0</v>
      </c>
      <c r="E324" s="22" t="str">
        <f t="shared" si="94"/>
        <v/>
      </c>
      <c r="F324" s="22" t="str">
        <f t="shared" si="95"/>
        <v/>
      </c>
      <c r="G324" s="22" t="str">
        <f t="shared" si="96"/>
        <v/>
      </c>
      <c r="H324" s="22" t="str">
        <f t="shared" si="97"/>
        <v/>
      </c>
      <c r="I324" s="22" t="str">
        <f t="shared" si="98"/>
        <v/>
      </c>
      <c r="J324" s="22" t="str">
        <f t="shared" si="99"/>
        <v/>
      </c>
      <c r="K324" s="22" t="str">
        <f t="shared" si="100"/>
        <v/>
      </c>
      <c r="L324" s="22" t="str">
        <f t="shared" si="101"/>
        <v/>
      </c>
      <c r="M324" s="22" t="str">
        <f t="shared" si="102"/>
        <v/>
      </c>
      <c r="N324" s="103"/>
      <c r="O324" s="102"/>
    </row>
    <row r="325" spans="2:15" hidden="1" outlineLevel="1" x14ac:dyDescent="0.2">
      <c r="B325" s="2">
        <f t="shared" si="93"/>
        <v>90</v>
      </c>
      <c r="D325" s="22">
        <f>IF(B325&lt;$D$24,(+'CALCULETTE (2)'!G722/'CALCULETTE (2)'!$B$612),0)</f>
        <v>0</v>
      </c>
      <c r="E325" s="22" t="str">
        <f t="shared" si="94"/>
        <v/>
      </c>
      <c r="F325" s="22" t="str">
        <f t="shared" si="95"/>
        <v/>
      </c>
      <c r="G325" s="22" t="str">
        <f t="shared" si="96"/>
        <v/>
      </c>
      <c r="H325" s="22" t="str">
        <f t="shared" si="97"/>
        <v/>
      </c>
      <c r="I325" s="22" t="str">
        <f t="shared" si="98"/>
        <v/>
      </c>
      <c r="J325" s="22" t="str">
        <f t="shared" si="99"/>
        <v/>
      </c>
      <c r="K325" s="22" t="str">
        <f t="shared" si="100"/>
        <v/>
      </c>
      <c r="L325" s="22" t="str">
        <f t="shared" si="101"/>
        <v/>
      </c>
      <c r="M325" s="22" t="str">
        <f t="shared" si="102"/>
        <v/>
      </c>
      <c r="N325" s="103"/>
      <c r="O325" s="102"/>
    </row>
    <row r="326" spans="2:15" hidden="1" outlineLevel="1" x14ac:dyDescent="0.2">
      <c r="B326" s="2">
        <f t="shared" si="93"/>
        <v>91</v>
      </c>
      <c r="D326" s="22">
        <f>IF(B326&lt;$D$24,(+'CALCULETTE (2)'!G723/'CALCULETTE (2)'!$B$612),0)</f>
        <v>0</v>
      </c>
      <c r="E326" s="22" t="str">
        <f t="shared" si="94"/>
        <v/>
      </c>
      <c r="F326" s="22" t="str">
        <f t="shared" si="95"/>
        <v/>
      </c>
      <c r="G326" s="22" t="str">
        <f t="shared" si="96"/>
        <v/>
      </c>
      <c r="H326" s="22" t="str">
        <f t="shared" si="97"/>
        <v/>
      </c>
      <c r="I326" s="22" t="str">
        <f t="shared" si="98"/>
        <v/>
      </c>
      <c r="J326" s="22" t="str">
        <f t="shared" si="99"/>
        <v/>
      </c>
      <c r="K326" s="22" t="str">
        <f t="shared" si="100"/>
        <v/>
      </c>
      <c r="L326" s="22" t="str">
        <f t="shared" si="101"/>
        <v/>
      </c>
      <c r="M326" s="22" t="str">
        <f t="shared" si="102"/>
        <v/>
      </c>
      <c r="N326" s="103"/>
      <c r="O326" s="102"/>
    </row>
    <row r="327" spans="2:15" hidden="1" outlineLevel="1" x14ac:dyDescent="0.2">
      <c r="B327" s="2">
        <f t="shared" si="93"/>
        <v>92</v>
      </c>
      <c r="D327" s="22">
        <f>IF(B327&lt;$D$24,(+'CALCULETTE (2)'!G724/'CALCULETTE (2)'!$B$612),0)</f>
        <v>0</v>
      </c>
      <c r="E327" s="22" t="str">
        <f t="shared" si="94"/>
        <v/>
      </c>
      <c r="F327" s="22" t="str">
        <f t="shared" si="95"/>
        <v/>
      </c>
      <c r="G327" s="22" t="str">
        <f t="shared" si="96"/>
        <v/>
      </c>
      <c r="H327" s="22" t="str">
        <f t="shared" si="97"/>
        <v/>
      </c>
      <c r="I327" s="22" t="str">
        <f t="shared" si="98"/>
        <v/>
      </c>
      <c r="J327" s="22" t="str">
        <f t="shared" si="99"/>
        <v/>
      </c>
      <c r="K327" s="22" t="str">
        <f t="shared" si="100"/>
        <v/>
      </c>
      <c r="L327" s="22" t="str">
        <f t="shared" si="101"/>
        <v/>
      </c>
      <c r="M327" s="22" t="str">
        <f t="shared" si="102"/>
        <v/>
      </c>
      <c r="N327" s="103"/>
      <c r="O327" s="102"/>
    </row>
    <row r="328" spans="2:15" hidden="1" outlineLevel="1" x14ac:dyDescent="0.2">
      <c r="B328" s="2">
        <f t="shared" si="93"/>
        <v>93</v>
      </c>
      <c r="D328" s="22">
        <f>IF(B328&lt;$D$24,(+'CALCULETTE (2)'!G725/'CALCULETTE (2)'!$B$612),0)</f>
        <v>0</v>
      </c>
      <c r="E328" s="22" t="str">
        <f t="shared" si="94"/>
        <v/>
      </c>
      <c r="F328" s="22" t="str">
        <f t="shared" si="95"/>
        <v/>
      </c>
      <c r="G328" s="22" t="str">
        <f t="shared" si="96"/>
        <v/>
      </c>
      <c r="H328" s="22" t="str">
        <f t="shared" si="97"/>
        <v/>
      </c>
      <c r="I328" s="22" t="str">
        <f t="shared" si="98"/>
        <v/>
      </c>
      <c r="J328" s="22" t="str">
        <f t="shared" si="99"/>
        <v/>
      </c>
      <c r="K328" s="22" t="str">
        <f t="shared" si="100"/>
        <v/>
      </c>
      <c r="L328" s="22" t="str">
        <f t="shared" si="101"/>
        <v/>
      </c>
      <c r="M328" s="22" t="str">
        <f t="shared" si="102"/>
        <v/>
      </c>
      <c r="N328" s="103"/>
      <c r="O328" s="102"/>
    </row>
    <row r="329" spans="2:15" hidden="1" outlineLevel="1" x14ac:dyDescent="0.2">
      <c r="B329" s="2">
        <f t="shared" si="93"/>
        <v>94</v>
      </c>
      <c r="D329" s="22">
        <f>IF(B329&lt;$D$24,(+'CALCULETTE (2)'!G726/'CALCULETTE (2)'!$B$612),0)</f>
        <v>0</v>
      </c>
      <c r="E329" s="22" t="str">
        <f t="shared" si="94"/>
        <v/>
      </c>
      <c r="F329" s="22" t="str">
        <f t="shared" si="95"/>
        <v/>
      </c>
      <c r="G329" s="22" t="str">
        <f t="shared" si="96"/>
        <v/>
      </c>
      <c r="H329" s="22" t="str">
        <f t="shared" si="97"/>
        <v/>
      </c>
      <c r="I329" s="22" t="str">
        <f t="shared" si="98"/>
        <v/>
      </c>
      <c r="J329" s="22" t="str">
        <f t="shared" si="99"/>
        <v/>
      </c>
      <c r="K329" s="22" t="str">
        <f t="shared" si="100"/>
        <v/>
      </c>
      <c r="L329" s="22" t="str">
        <f t="shared" si="101"/>
        <v/>
      </c>
      <c r="M329" s="22" t="str">
        <f t="shared" si="102"/>
        <v/>
      </c>
      <c r="N329" s="103"/>
      <c r="O329" s="102"/>
    </row>
    <row r="330" spans="2:15" hidden="1" outlineLevel="1" x14ac:dyDescent="0.2">
      <c r="B330" s="2">
        <f t="shared" si="93"/>
        <v>95</v>
      </c>
      <c r="D330" s="22">
        <f>IF(B330&lt;$D$24,(+'CALCULETTE (2)'!G727/'CALCULETTE (2)'!$B$612),0)</f>
        <v>0</v>
      </c>
      <c r="E330" s="22" t="str">
        <f t="shared" si="94"/>
        <v/>
      </c>
      <c r="F330" s="22" t="str">
        <f t="shared" si="95"/>
        <v/>
      </c>
      <c r="G330" s="22" t="str">
        <f t="shared" si="96"/>
        <v/>
      </c>
      <c r="H330" s="22" t="str">
        <f t="shared" si="97"/>
        <v/>
      </c>
      <c r="I330" s="22" t="str">
        <f t="shared" si="98"/>
        <v/>
      </c>
      <c r="J330" s="22" t="str">
        <f t="shared" si="99"/>
        <v/>
      </c>
      <c r="K330" s="22" t="str">
        <f t="shared" si="100"/>
        <v/>
      </c>
      <c r="L330" s="22" t="str">
        <f t="shared" si="101"/>
        <v/>
      </c>
      <c r="M330" s="22" t="str">
        <f t="shared" si="102"/>
        <v/>
      </c>
      <c r="N330" s="103"/>
      <c r="O330" s="102"/>
    </row>
    <row r="331" spans="2:15" hidden="1" outlineLevel="1" x14ac:dyDescent="0.2">
      <c r="B331" s="2">
        <f t="shared" si="93"/>
        <v>96</v>
      </c>
      <c r="D331" s="22">
        <f>IF(B331&lt;$D$24,(+'CALCULETTE (2)'!G728/'CALCULETTE (2)'!$B$612),0)</f>
        <v>0</v>
      </c>
      <c r="E331" s="22" t="str">
        <f t="shared" si="94"/>
        <v/>
      </c>
      <c r="F331" s="22" t="str">
        <f t="shared" si="95"/>
        <v/>
      </c>
      <c r="G331" s="22" t="str">
        <f t="shared" si="96"/>
        <v/>
      </c>
      <c r="H331" s="22" t="str">
        <f t="shared" si="97"/>
        <v/>
      </c>
      <c r="I331" s="22" t="str">
        <f t="shared" si="98"/>
        <v/>
      </c>
      <c r="J331" s="22" t="str">
        <f t="shared" si="99"/>
        <v/>
      </c>
      <c r="K331" s="22" t="str">
        <f t="shared" si="100"/>
        <v/>
      </c>
      <c r="L331" s="22" t="str">
        <f t="shared" si="101"/>
        <v/>
      </c>
      <c r="M331" s="22" t="str">
        <f t="shared" si="102"/>
        <v/>
      </c>
      <c r="N331" s="103"/>
      <c r="O331" s="102"/>
    </row>
    <row r="332" spans="2:15" hidden="1" outlineLevel="1" x14ac:dyDescent="0.2">
      <c r="B332" s="2">
        <f t="shared" ref="B332:B363" si="103">B331+1</f>
        <v>97</v>
      </c>
      <c r="D332" s="22">
        <f>IF(B332&lt;$D$24,(+'CALCULETTE (2)'!G729/'CALCULETTE (2)'!$B$612),0)</f>
        <v>0</v>
      </c>
      <c r="E332" s="22" t="str">
        <f t="shared" ref="E332:E363" si="104">IF(E$1=0,"",IF($B332&lt;E$23,E331+PPMT(E$26/12,$B332,E$23,E$235,-E$27,0),IF($B332=E$23,E331+PPMT(E$26/12,$B332,E$23,E$235,-E$27,0)-E$27,0)))</f>
        <v/>
      </c>
      <c r="F332" s="22" t="str">
        <f t="shared" ref="F332:F363" si="105">IF(F$1=0,"",IF($B332&lt;F$23,F331+PPMT(F$26/12,$B332,F$23,F$235,-F$27,0),IF($B332=F$23,F331+PPMT(F$26/12,$B332,F$23,F$235,-F$27,0)-F$27,0)))</f>
        <v/>
      </c>
      <c r="G332" s="22" t="str">
        <f t="shared" ref="G332:G363" si="106">IF(G$1=0,"",IF($B332&lt;G$23,G331+PPMT(G$26/12,$B332,G$23,G$235,-G$27,0),IF($B332=G$23,G331+PPMT(G$26/12,$B332,G$23,G$235,-G$27,0)-G$27,0)))</f>
        <v/>
      </c>
      <c r="H332" s="22" t="str">
        <f t="shared" ref="H332:H363" si="107">IF(H$1=0,"",IF($B332&lt;H$23,H331+PPMT(H$26/12,$B332,H$23,H$235,-H$27,0),IF($B332=H$23,H331+PPMT(H$26/12,$B332,H$23,H$235,-H$27,0)-H$27,0)))</f>
        <v/>
      </c>
      <c r="I332" s="22" t="str">
        <f t="shared" ref="I332:I363" si="108">IF(I$1=0,"",IF($B332&lt;I$23,I331+PPMT(I$26/12,$B332,I$23,I$235,-I$27,0),IF($B332=I$23,I331+PPMT(I$26/12,$B332,I$23,I$235,-I$27,0)-I$27,0)))</f>
        <v/>
      </c>
      <c r="J332" s="22" t="str">
        <f t="shared" ref="J332:J363" si="109">IF(J$1=0,"",IF($B332&lt;J$23,J331+PPMT(J$26/12,$B332,J$23,J$235,-J$27,0),IF($B332=J$23,J331+PPMT(J$26/12,$B332,J$23,J$235,-J$27,0)-J$27,0)))</f>
        <v/>
      </c>
      <c r="K332" s="22" t="str">
        <f t="shared" ref="K332:K363" si="110">IF(K$1=0,"",IF($B332&lt;K$23,K331+PPMT(K$26/12,$B332,K$23,K$235,-K$27,0),IF($B332=K$23,K331+PPMT(K$26/12,$B332,K$23,K$235,-K$27,0)-K$27,0)))</f>
        <v/>
      </c>
      <c r="L332" s="22" t="str">
        <f t="shared" ref="L332:L363" si="111">IF(L$1=0,"",IF($B332&lt;L$23,L331+PPMT(L$26/12,$B332,L$23,L$235,-L$27,0),IF($B332=L$23,L331+PPMT(L$26/12,$B332,L$23,L$235,-L$27,0)-L$27,0)))</f>
        <v/>
      </c>
      <c r="M332" s="22" t="str">
        <f t="shared" ref="M332:M363" si="112">IF(M$1=0,"",IF($B332&lt;M$23,M331+PPMT(M$26/12,$B332,M$23,M$235,-M$27,0),IF($B332=M$23,M331+PPMT(M$26/12,$B332,M$23,M$235,-M$27,0)-M$27,0)))</f>
        <v/>
      </c>
      <c r="N332" s="103"/>
      <c r="O332" s="102"/>
    </row>
    <row r="333" spans="2:15" hidden="1" outlineLevel="1" x14ac:dyDescent="0.2">
      <c r="B333" s="2">
        <f t="shared" si="103"/>
        <v>98</v>
      </c>
      <c r="D333" s="22">
        <f>IF(B333&lt;$D$24,(+'CALCULETTE (2)'!G730/'CALCULETTE (2)'!$B$612),0)</f>
        <v>0</v>
      </c>
      <c r="E333" s="22" t="str">
        <f t="shared" si="104"/>
        <v/>
      </c>
      <c r="F333" s="22" t="str">
        <f t="shared" si="105"/>
        <v/>
      </c>
      <c r="G333" s="22" t="str">
        <f t="shared" si="106"/>
        <v/>
      </c>
      <c r="H333" s="22" t="str">
        <f t="shared" si="107"/>
        <v/>
      </c>
      <c r="I333" s="22" t="str">
        <f t="shared" si="108"/>
        <v/>
      </c>
      <c r="J333" s="22" t="str">
        <f t="shared" si="109"/>
        <v/>
      </c>
      <c r="K333" s="22" t="str">
        <f t="shared" si="110"/>
        <v/>
      </c>
      <c r="L333" s="22" t="str">
        <f t="shared" si="111"/>
        <v/>
      </c>
      <c r="M333" s="22" t="str">
        <f t="shared" si="112"/>
        <v/>
      </c>
      <c r="N333" s="103"/>
      <c r="O333" s="102"/>
    </row>
    <row r="334" spans="2:15" hidden="1" outlineLevel="1" x14ac:dyDescent="0.2">
      <c r="B334" s="2">
        <f t="shared" si="103"/>
        <v>99</v>
      </c>
      <c r="D334" s="22">
        <f>IF(B334&lt;$D$24,(+'CALCULETTE (2)'!G731/'CALCULETTE (2)'!$B$612),0)</f>
        <v>0</v>
      </c>
      <c r="E334" s="22" t="str">
        <f t="shared" si="104"/>
        <v/>
      </c>
      <c r="F334" s="22" t="str">
        <f t="shared" si="105"/>
        <v/>
      </c>
      <c r="G334" s="22" t="str">
        <f t="shared" si="106"/>
        <v/>
      </c>
      <c r="H334" s="22" t="str">
        <f t="shared" si="107"/>
        <v/>
      </c>
      <c r="I334" s="22" t="str">
        <f t="shared" si="108"/>
        <v/>
      </c>
      <c r="J334" s="22" t="str">
        <f t="shared" si="109"/>
        <v/>
      </c>
      <c r="K334" s="22" t="str">
        <f t="shared" si="110"/>
        <v/>
      </c>
      <c r="L334" s="22" t="str">
        <f t="shared" si="111"/>
        <v/>
      </c>
      <c r="M334" s="22" t="str">
        <f t="shared" si="112"/>
        <v/>
      </c>
      <c r="N334" s="103"/>
      <c r="O334" s="102"/>
    </row>
    <row r="335" spans="2:15" hidden="1" outlineLevel="1" x14ac:dyDescent="0.2">
      <c r="B335" s="2">
        <f t="shared" si="103"/>
        <v>100</v>
      </c>
      <c r="D335" s="22">
        <f>IF(B335&lt;$D$24,(+'CALCULETTE (2)'!G732/'CALCULETTE (2)'!$B$612),0)</f>
        <v>0</v>
      </c>
      <c r="E335" s="22" t="str">
        <f t="shared" si="104"/>
        <v/>
      </c>
      <c r="F335" s="22" t="str">
        <f t="shared" si="105"/>
        <v/>
      </c>
      <c r="G335" s="22" t="str">
        <f t="shared" si="106"/>
        <v/>
      </c>
      <c r="H335" s="22" t="str">
        <f t="shared" si="107"/>
        <v/>
      </c>
      <c r="I335" s="22" t="str">
        <f t="shared" si="108"/>
        <v/>
      </c>
      <c r="J335" s="22" t="str">
        <f t="shared" si="109"/>
        <v/>
      </c>
      <c r="K335" s="22" t="str">
        <f t="shared" si="110"/>
        <v/>
      </c>
      <c r="L335" s="22" t="str">
        <f t="shared" si="111"/>
        <v/>
      </c>
      <c r="M335" s="22" t="str">
        <f t="shared" si="112"/>
        <v/>
      </c>
      <c r="N335" s="103"/>
      <c r="O335" s="102"/>
    </row>
    <row r="336" spans="2:15" hidden="1" outlineLevel="1" x14ac:dyDescent="0.2">
      <c r="B336" s="2">
        <f t="shared" si="103"/>
        <v>101</v>
      </c>
      <c r="D336" s="22">
        <f>IF(B336&lt;$D$24,(+'CALCULETTE (2)'!G733/'CALCULETTE (2)'!$B$612),0)</f>
        <v>0</v>
      </c>
      <c r="E336" s="22" t="str">
        <f t="shared" si="104"/>
        <v/>
      </c>
      <c r="F336" s="22" t="str">
        <f t="shared" si="105"/>
        <v/>
      </c>
      <c r="G336" s="22" t="str">
        <f t="shared" si="106"/>
        <v/>
      </c>
      <c r="H336" s="22" t="str">
        <f t="shared" si="107"/>
        <v/>
      </c>
      <c r="I336" s="22" t="str">
        <f t="shared" si="108"/>
        <v/>
      </c>
      <c r="J336" s="22" t="str">
        <f t="shared" si="109"/>
        <v/>
      </c>
      <c r="K336" s="22" t="str">
        <f t="shared" si="110"/>
        <v/>
      </c>
      <c r="L336" s="22" t="str">
        <f t="shared" si="111"/>
        <v/>
      </c>
      <c r="M336" s="22" t="str">
        <f t="shared" si="112"/>
        <v/>
      </c>
      <c r="N336" s="103"/>
      <c r="O336" s="102"/>
    </row>
    <row r="337" spans="2:15" hidden="1" outlineLevel="1" x14ac:dyDescent="0.2">
      <c r="B337" s="2">
        <f t="shared" si="103"/>
        <v>102</v>
      </c>
      <c r="D337" s="22">
        <f>IF(B337&lt;$D$24,(+'CALCULETTE (2)'!G734/'CALCULETTE (2)'!$B$612),0)</f>
        <v>0</v>
      </c>
      <c r="E337" s="22" t="str">
        <f t="shared" si="104"/>
        <v/>
      </c>
      <c r="F337" s="22" t="str">
        <f t="shared" si="105"/>
        <v/>
      </c>
      <c r="G337" s="22" t="str">
        <f t="shared" si="106"/>
        <v/>
      </c>
      <c r="H337" s="22" t="str">
        <f t="shared" si="107"/>
        <v/>
      </c>
      <c r="I337" s="22" t="str">
        <f t="shared" si="108"/>
        <v/>
      </c>
      <c r="J337" s="22" t="str">
        <f t="shared" si="109"/>
        <v/>
      </c>
      <c r="K337" s="22" t="str">
        <f t="shared" si="110"/>
        <v/>
      </c>
      <c r="L337" s="22" t="str">
        <f t="shared" si="111"/>
        <v/>
      </c>
      <c r="M337" s="22" t="str">
        <f t="shared" si="112"/>
        <v/>
      </c>
      <c r="N337" s="103"/>
      <c r="O337" s="102"/>
    </row>
    <row r="338" spans="2:15" hidden="1" outlineLevel="1" x14ac:dyDescent="0.2">
      <c r="B338" s="2">
        <f t="shared" si="103"/>
        <v>103</v>
      </c>
      <c r="D338" s="22">
        <f>IF(B338&lt;$D$24,(+'CALCULETTE (2)'!G735/'CALCULETTE (2)'!$B$612),0)</f>
        <v>0</v>
      </c>
      <c r="E338" s="22" t="str">
        <f t="shared" si="104"/>
        <v/>
      </c>
      <c r="F338" s="22" t="str">
        <f t="shared" si="105"/>
        <v/>
      </c>
      <c r="G338" s="22" t="str">
        <f t="shared" si="106"/>
        <v/>
      </c>
      <c r="H338" s="22" t="str">
        <f t="shared" si="107"/>
        <v/>
      </c>
      <c r="I338" s="22" t="str">
        <f t="shared" si="108"/>
        <v/>
      </c>
      <c r="J338" s="22" t="str">
        <f t="shared" si="109"/>
        <v/>
      </c>
      <c r="K338" s="22" t="str">
        <f t="shared" si="110"/>
        <v/>
      </c>
      <c r="L338" s="22" t="str">
        <f t="shared" si="111"/>
        <v/>
      </c>
      <c r="M338" s="22" t="str">
        <f t="shared" si="112"/>
        <v/>
      </c>
      <c r="N338" s="103"/>
      <c r="O338" s="102"/>
    </row>
    <row r="339" spans="2:15" hidden="1" outlineLevel="1" x14ac:dyDescent="0.2">
      <c r="B339" s="2">
        <f t="shared" si="103"/>
        <v>104</v>
      </c>
      <c r="D339" s="22">
        <f>IF(B339&lt;$D$24,(+'CALCULETTE (2)'!G736/'CALCULETTE (2)'!$B$612),0)</f>
        <v>0</v>
      </c>
      <c r="E339" s="22" t="str">
        <f t="shared" si="104"/>
        <v/>
      </c>
      <c r="F339" s="22" t="str">
        <f t="shared" si="105"/>
        <v/>
      </c>
      <c r="G339" s="22" t="str">
        <f t="shared" si="106"/>
        <v/>
      </c>
      <c r="H339" s="22" t="str">
        <f t="shared" si="107"/>
        <v/>
      </c>
      <c r="I339" s="22" t="str">
        <f t="shared" si="108"/>
        <v/>
      </c>
      <c r="J339" s="22" t="str">
        <f t="shared" si="109"/>
        <v/>
      </c>
      <c r="K339" s="22" t="str">
        <f t="shared" si="110"/>
        <v/>
      </c>
      <c r="L339" s="22" t="str">
        <f t="shared" si="111"/>
        <v/>
      </c>
      <c r="M339" s="22" t="str">
        <f t="shared" si="112"/>
        <v/>
      </c>
      <c r="N339" s="103"/>
      <c r="O339" s="102"/>
    </row>
    <row r="340" spans="2:15" hidden="1" outlineLevel="1" x14ac:dyDescent="0.2">
      <c r="B340" s="2">
        <f t="shared" si="103"/>
        <v>105</v>
      </c>
      <c r="D340" s="22">
        <f>IF(B340&lt;$D$24,(+'CALCULETTE (2)'!G737/'CALCULETTE (2)'!$B$612),0)</f>
        <v>0</v>
      </c>
      <c r="E340" s="22" t="str">
        <f t="shared" si="104"/>
        <v/>
      </c>
      <c r="F340" s="22" t="str">
        <f t="shared" si="105"/>
        <v/>
      </c>
      <c r="G340" s="22" t="str">
        <f t="shared" si="106"/>
        <v/>
      </c>
      <c r="H340" s="22" t="str">
        <f t="shared" si="107"/>
        <v/>
      </c>
      <c r="I340" s="22" t="str">
        <f t="shared" si="108"/>
        <v/>
      </c>
      <c r="J340" s="22" t="str">
        <f t="shared" si="109"/>
        <v/>
      </c>
      <c r="K340" s="22" t="str">
        <f t="shared" si="110"/>
        <v/>
      </c>
      <c r="L340" s="22" t="str">
        <f t="shared" si="111"/>
        <v/>
      </c>
      <c r="M340" s="22" t="str">
        <f t="shared" si="112"/>
        <v/>
      </c>
      <c r="N340" s="103"/>
      <c r="O340" s="102"/>
    </row>
    <row r="341" spans="2:15" hidden="1" outlineLevel="1" x14ac:dyDescent="0.2">
      <c r="B341" s="2">
        <f t="shared" si="103"/>
        <v>106</v>
      </c>
      <c r="D341" s="22">
        <f>IF(B341&lt;$D$24,(+'CALCULETTE (2)'!G738/'CALCULETTE (2)'!$B$612),0)</f>
        <v>0</v>
      </c>
      <c r="E341" s="22" t="str">
        <f t="shared" si="104"/>
        <v/>
      </c>
      <c r="F341" s="22" t="str">
        <f t="shared" si="105"/>
        <v/>
      </c>
      <c r="G341" s="22" t="str">
        <f t="shared" si="106"/>
        <v/>
      </c>
      <c r="H341" s="22" t="str">
        <f t="shared" si="107"/>
        <v/>
      </c>
      <c r="I341" s="22" t="str">
        <f t="shared" si="108"/>
        <v/>
      </c>
      <c r="J341" s="22" t="str">
        <f t="shared" si="109"/>
        <v/>
      </c>
      <c r="K341" s="22" t="str">
        <f t="shared" si="110"/>
        <v/>
      </c>
      <c r="L341" s="22" t="str">
        <f t="shared" si="111"/>
        <v/>
      </c>
      <c r="M341" s="22" t="str">
        <f t="shared" si="112"/>
        <v/>
      </c>
      <c r="N341" s="103"/>
      <c r="O341" s="102"/>
    </row>
    <row r="342" spans="2:15" hidden="1" outlineLevel="1" x14ac:dyDescent="0.2">
      <c r="B342" s="2">
        <f t="shared" si="103"/>
        <v>107</v>
      </c>
      <c r="D342" s="22">
        <f>IF(B342&lt;$D$24,(+'CALCULETTE (2)'!G739/'CALCULETTE (2)'!$B$612),0)</f>
        <v>0</v>
      </c>
      <c r="E342" s="22" t="str">
        <f t="shared" si="104"/>
        <v/>
      </c>
      <c r="F342" s="22" t="str">
        <f t="shared" si="105"/>
        <v/>
      </c>
      <c r="G342" s="22" t="str">
        <f t="shared" si="106"/>
        <v/>
      </c>
      <c r="H342" s="22" t="str">
        <f t="shared" si="107"/>
        <v/>
      </c>
      <c r="I342" s="22" t="str">
        <f t="shared" si="108"/>
        <v/>
      </c>
      <c r="J342" s="22" t="str">
        <f t="shared" si="109"/>
        <v/>
      </c>
      <c r="K342" s="22" t="str">
        <f t="shared" si="110"/>
        <v/>
      </c>
      <c r="L342" s="22" t="str">
        <f t="shared" si="111"/>
        <v/>
      </c>
      <c r="M342" s="22" t="str">
        <f t="shared" si="112"/>
        <v/>
      </c>
      <c r="N342" s="103"/>
      <c r="O342" s="102"/>
    </row>
    <row r="343" spans="2:15" hidden="1" outlineLevel="1" x14ac:dyDescent="0.2">
      <c r="B343" s="2">
        <f t="shared" si="103"/>
        <v>108</v>
      </c>
      <c r="D343" s="22">
        <f>IF(B343&lt;$D$24,(+'CALCULETTE (2)'!G740/'CALCULETTE (2)'!$B$612),0)</f>
        <v>0</v>
      </c>
      <c r="E343" s="22" t="str">
        <f t="shared" si="104"/>
        <v/>
      </c>
      <c r="F343" s="22" t="str">
        <f t="shared" si="105"/>
        <v/>
      </c>
      <c r="G343" s="22" t="str">
        <f t="shared" si="106"/>
        <v/>
      </c>
      <c r="H343" s="22" t="str">
        <f t="shared" si="107"/>
        <v/>
      </c>
      <c r="I343" s="22" t="str">
        <f t="shared" si="108"/>
        <v/>
      </c>
      <c r="J343" s="22" t="str">
        <f t="shared" si="109"/>
        <v/>
      </c>
      <c r="K343" s="22" t="str">
        <f t="shared" si="110"/>
        <v/>
      </c>
      <c r="L343" s="22" t="str">
        <f t="shared" si="111"/>
        <v/>
      </c>
      <c r="M343" s="22" t="str">
        <f t="shared" si="112"/>
        <v/>
      </c>
      <c r="N343" s="103"/>
      <c r="O343" s="102"/>
    </row>
    <row r="344" spans="2:15" hidden="1" outlineLevel="1" x14ac:dyDescent="0.2">
      <c r="B344" s="2">
        <f t="shared" si="103"/>
        <v>109</v>
      </c>
      <c r="D344" s="22">
        <f>IF(B344&lt;$D$24,(+'CALCULETTE (2)'!G741/'CALCULETTE (2)'!$B$612),0)</f>
        <v>0</v>
      </c>
      <c r="E344" s="22" t="str">
        <f t="shared" si="104"/>
        <v/>
      </c>
      <c r="F344" s="22" t="str">
        <f t="shared" si="105"/>
        <v/>
      </c>
      <c r="G344" s="22" t="str">
        <f t="shared" si="106"/>
        <v/>
      </c>
      <c r="H344" s="22" t="str">
        <f t="shared" si="107"/>
        <v/>
      </c>
      <c r="I344" s="22" t="str">
        <f t="shared" si="108"/>
        <v/>
      </c>
      <c r="J344" s="22" t="str">
        <f t="shared" si="109"/>
        <v/>
      </c>
      <c r="K344" s="22" t="str">
        <f t="shared" si="110"/>
        <v/>
      </c>
      <c r="L344" s="22" t="str">
        <f t="shared" si="111"/>
        <v/>
      </c>
      <c r="M344" s="22" t="str">
        <f t="shared" si="112"/>
        <v/>
      </c>
      <c r="N344" s="103"/>
      <c r="O344" s="102"/>
    </row>
    <row r="345" spans="2:15" hidden="1" outlineLevel="1" x14ac:dyDescent="0.2">
      <c r="B345" s="2">
        <f t="shared" si="103"/>
        <v>110</v>
      </c>
      <c r="D345" s="22">
        <f>IF(B345&lt;$D$24,(+'CALCULETTE (2)'!G742/'CALCULETTE (2)'!$B$612),0)</f>
        <v>0</v>
      </c>
      <c r="E345" s="22" t="str">
        <f t="shared" si="104"/>
        <v/>
      </c>
      <c r="F345" s="22" t="str">
        <f t="shared" si="105"/>
        <v/>
      </c>
      <c r="G345" s="22" t="str">
        <f t="shared" si="106"/>
        <v/>
      </c>
      <c r="H345" s="22" t="str">
        <f t="shared" si="107"/>
        <v/>
      </c>
      <c r="I345" s="22" t="str">
        <f t="shared" si="108"/>
        <v/>
      </c>
      <c r="J345" s="22" t="str">
        <f t="shared" si="109"/>
        <v/>
      </c>
      <c r="K345" s="22" t="str">
        <f t="shared" si="110"/>
        <v/>
      </c>
      <c r="L345" s="22" t="str">
        <f t="shared" si="111"/>
        <v/>
      </c>
      <c r="M345" s="22" t="str">
        <f t="shared" si="112"/>
        <v/>
      </c>
      <c r="N345" s="103"/>
      <c r="O345" s="102"/>
    </row>
    <row r="346" spans="2:15" hidden="1" outlineLevel="1" x14ac:dyDescent="0.2">
      <c r="B346" s="2">
        <f t="shared" si="103"/>
        <v>111</v>
      </c>
      <c r="D346" s="22">
        <f>IF(B346&lt;$D$24,(+'CALCULETTE (2)'!G743/'CALCULETTE (2)'!$B$612),0)</f>
        <v>0</v>
      </c>
      <c r="E346" s="22" t="str">
        <f t="shared" si="104"/>
        <v/>
      </c>
      <c r="F346" s="22" t="str">
        <f t="shared" si="105"/>
        <v/>
      </c>
      <c r="G346" s="22" t="str">
        <f t="shared" si="106"/>
        <v/>
      </c>
      <c r="H346" s="22" t="str">
        <f t="shared" si="107"/>
        <v/>
      </c>
      <c r="I346" s="22" t="str">
        <f t="shared" si="108"/>
        <v/>
      </c>
      <c r="J346" s="22" t="str">
        <f t="shared" si="109"/>
        <v/>
      </c>
      <c r="K346" s="22" t="str">
        <f t="shared" si="110"/>
        <v/>
      </c>
      <c r="L346" s="22" t="str">
        <f t="shared" si="111"/>
        <v/>
      </c>
      <c r="M346" s="22" t="str">
        <f t="shared" si="112"/>
        <v/>
      </c>
      <c r="N346" s="103"/>
      <c r="O346" s="102"/>
    </row>
    <row r="347" spans="2:15" hidden="1" outlineLevel="1" x14ac:dyDescent="0.2">
      <c r="B347" s="2">
        <f t="shared" si="103"/>
        <v>112</v>
      </c>
      <c r="D347" s="22">
        <f>IF(B347&lt;$D$24,(+'CALCULETTE (2)'!G744/'CALCULETTE (2)'!$B$612),0)</f>
        <v>0</v>
      </c>
      <c r="E347" s="22" t="str">
        <f t="shared" si="104"/>
        <v/>
      </c>
      <c r="F347" s="22" t="str">
        <f t="shared" si="105"/>
        <v/>
      </c>
      <c r="G347" s="22" t="str">
        <f t="shared" si="106"/>
        <v/>
      </c>
      <c r="H347" s="22" t="str">
        <f t="shared" si="107"/>
        <v/>
      </c>
      <c r="I347" s="22" t="str">
        <f t="shared" si="108"/>
        <v/>
      </c>
      <c r="J347" s="22" t="str">
        <f t="shared" si="109"/>
        <v/>
      </c>
      <c r="K347" s="22" t="str">
        <f t="shared" si="110"/>
        <v/>
      </c>
      <c r="L347" s="22" t="str">
        <f t="shared" si="111"/>
        <v/>
      </c>
      <c r="M347" s="22" t="str">
        <f t="shared" si="112"/>
        <v/>
      </c>
      <c r="N347" s="103"/>
      <c r="O347" s="102"/>
    </row>
    <row r="348" spans="2:15" hidden="1" outlineLevel="1" x14ac:dyDescent="0.2">
      <c r="B348" s="2">
        <f t="shared" si="103"/>
        <v>113</v>
      </c>
      <c r="D348" s="22">
        <f>IF(B348&lt;$D$24,(+'CALCULETTE (2)'!G745/'CALCULETTE (2)'!$B$612),0)</f>
        <v>0</v>
      </c>
      <c r="E348" s="22" t="str">
        <f t="shared" si="104"/>
        <v/>
      </c>
      <c r="F348" s="22" t="str">
        <f t="shared" si="105"/>
        <v/>
      </c>
      <c r="G348" s="22" t="str">
        <f t="shared" si="106"/>
        <v/>
      </c>
      <c r="H348" s="22" t="str">
        <f t="shared" si="107"/>
        <v/>
      </c>
      <c r="I348" s="22" t="str">
        <f t="shared" si="108"/>
        <v/>
      </c>
      <c r="J348" s="22" t="str">
        <f t="shared" si="109"/>
        <v/>
      </c>
      <c r="K348" s="22" t="str">
        <f t="shared" si="110"/>
        <v/>
      </c>
      <c r="L348" s="22" t="str">
        <f t="shared" si="111"/>
        <v/>
      </c>
      <c r="M348" s="22" t="str">
        <f t="shared" si="112"/>
        <v/>
      </c>
      <c r="N348" s="103"/>
      <c r="O348" s="102"/>
    </row>
    <row r="349" spans="2:15" hidden="1" outlineLevel="1" x14ac:dyDescent="0.2">
      <c r="B349" s="2">
        <f t="shared" si="103"/>
        <v>114</v>
      </c>
      <c r="D349" s="22">
        <f>IF(B349&lt;$D$24,(+'CALCULETTE (2)'!G746/'CALCULETTE (2)'!$B$612),0)</f>
        <v>0</v>
      </c>
      <c r="E349" s="22" t="str">
        <f t="shared" si="104"/>
        <v/>
      </c>
      <c r="F349" s="22" t="str">
        <f t="shared" si="105"/>
        <v/>
      </c>
      <c r="G349" s="22" t="str">
        <f t="shared" si="106"/>
        <v/>
      </c>
      <c r="H349" s="22" t="str">
        <f t="shared" si="107"/>
        <v/>
      </c>
      <c r="I349" s="22" t="str">
        <f t="shared" si="108"/>
        <v/>
      </c>
      <c r="J349" s="22" t="str">
        <f t="shared" si="109"/>
        <v/>
      </c>
      <c r="K349" s="22" t="str">
        <f t="shared" si="110"/>
        <v/>
      </c>
      <c r="L349" s="22" t="str">
        <f t="shared" si="111"/>
        <v/>
      </c>
      <c r="M349" s="22" t="str">
        <f t="shared" si="112"/>
        <v/>
      </c>
      <c r="N349" s="103"/>
      <c r="O349" s="102"/>
    </row>
    <row r="350" spans="2:15" hidden="1" outlineLevel="1" x14ac:dyDescent="0.2">
      <c r="B350" s="2">
        <f t="shared" si="103"/>
        <v>115</v>
      </c>
      <c r="D350" s="22">
        <f>IF(B350&lt;$D$24,(+'CALCULETTE (2)'!G747/'CALCULETTE (2)'!$B$612),0)</f>
        <v>0</v>
      </c>
      <c r="E350" s="22" t="str">
        <f t="shared" si="104"/>
        <v/>
      </c>
      <c r="F350" s="22" t="str">
        <f t="shared" si="105"/>
        <v/>
      </c>
      <c r="G350" s="22" t="str">
        <f t="shared" si="106"/>
        <v/>
      </c>
      <c r="H350" s="22" t="str">
        <f t="shared" si="107"/>
        <v/>
      </c>
      <c r="I350" s="22" t="str">
        <f t="shared" si="108"/>
        <v/>
      </c>
      <c r="J350" s="22" t="str">
        <f t="shared" si="109"/>
        <v/>
      </c>
      <c r="K350" s="22" t="str">
        <f t="shared" si="110"/>
        <v/>
      </c>
      <c r="L350" s="22" t="str">
        <f t="shared" si="111"/>
        <v/>
      </c>
      <c r="M350" s="22" t="str">
        <f t="shared" si="112"/>
        <v/>
      </c>
      <c r="N350" s="103"/>
      <c r="O350" s="102"/>
    </row>
    <row r="351" spans="2:15" hidden="1" outlineLevel="1" x14ac:dyDescent="0.2">
      <c r="B351" s="2">
        <f t="shared" si="103"/>
        <v>116</v>
      </c>
      <c r="D351" s="22">
        <f>IF(B351&lt;$D$24,(+'CALCULETTE (2)'!G748/'CALCULETTE (2)'!$B$612),0)</f>
        <v>0</v>
      </c>
      <c r="E351" s="22" t="str">
        <f t="shared" si="104"/>
        <v/>
      </c>
      <c r="F351" s="22" t="str">
        <f t="shared" si="105"/>
        <v/>
      </c>
      <c r="G351" s="22" t="str">
        <f t="shared" si="106"/>
        <v/>
      </c>
      <c r="H351" s="22" t="str">
        <f t="shared" si="107"/>
        <v/>
      </c>
      <c r="I351" s="22" t="str">
        <f t="shared" si="108"/>
        <v/>
      </c>
      <c r="J351" s="22" t="str">
        <f t="shared" si="109"/>
        <v/>
      </c>
      <c r="K351" s="22" t="str">
        <f t="shared" si="110"/>
        <v/>
      </c>
      <c r="L351" s="22" t="str">
        <f t="shared" si="111"/>
        <v/>
      </c>
      <c r="M351" s="22" t="str">
        <f t="shared" si="112"/>
        <v/>
      </c>
      <c r="N351" s="103"/>
      <c r="O351" s="102"/>
    </row>
    <row r="352" spans="2:15" hidden="1" outlineLevel="1" x14ac:dyDescent="0.2">
      <c r="B352" s="2">
        <f t="shared" si="103"/>
        <v>117</v>
      </c>
      <c r="D352" s="22">
        <f>IF(B352&lt;$D$24,(+'CALCULETTE (2)'!G749/'CALCULETTE (2)'!$B$612),0)</f>
        <v>0</v>
      </c>
      <c r="E352" s="22" t="str">
        <f t="shared" si="104"/>
        <v/>
      </c>
      <c r="F352" s="22" t="str">
        <f t="shared" si="105"/>
        <v/>
      </c>
      <c r="G352" s="22" t="str">
        <f t="shared" si="106"/>
        <v/>
      </c>
      <c r="H352" s="22" t="str">
        <f t="shared" si="107"/>
        <v/>
      </c>
      <c r="I352" s="22" t="str">
        <f t="shared" si="108"/>
        <v/>
      </c>
      <c r="J352" s="22" t="str">
        <f t="shared" si="109"/>
        <v/>
      </c>
      <c r="K352" s="22" t="str">
        <f t="shared" si="110"/>
        <v/>
      </c>
      <c r="L352" s="22" t="str">
        <f t="shared" si="111"/>
        <v/>
      </c>
      <c r="M352" s="22" t="str">
        <f t="shared" si="112"/>
        <v/>
      </c>
      <c r="N352" s="103"/>
      <c r="O352" s="102"/>
    </row>
    <row r="353" spans="2:15" hidden="1" outlineLevel="1" x14ac:dyDescent="0.2">
      <c r="B353" s="2">
        <f t="shared" si="103"/>
        <v>118</v>
      </c>
      <c r="D353" s="22">
        <f>IF(B353&lt;$D$24,(+'CALCULETTE (2)'!G750/'CALCULETTE (2)'!$B$612),0)</f>
        <v>0</v>
      </c>
      <c r="E353" s="22" t="str">
        <f t="shared" si="104"/>
        <v/>
      </c>
      <c r="F353" s="22" t="str">
        <f t="shared" si="105"/>
        <v/>
      </c>
      <c r="G353" s="22" t="str">
        <f t="shared" si="106"/>
        <v/>
      </c>
      <c r="H353" s="22" t="str">
        <f t="shared" si="107"/>
        <v/>
      </c>
      <c r="I353" s="22" t="str">
        <f t="shared" si="108"/>
        <v/>
      </c>
      <c r="J353" s="22" t="str">
        <f t="shared" si="109"/>
        <v/>
      </c>
      <c r="K353" s="22" t="str">
        <f t="shared" si="110"/>
        <v/>
      </c>
      <c r="L353" s="22" t="str">
        <f t="shared" si="111"/>
        <v/>
      </c>
      <c r="M353" s="22" t="str">
        <f t="shared" si="112"/>
        <v/>
      </c>
      <c r="N353" s="103"/>
      <c r="O353" s="102"/>
    </row>
    <row r="354" spans="2:15" hidden="1" outlineLevel="1" x14ac:dyDescent="0.2">
      <c r="B354" s="2">
        <f t="shared" si="103"/>
        <v>119</v>
      </c>
      <c r="D354" s="22">
        <f>IF(B354&lt;$D$24,(+'CALCULETTE (2)'!G751/'CALCULETTE (2)'!$B$612),0)</f>
        <v>0</v>
      </c>
      <c r="E354" s="22" t="str">
        <f t="shared" si="104"/>
        <v/>
      </c>
      <c r="F354" s="22" t="str">
        <f t="shared" si="105"/>
        <v/>
      </c>
      <c r="G354" s="22" t="str">
        <f t="shared" si="106"/>
        <v/>
      </c>
      <c r="H354" s="22" t="str">
        <f t="shared" si="107"/>
        <v/>
      </c>
      <c r="I354" s="22" t="str">
        <f t="shared" si="108"/>
        <v/>
      </c>
      <c r="J354" s="22" t="str">
        <f t="shared" si="109"/>
        <v/>
      </c>
      <c r="K354" s="22" t="str">
        <f t="shared" si="110"/>
        <v/>
      </c>
      <c r="L354" s="22" t="str">
        <f t="shared" si="111"/>
        <v/>
      </c>
      <c r="M354" s="22" t="str">
        <f t="shared" si="112"/>
        <v/>
      </c>
      <c r="N354" s="103"/>
      <c r="O354" s="102"/>
    </row>
    <row r="355" spans="2:15" hidden="1" outlineLevel="1" x14ac:dyDescent="0.2">
      <c r="B355" s="2">
        <f t="shared" si="103"/>
        <v>120</v>
      </c>
      <c r="D355" s="22">
        <f>IF(B355&lt;$D$24,(+'CALCULETTE (2)'!G752/'CALCULETTE (2)'!$B$612),0)</f>
        <v>0</v>
      </c>
      <c r="E355" s="22" t="str">
        <f t="shared" si="104"/>
        <v/>
      </c>
      <c r="F355" s="22" t="str">
        <f t="shared" si="105"/>
        <v/>
      </c>
      <c r="G355" s="22" t="str">
        <f t="shared" si="106"/>
        <v/>
      </c>
      <c r="H355" s="22" t="str">
        <f t="shared" si="107"/>
        <v/>
      </c>
      <c r="I355" s="22" t="str">
        <f t="shared" si="108"/>
        <v/>
      </c>
      <c r="J355" s="22" t="str">
        <f t="shared" si="109"/>
        <v/>
      </c>
      <c r="K355" s="22" t="str">
        <f t="shared" si="110"/>
        <v/>
      </c>
      <c r="L355" s="22" t="str">
        <f t="shared" si="111"/>
        <v/>
      </c>
      <c r="M355" s="22" t="str">
        <f t="shared" si="112"/>
        <v/>
      </c>
      <c r="N355" s="103"/>
      <c r="O355" s="102"/>
    </row>
    <row r="356" spans="2:15" hidden="1" outlineLevel="1" x14ac:dyDescent="0.2">
      <c r="B356" s="2">
        <f t="shared" si="103"/>
        <v>121</v>
      </c>
      <c r="D356" s="22">
        <f>IF(B356&lt;$D$24,(+'CALCULETTE (2)'!G753/'CALCULETTE (2)'!$B$612),0)</f>
        <v>0</v>
      </c>
      <c r="E356" s="22" t="str">
        <f t="shared" si="104"/>
        <v/>
      </c>
      <c r="F356" s="22" t="str">
        <f t="shared" si="105"/>
        <v/>
      </c>
      <c r="G356" s="22" t="str">
        <f t="shared" si="106"/>
        <v/>
      </c>
      <c r="H356" s="22" t="str">
        <f t="shared" si="107"/>
        <v/>
      </c>
      <c r="I356" s="22" t="str">
        <f t="shared" si="108"/>
        <v/>
      </c>
      <c r="J356" s="22" t="str">
        <f t="shared" si="109"/>
        <v/>
      </c>
      <c r="K356" s="22" t="str">
        <f t="shared" si="110"/>
        <v/>
      </c>
      <c r="L356" s="22" t="str">
        <f t="shared" si="111"/>
        <v/>
      </c>
      <c r="M356" s="22" t="str">
        <f t="shared" si="112"/>
        <v/>
      </c>
      <c r="N356" s="103"/>
      <c r="O356" s="102"/>
    </row>
    <row r="357" spans="2:15" hidden="1" outlineLevel="1" x14ac:dyDescent="0.2">
      <c r="B357" s="2">
        <f t="shared" si="103"/>
        <v>122</v>
      </c>
      <c r="D357" s="22">
        <f>IF(B357&lt;$D$24,(+'CALCULETTE (2)'!G754/'CALCULETTE (2)'!$B$612),0)</f>
        <v>0</v>
      </c>
      <c r="E357" s="22" t="str">
        <f t="shared" si="104"/>
        <v/>
      </c>
      <c r="F357" s="22" t="str">
        <f t="shared" si="105"/>
        <v/>
      </c>
      <c r="G357" s="22" t="str">
        <f t="shared" si="106"/>
        <v/>
      </c>
      <c r="H357" s="22" t="str">
        <f t="shared" si="107"/>
        <v/>
      </c>
      <c r="I357" s="22" t="str">
        <f t="shared" si="108"/>
        <v/>
      </c>
      <c r="J357" s="22" t="str">
        <f t="shared" si="109"/>
        <v/>
      </c>
      <c r="K357" s="22" t="str">
        <f t="shared" si="110"/>
        <v/>
      </c>
      <c r="L357" s="22" t="str">
        <f t="shared" si="111"/>
        <v/>
      </c>
      <c r="M357" s="22" t="str">
        <f t="shared" si="112"/>
        <v/>
      </c>
      <c r="N357" s="103"/>
      <c r="O357" s="102"/>
    </row>
    <row r="358" spans="2:15" hidden="1" outlineLevel="1" x14ac:dyDescent="0.2">
      <c r="B358" s="2">
        <f t="shared" si="103"/>
        <v>123</v>
      </c>
      <c r="D358" s="22">
        <f>IF(B358&lt;$D$24,(+'CALCULETTE (2)'!G755/'CALCULETTE (2)'!$B$612),0)</f>
        <v>0</v>
      </c>
      <c r="E358" s="22" t="str">
        <f t="shared" si="104"/>
        <v/>
      </c>
      <c r="F358" s="22" t="str">
        <f t="shared" si="105"/>
        <v/>
      </c>
      <c r="G358" s="22" t="str">
        <f t="shared" si="106"/>
        <v/>
      </c>
      <c r="H358" s="22" t="str">
        <f t="shared" si="107"/>
        <v/>
      </c>
      <c r="I358" s="22" t="str">
        <f t="shared" si="108"/>
        <v/>
      </c>
      <c r="J358" s="22" t="str">
        <f t="shared" si="109"/>
        <v/>
      </c>
      <c r="K358" s="22" t="str">
        <f t="shared" si="110"/>
        <v/>
      </c>
      <c r="L358" s="22" t="str">
        <f t="shared" si="111"/>
        <v/>
      </c>
      <c r="M358" s="22" t="str">
        <f t="shared" si="112"/>
        <v/>
      </c>
      <c r="N358" s="103"/>
      <c r="O358" s="102"/>
    </row>
    <row r="359" spans="2:15" hidden="1" outlineLevel="1" x14ac:dyDescent="0.2">
      <c r="B359" s="2">
        <f t="shared" si="103"/>
        <v>124</v>
      </c>
      <c r="D359" s="22">
        <f>IF(B359&lt;$D$24,(+'CALCULETTE (2)'!G756/'CALCULETTE (2)'!$B$612),0)</f>
        <v>0</v>
      </c>
      <c r="E359" s="22" t="str">
        <f t="shared" si="104"/>
        <v/>
      </c>
      <c r="F359" s="22" t="str">
        <f t="shared" si="105"/>
        <v/>
      </c>
      <c r="G359" s="22" t="str">
        <f t="shared" si="106"/>
        <v/>
      </c>
      <c r="H359" s="22" t="str">
        <f t="shared" si="107"/>
        <v/>
      </c>
      <c r="I359" s="22" t="str">
        <f t="shared" si="108"/>
        <v/>
      </c>
      <c r="J359" s="22" t="str">
        <f t="shared" si="109"/>
        <v/>
      </c>
      <c r="K359" s="22" t="str">
        <f t="shared" si="110"/>
        <v/>
      </c>
      <c r="L359" s="22" t="str">
        <f t="shared" si="111"/>
        <v/>
      </c>
      <c r="M359" s="22" t="str">
        <f t="shared" si="112"/>
        <v/>
      </c>
      <c r="N359" s="103"/>
      <c r="O359" s="102"/>
    </row>
    <row r="360" spans="2:15" hidden="1" outlineLevel="1" x14ac:dyDescent="0.2">
      <c r="B360" s="2">
        <f t="shared" si="103"/>
        <v>125</v>
      </c>
      <c r="D360" s="22">
        <f>IF(B360&lt;$D$24,(+'CALCULETTE (2)'!G757/'CALCULETTE (2)'!$B$612),0)</f>
        <v>0</v>
      </c>
      <c r="E360" s="22" t="str">
        <f t="shared" si="104"/>
        <v/>
      </c>
      <c r="F360" s="22" t="str">
        <f t="shared" si="105"/>
        <v/>
      </c>
      <c r="G360" s="22" t="str">
        <f t="shared" si="106"/>
        <v/>
      </c>
      <c r="H360" s="22" t="str">
        <f t="shared" si="107"/>
        <v/>
      </c>
      <c r="I360" s="22" t="str">
        <f t="shared" si="108"/>
        <v/>
      </c>
      <c r="J360" s="22" t="str">
        <f t="shared" si="109"/>
        <v/>
      </c>
      <c r="K360" s="22" t="str">
        <f t="shared" si="110"/>
        <v/>
      </c>
      <c r="L360" s="22" t="str">
        <f t="shared" si="111"/>
        <v/>
      </c>
      <c r="M360" s="22" t="str">
        <f t="shared" si="112"/>
        <v/>
      </c>
      <c r="N360" s="103"/>
      <c r="O360" s="102"/>
    </row>
    <row r="361" spans="2:15" hidden="1" outlineLevel="1" x14ac:dyDescent="0.2">
      <c r="B361" s="2">
        <f t="shared" si="103"/>
        <v>126</v>
      </c>
      <c r="D361" s="22">
        <f>IF(B361&lt;$D$24,(+'CALCULETTE (2)'!G758/'CALCULETTE (2)'!$B$612),0)</f>
        <v>0</v>
      </c>
      <c r="E361" s="22" t="str">
        <f t="shared" si="104"/>
        <v/>
      </c>
      <c r="F361" s="22" t="str">
        <f t="shared" si="105"/>
        <v/>
      </c>
      <c r="G361" s="22" t="str">
        <f t="shared" si="106"/>
        <v/>
      </c>
      <c r="H361" s="22" t="str">
        <f t="shared" si="107"/>
        <v/>
      </c>
      <c r="I361" s="22" t="str">
        <f t="shared" si="108"/>
        <v/>
      </c>
      <c r="J361" s="22" t="str">
        <f t="shared" si="109"/>
        <v/>
      </c>
      <c r="K361" s="22" t="str">
        <f t="shared" si="110"/>
        <v/>
      </c>
      <c r="L361" s="22" t="str">
        <f t="shared" si="111"/>
        <v/>
      </c>
      <c r="M361" s="22" t="str">
        <f t="shared" si="112"/>
        <v/>
      </c>
      <c r="N361" s="103"/>
      <c r="O361" s="102"/>
    </row>
    <row r="362" spans="2:15" hidden="1" outlineLevel="1" x14ac:dyDescent="0.2">
      <c r="B362" s="2">
        <f t="shared" si="103"/>
        <v>127</v>
      </c>
      <c r="D362" s="22">
        <f>IF(B362&lt;$D$24,(+'CALCULETTE (2)'!G759/'CALCULETTE (2)'!$B$612),0)</f>
        <v>0</v>
      </c>
      <c r="E362" s="22" t="str">
        <f t="shared" si="104"/>
        <v/>
      </c>
      <c r="F362" s="22" t="str">
        <f t="shared" si="105"/>
        <v/>
      </c>
      <c r="G362" s="22" t="str">
        <f t="shared" si="106"/>
        <v/>
      </c>
      <c r="H362" s="22" t="str">
        <f t="shared" si="107"/>
        <v/>
      </c>
      <c r="I362" s="22" t="str">
        <f t="shared" si="108"/>
        <v/>
      </c>
      <c r="J362" s="22" t="str">
        <f t="shared" si="109"/>
        <v/>
      </c>
      <c r="K362" s="22" t="str">
        <f t="shared" si="110"/>
        <v/>
      </c>
      <c r="L362" s="22" t="str">
        <f t="shared" si="111"/>
        <v/>
      </c>
      <c r="M362" s="22" t="str">
        <f t="shared" si="112"/>
        <v/>
      </c>
      <c r="N362" s="103"/>
      <c r="O362" s="102"/>
    </row>
    <row r="363" spans="2:15" hidden="1" outlineLevel="1" x14ac:dyDescent="0.2">
      <c r="B363" s="2">
        <f t="shared" si="103"/>
        <v>128</v>
      </c>
      <c r="D363" s="22">
        <f>IF(B363&lt;$D$24,(+'CALCULETTE (2)'!G760/'CALCULETTE (2)'!$B$612),0)</f>
        <v>0</v>
      </c>
      <c r="E363" s="22" t="str">
        <f t="shared" si="104"/>
        <v/>
      </c>
      <c r="F363" s="22" t="str">
        <f t="shared" si="105"/>
        <v/>
      </c>
      <c r="G363" s="22" t="str">
        <f t="shared" si="106"/>
        <v/>
      </c>
      <c r="H363" s="22" t="str">
        <f t="shared" si="107"/>
        <v/>
      </c>
      <c r="I363" s="22" t="str">
        <f t="shared" si="108"/>
        <v/>
      </c>
      <c r="J363" s="22" t="str">
        <f t="shared" si="109"/>
        <v/>
      </c>
      <c r="K363" s="22" t="str">
        <f t="shared" si="110"/>
        <v/>
      </c>
      <c r="L363" s="22" t="str">
        <f t="shared" si="111"/>
        <v/>
      </c>
      <c r="M363" s="22" t="str">
        <f t="shared" si="112"/>
        <v/>
      </c>
      <c r="N363" s="103"/>
      <c r="O363" s="102"/>
    </row>
    <row r="364" spans="2:15" hidden="1" outlineLevel="1" x14ac:dyDescent="0.2">
      <c r="B364" s="2">
        <f t="shared" ref="B364:B395" si="113">B363+1</f>
        <v>129</v>
      </c>
      <c r="D364" s="22">
        <f>IF(B364&lt;$D$24,(+'CALCULETTE (2)'!G761/'CALCULETTE (2)'!$B$612),0)</f>
        <v>0</v>
      </c>
      <c r="E364" s="22" t="str">
        <f t="shared" ref="E364:E395" si="114">IF(E$1=0,"",IF($B364&lt;E$23,E363+PPMT(E$26/12,$B364,E$23,E$235,-E$27,0),IF($B364=E$23,E363+PPMT(E$26/12,$B364,E$23,E$235,-E$27,0)-E$27,0)))</f>
        <v/>
      </c>
      <c r="F364" s="22" t="str">
        <f t="shared" ref="F364:F395" si="115">IF(F$1=0,"",IF($B364&lt;F$23,F363+PPMT(F$26/12,$B364,F$23,F$235,-F$27,0),IF($B364=F$23,F363+PPMT(F$26/12,$B364,F$23,F$235,-F$27,0)-F$27,0)))</f>
        <v/>
      </c>
      <c r="G364" s="22" t="str">
        <f t="shared" ref="G364:G395" si="116">IF(G$1=0,"",IF($B364&lt;G$23,G363+PPMT(G$26/12,$B364,G$23,G$235,-G$27,0),IF($B364=G$23,G363+PPMT(G$26/12,$B364,G$23,G$235,-G$27,0)-G$27,0)))</f>
        <v/>
      </c>
      <c r="H364" s="22" t="str">
        <f t="shared" ref="H364:H395" si="117">IF(H$1=0,"",IF($B364&lt;H$23,H363+PPMT(H$26/12,$B364,H$23,H$235,-H$27,0),IF($B364=H$23,H363+PPMT(H$26/12,$B364,H$23,H$235,-H$27,0)-H$27,0)))</f>
        <v/>
      </c>
      <c r="I364" s="22" t="str">
        <f t="shared" ref="I364:I395" si="118">IF(I$1=0,"",IF($B364&lt;I$23,I363+PPMT(I$26/12,$B364,I$23,I$235,-I$27,0),IF($B364=I$23,I363+PPMT(I$26/12,$B364,I$23,I$235,-I$27,0)-I$27,0)))</f>
        <v/>
      </c>
      <c r="J364" s="22" t="str">
        <f t="shared" ref="J364:J395" si="119">IF(J$1=0,"",IF($B364&lt;J$23,J363+PPMT(J$26/12,$B364,J$23,J$235,-J$27,0),IF($B364=J$23,J363+PPMT(J$26/12,$B364,J$23,J$235,-J$27,0)-J$27,0)))</f>
        <v/>
      </c>
      <c r="K364" s="22" t="str">
        <f t="shared" ref="K364:K395" si="120">IF(K$1=0,"",IF($B364&lt;K$23,K363+PPMT(K$26/12,$B364,K$23,K$235,-K$27,0),IF($B364=K$23,K363+PPMT(K$26/12,$B364,K$23,K$235,-K$27,0)-K$27,0)))</f>
        <v/>
      </c>
      <c r="L364" s="22" t="str">
        <f t="shared" ref="L364:L395" si="121">IF(L$1=0,"",IF($B364&lt;L$23,L363+PPMT(L$26/12,$B364,L$23,L$235,-L$27,0),IF($B364=L$23,L363+PPMT(L$26/12,$B364,L$23,L$235,-L$27,0)-L$27,0)))</f>
        <v/>
      </c>
      <c r="M364" s="22" t="str">
        <f t="shared" ref="M364:M395" si="122">IF(M$1=0,"",IF($B364&lt;M$23,M363+PPMT(M$26/12,$B364,M$23,M$235,-M$27,0),IF($B364=M$23,M363+PPMT(M$26/12,$B364,M$23,M$235,-M$27,0)-M$27,0)))</f>
        <v/>
      </c>
      <c r="N364" s="103"/>
      <c r="O364" s="102"/>
    </row>
    <row r="365" spans="2:15" hidden="1" outlineLevel="1" x14ac:dyDescent="0.2">
      <c r="B365" s="2">
        <f t="shared" si="113"/>
        <v>130</v>
      </c>
      <c r="D365" s="22">
        <f>IF(B365&lt;$D$24,(+'CALCULETTE (2)'!G762/'CALCULETTE (2)'!$B$612),0)</f>
        <v>0</v>
      </c>
      <c r="E365" s="22" t="str">
        <f t="shared" si="114"/>
        <v/>
      </c>
      <c r="F365" s="22" t="str">
        <f t="shared" si="115"/>
        <v/>
      </c>
      <c r="G365" s="22" t="str">
        <f t="shared" si="116"/>
        <v/>
      </c>
      <c r="H365" s="22" t="str">
        <f t="shared" si="117"/>
        <v/>
      </c>
      <c r="I365" s="22" t="str">
        <f t="shared" si="118"/>
        <v/>
      </c>
      <c r="J365" s="22" t="str">
        <f t="shared" si="119"/>
        <v/>
      </c>
      <c r="K365" s="22" t="str">
        <f t="shared" si="120"/>
        <v/>
      </c>
      <c r="L365" s="22" t="str">
        <f t="shared" si="121"/>
        <v/>
      </c>
      <c r="M365" s="22" t="str">
        <f t="shared" si="122"/>
        <v/>
      </c>
      <c r="N365" s="103"/>
      <c r="O365" s="102"/>
    </row>
    <row r="366" spans="2:15" hidden="1" outlineLevel="1" x14ac:dyDescent="0.2">
      <c r="B366" s="2">
        <f t="shared" si="113"/>
        <v>131</v>
      </c>
      <c r="D366" s="22">
        <f>IF(B366&lt;$D$24,(+'CALCULETTE (2)'!G763/'CALCULETTE (2)'!$B$612),0)</f>
        <v>0</v>
      </c>
      <c r="E366" s="22" t="str">
        <f t="shared" si="114"/>
        <v/>
      </c>
      <c r="F366" s="22" t="str">
        <f t="shared" si="115"/>
        <v/>
      </c>
      <c r="G366" s="22" t="str">
        <f t="shared" si="116"/>
        <v/>
      </c>
      <c r="H366" s="22" t="str">
        <f t="shared" si="117"/>
        <v/>
      </c>
      <c r="I366" s="22" t="str">
        <f t="shared" si="118"/>
        <v/>
      </c>
      <c r="J366" s="22" t="str">
        <f t="shared" si="119"/>
        <v/>
      </c>
      <c r="K366" s="22" t="str">
        <f t="shared" si="120"/>
        <v/>
      </c>
      <c r="L366" s="22" t="str">
        <f t="shared" si="121"/>
        <v/>
      </c>
      <c r="M366" s="22" t="str">
        <f t="shared" si="122"/>
        <v/>
      </c>
      <c r="N366" s="103"/>
      <c r="O366" s="102"/>
    </row>
    <row r="367" spans="2:15" hidden="1" outlineLevel="1" x14ac:dyDescent="0.2">
      <c r="B367" s="2">
        <f t="shared" si="113"/>
        <v>132</v>
      </c>
      <c r="D367" s="22">
        <f>IF(B367&lt;$D$24,(+'CALCULETTE (2)'!G764/'CALCULETTE (2)'!$B$612),0)</f>
        <v>0</v>
      </c>
      <c r="E367" s="22" t="str">
        <f t="shared" si="114"/>
        <v/>
      </c>
      <c r="F367" s="22" t="str">
        <f t="shared" si="115"/>
        <v/>
      </c>
      <c r="G367" s="22" t="str">
        <f t="shared" si="116"/>
        <v/>
      </c>
      <c r="H367" s="22" t="str">
        <f t="shared" si="117"/>
        <v/>
      </c>
      <c r="I367" s="22" t="str">
        <f t="shared" si="118"/>
        <v/>
      </c>
      <c r="J367" s="22" t="str">
        <f t="shared" si="119"/>
        <v/>
      </c>
      <c r="K367" s="22" t="str">
        <f t="shared" si="120"/>
        <v/>
      </c>
      <c r="L367" s="22" t="str">
        <f t="shared" si="121"/>
        <v/>
      </c>
      <c r="M367" s="22" t="str">
        <f t="shared" si="122"/>
        <v/>
      </c>
      <c r="N367" s="103"/>
      <c r="O367" s="102"/>
    </row>
    <row r="368" spans="2:15" hidden="1" outlineLevel="1" x14ac:dyDescent="0.2">
      <c r="B368" s="2">
        <f t="shared" si="113"/>
        <v>133</v>
      </c>
      <c r="D368" s="22">
        <f>IF(B368&lt;$D$24,(+'CALCULETTE (2)'!G765/'CALCULETTE (2)'!$B$612),0)</f>
        <v>0</v>
      </c>
      <c r="E368" s="22" t="str">
        <f t="shared" si="114"/>
        <v/>
      </c>
      <c r="F368" s="22" t="str">
        <f t="shared" si="115"/>
        <v/>
      </c>
      <c r="G368" s="22" t="str">
        <f t="shared" si="116"/>
        <v/>
      </c>
      <c r="H368" s="22" t="str">
        <f t="shared" si="117"/>
        <v/>
      </c>
      <c r="I368" s="22" t="str">
        <f t="shared" si="118"/>
        <v/>
      </c>
      <c r="J368" s="22" t="str">
        <f t="shared" si="119"/>
        <v/>
      </c>
      <c r="K368" s="22" t="str">
        <f t="shared" si="120"/>
        <v/>
      </c>
      <c r="L368" s="22" t="str">
        <f t="shared" si="121"/>
        <v/>
      </c>
      <c r="M368" s="22" t="str">
        <f t="shared" si="122"/>
        <v/>
      </c>
      <c r="N368" s="103"/>
      <c r="O368" s="102"/>
    </row>
    <row r="369" spans="2:15" hidden="1" outlineLevel="1" x14ac:dyDescent="0.2">
      <c r="B369" s="2">
        <f t="shared" si="113"/>
        <v>134</v>
      </c>
      <c r="D369" s="22">
        <f>IF(B369&lt;$D$24,(+'CALCULETTE (2)'!G766/'CALCULETTE (2)'!$B$612),0)</f>
        <v>0</v>
      </c>
      <c r="E369" s="22" t="str">
        <f t="shared" si="114"/>
        <v/>
      </c>
      <c r="F369" s="22" t="str">
        <f t="shared" si="115"/>
        <v/>
      </c>
      <c r="G369" s="22" t="str">
        <f t="shared" si="116"/>
        <v/>
      </c>
      <c r="H369" s="22" t="str">
        <f t="shared" si="117"/>
        <v/>
      </c>
      <c r="I369" s="22" t="str">
        <f t="shared" si="118"/>
        <v/>
      </c>
      <c r="J369" s="22" t="str">
        <f t="shared" si="119"/>
        <v/>
      </c>
      <c r="K369" s="22" t="str">
        <f t="shared" si="120"/>
        <v/>
      </c>
      <c r="L369" s="22" t="str">
        <f t="shared" si="121"/>
        <v/>
      </c>
      <c r="M369" s="22" t="str">
        <f t="shared" si="122"/>
        <v/>
      </c>
      <c r="N369" s="103"/>
      <c r="O369" s="102"/>
    </row>
    <row r="370" spans="2:15" hidden="1" outlineLevel="1" x14ac:dyDescent="0.2">
      <c r="B370" s="2">
        <f t="shared" si="113"/>
        <v>135</v>
      </c>
      <c r="D370" s="22">
        <f>IF(B370&lt;$D$24,(+'CALCULETTE (2)'!G767/'CALCULETTE (2)'!$B$612),0)</f>
        <v>0</v>
      </c>
      <c r="E370" s="22" t="str">
        <f t="shared" si="114"/>
        <v/>
      </c>
      <c r="F370" s="22" t="str">
        <f t="shared" si="115"/>
        <v/>
      </c>
      <c r="G370" s="22" t="str">
        <f t="shared" si="116"/>
        <v/>
      </c>
      <c r="H370" s="22" t="str">
        <f t="shared" si="117"/>
        <v/>
      </c>
      <c r="I370" s="22" t="str">
        <f t="shared" si="118"/>
        <v/>
      </c>
      <c r="J370" s="22" t="str">
        <f t="shared" si="119"/>
        <v/>
      </c>
      <c r="K370" s="22" t="str">
        <f t="shared" si="120"/>
        <v/>
      </c>
      <c r="L370" s="22" t="str">
        <f t="shared" si="121"/>
        <v/>
      </c>
      <c r="M370" s="22" t="str">
        <f t="shared" si="122"/>
        <v/>
      </c>
      <c r="N370" s="103"/>
      <c r="O370" s="102"/>
    </row>
    <row r="371" spans="2:15" hidden="1" outlineLevel="1" x14ac:dyDescent="0.2">
      <c r="B371" s="2">
        <f t="shared" si="113"/>
        <v>136</v>
      </c>
      <c r="D371" s="22">
        <f>IF(B371&lt;$D$24,(+'CALCULETTE (2)'!G768/'CALCULETTE (2)'!$B$612),0)</f>
        <v>0</v>
      </c>
      <c r="E371" s="22" t="str">
        <f t="shared" si="114"/>
        <v/>
      </c>
      <c r="F371" s="22" t="str">
        <f t="shared" si="115"/>
        <v/>
      </c>
      <c r="G371" s="22" t="str">
        <f t="shared" si="116"/>
        <v/>
      </c>
      <c r="H371" s="22" t="str">
        <f t="shared" si="117"/>
        <v/>
      </c>
      <c r="I371" s="22" t="str">
        <f t="shared" si="118"/>
        <v/>
      </c>
      <c r="J371" s="22" t="str">
        <f t="shared" si="119"/>
        <v/>
      </c>
      <c r="K371" s="22" t="str">
        <f t="shared" si="120"/>
        <v/>
      </c>
      <c r="L371" s="22" t="str">
        <f t="shared" si="121"/>
        <v/>
      </c>
      <c r="M371" s="22" t="str">
        <f t="shared" si="122"/>
        <v/>
      </c>
      <c r="N371" s="103"/>
      <c r="O371" s="102"/>
    </row>
    <row r="372" spans="2:15" hidden="1" outlineLevel="1" x14ac:dyDescent="0.2">
      <c r="B372" s="2">
        <f t="shared" si="113"/>
        <v>137</v>
      </c>
      <c r="D372" s="22">
        <f>IF(B372&lt;$D$24,(+'CALCULETTE (2)'!G769/'CALCULETTE (2)'!$B$612),0)</f>
        <v>0</v>
      </c>
      <c r="E372" s="22" t="str">
        <f t="shared" si="114"/>
        <v/>
      </c>
      <c r="F372" s="22" t="str">
        <f t="shared" si="115"/>
        <v/>
      </c>
      <c r="G372" s="22" t="str">
        <f t="shared" si="116"/>
        <v/>
      </c>
      <c r="H372" s="22" t="str">
        <f t="shared" si="117"/>
        <v/>
      </c>
      <c r="I372" s="22" t="str">
        <f t="shared" si="118"/>
        <v/>
      </c>
      <c r="J372" s="22" t="str">
        <f t="shared" si="119"/>
        <v/>
      </c>
      <c r="K372" s="22" t="str">
        <f t="shared" si="120"/>
        <v/>
      </c>
      <c r="L372" s="22" t="str">
        <f t="shared" si="121"/>
        <v/>
      </c>
      <c r="M372" s="22" t="str">
        <f t="shared" si="122"/>
        <v/>
      </c>
      <c r="N372" s="103"/>
      <c r="O372" s="102"/>
    </row>
    <row r="373" spans="2:15" hidden="1" outlineLevel="1" x14ac:dyDescent="0.2">
      <c r="B373" s="2">
        <f t="shared" si="113"/>
        <v>138</v>
      </c>
      <c r="D373" s="22">
        <f>IF(B373&lt;$D$24,(+'CALCULETTE (2)'!G770/'CALCULETTE (2)'!$B$612),0)</f>
        <v>0</v>
      </c>
      <c r="E373" s="22" t="str">
        <f t="shared" si="114"/>
        <v/>
      </c>
      <c r="F373" s="22" t="str">
        <f t="shared" si="115"/>
        <v/>
      </c>
      <c r="G373" s="22" t="str">
        <f t="shared" si="116"/>
        <v/>
      </c>
      <c r="H373" s="22" t="str">
        <f t="shared" si="117"/>
        <v/>
      </c>
      <c r="I373" s="22" t="str">
        <f t="shared" si="118"/>
        <v/>
      </c>
      <c r="J373" s="22" t="str">
        <f t="shared" si="119"/>
        <v/>
      </c>
      <c r="K373" s="22" t="str">
        <f t="shared" si="120"/>
        <v/>
      </c>
      <c r="L373" s="22" t="str">
        <f t="shared" si="121"/>
        <v/>
      </c>
      <c r="M373" s="22" t="str">
        <f t="shared" si="122"/>
        <v/>
      </c>
      <c r="N373" s="103"/>
      <c r="O373" s="102"/>
    </row>
    <row r="374" spans="2:15" hidden="1" outlineLevel="1" x14ac:dyDescent="0.2">
      <c r="B374" s="2">
        <f t="shared" si="113"/>
        <v>139</v>
      </c>
      <c r="D374" s="22">
        <f>IF(B374&lt;$D$24,(+'CALCULETTE (2)'!G771/'CALCULETTE (2)'!$B$612),0)</f>
        <v>0</v>
      </c>
      <c r="E374" s="22" t="str">
        <f t="shared" si="114"/>
        <v/>
      </c>
      <c r="F374" s="22" t="str">
        <f t="shared" si="115"/>
        <v/>
      </c>
      <c r="G374" s="22" t="str">
        <f t="shared" si="116"/>
        <v/>
      </c>
      <c r="H374" s="22" t="str">
        <f t="shared" si="117"/>
        <v/>
      </c>
      <c r="I374" s="22" t="str">
        <f t="shared" si="118"/>
        <v/>
      </c>
      <c r="J374" s="22" t="str">
        <f t="shared" si="119"/>
        <v/>
      </c>
      <c r="K374" s="22" t="str">
        <f t="shared" si="120"/>
        <v/>
      </c>
      <c r="L374" s="22" t="str">
        <f t="shared" si="121"/>
        <v/>
      </c>
      <c r="M374" s="22" t="str">
        <f t="shared" si="122"/>
        <v/>
      </c>
      <c r="N374" s="103"/>
      <c r="O374" s="102"/>
    </row>
    <row r="375" spans="2:15" hidden="1" outlineLevel="1" x14ac:dyDescent="0.2">
      <c r="B375" s="2">
        <f t="shared" si="113"/>
        <v>140</v>
      </c>
      <c r="D375" s="22">
        <f>IF(B375&lt;$D$24,(+'CALCULETTE (2)'!G772/'CALCULETTE (2)'!$B$612),0)</f>
        <v>0</v>
      </c>
      <c r="E375" s="22" t="str">
        <f t="shared" si="114"/>
        <v/>
      </c>
      <c r="F375" s="22" t="str">
        <f t="shared" si="115"/>
        <v/>
      </c>
      <c r="G375" s="22" t="str">
        <f t="shared" si="116"/>
        <v/>
      </c>
      <c r="H375" s="22" t="str">
        <f t="shared" si="117"/>
        <v/>
      </c>
      <c r="I375" s="22" t="str">
        <f t="shared" si="118"/>
        <v/>
      </c>
      <c r="J375" s="22" t="str">
        <f t="shared" si="119"/>
        <v/>
      </c>
      <c r="K375" s="22" t="str">
        <f t="shared" si="120"/>
        <v/>
      </c>
      <c r="L375" s="22" t="str">
        <f t="shared" si="121"/>
        <v/>
      </c>
      <c r="M375" s="22" t="str">
        <f t="shared" si="122"/>
        <v/>
      </c>
      <c r="N375" s="103"/>
      <c r="O375" s="102"/>
    </row>
    <row r="376" spans="2:15" hidden="1" outlineLevel="1" x14ac:dyDescent="0.2">
      <c r="B376" s="2">
        <f t="shared" si="113"/>
        <v>141</v>
      </c>
      <c r="D376" s="22">
        <f>IF(B376&lt;$D$24,(+'CALCULETTE (2)'!G773/'CALCULETTE (2)'!$B$612),0)</f>
        <v>0</v>
      </c>
      <c r="E376" s="22" t="str">
        <f t="shared" si="114"/>
        <v/>
      </c>
      <c r="F376" s="22" t="str">
        <f t="shared" si="115"/>
        <v/>
      </c>
      <c r="G376" s="22" t="str">
        <f t="shared" si="116"/>
        <v/>
      </c>
      <c r="H376" s="22" t="str">
        <f t="shared" si="117"/>
        <v/>
      </c>
      <c r="I376" s="22" t="str">
        <f t="shared" si="118"/>
        <v/>
      </c>
      <c r="J376" s="22" t="str">
        <f t="shared" si="119"/>
        <v/>
      </c>
      <c r="K376" s="22" t="str">
        <f t="shared" si="120"/>
        <v/>
      </c>
      <c r="L376" s="22" t="str">
        <f t="shared" si="121"/>
        <v/>
      </c>
      <c r="M376" s="22" t="str">
        <f t="shared" si="122"/>
        <v/>
      </c>
      <c r="N376" s="103"/>
      <c r="O376" s="102"/>
    </row>
    <row r="377" spans="2:15" hidden="1" outlineLevel="1" x14ac:dyDescent="0.2">
      <c r="B377" s="2">
        <f t="shared" si="113"/>
        <v>142</v>
      </c>
      <c r="D377" s="22">
        <f>IF(B377&lt;$D$24,(+'CALCULETTE (2)'!G774/'CALCULETTE (2)'!$B$612),0)</f>
        <v>0</v>
      </c>
      <c r="E377" s="22" t="str">
        <f t="shared" si="114"/>
        <v/>
      </c>
      <c r="F377" s="22" t="str">
        <f t="shared" si="115"/>
        <v/>
      </c>
      <c r="G377" s="22" t="str">
        <f t="shared" si="116"/>
        <v/>
      </c>
      <c r="H377" s="22" t="str">
        <f t="shared" si="117"/>
        <v/>
      </c>
      <c r="I377" s="22" t="str">
        <f t="shared" si="118"/>
        <v/>
      </c>
      <c r="J377" s="22" t="str">
        <f t="shared" si="119"/>
        <v/>
      </c>
      <c r="K377" s="22" t="str">
        <f t="shared" si="120"/>
        <v/>
      </c>
      <c r="L377" s="22" t="str">
        <f t="shared" si="121"/>
        <v/>
      </c>
      <c r="M377" s="22" t="str">
        <f t="shared" si="122"/>
        <v/>
      </c>
      <c r="N377" s="103"/>
      <c r="O377" s="102"/>
    </row>
    <row r="378" spans="2:15" hidden="1" outlineLevel="1" x14ac:dyDescent="0.2">
      <c r="B378" s="2">
        <f t="shared" si="113"/>
        <v>143</v>
      </c>
      <c r="D378" s="22">
        <f>IF(B378&lt;$D$24,(+'CALCULETTE (2)'!G775/'CALCULETTE (2)'!$B$612),0)</f>
        <v>0</v>
      </c>
      <c r="E378" s="22" t="str">
        <f t="shared" si="114"/>
        <v/>
      </c>
      <c r="F378" s="22" t="str">
        <f t="shared" si="115"/>
        <v/>
      </c>
      <c r="G378" s="22" t="str">
        <f t="shared" si="116"/>
        <v/>
      </c>
      <c r="H378" s="22" t="str">
        <f t="shared" si="117"/>
        <v/>
      </c>
      <c r="I378" s="22" t="str">
        <f t="shared" si="118"/>
        <v/>
      </c>
      <c r="J378" s="22" t="str">
        <f t="shared" si="119"/>
        <v/>
      </c>
      <c r="K378" s="22" t="str">
        <f t="shared" si="120"/>
        <v/>
      </c>
      <c r="L378" s="22" t="str">
        <f t="shared" si="121"/>
        <v/>
      </c>
      <c r="M378" s="22" t="str">
        <f t="shared" si="122"/>
        <v/>
      </c>
      <c r="N378" s="103"/>
      <c r="O378" s="102"/>
    </row>
    <row r="379" spans="2:15" hidden="1" outlineLevel="1" x14ac:dyDescent="0.2">
      <c r="B379" s="2">
        <f t="shared" si="113"/>
        <v>144</v>
      </c>
      <c r="D379" s="22">
        <f>IF(B379&lt;$D$24,(+'CALCULETTE (2)'!G776/'CALCULETTE (2)'!$B$612),0)</f>
        <v>0</v>
      </c>
      <c r="E379" s="22" t="str">
        <f t="shared" si="114"/>
        <v/>
      </c>
      <c r="F379" s="22" t="str">
        <f t="shared" si="115"/>
        <v/>
      </c>
      <c r="G379" s="22" t="str">
        <f t="shared" si="116"/>
        <v/>
      </c>
      <c r="H379" s="22" t="str">
        <f t="shared" si="117"/>
        <v/>
      </c>
      <c r="I379" s="22" t="str">
        <f t="shared" si="118"/>
        <v/>
      </c>
      <c r="J379" s="22" t="str">
        <f t="shared" si="119"/>
        <v/>
      </c>
      <c r="K379" s="22" t="str">
        <f t="shared" si="120"/>
        <v/>
      </c>
      <c r="L379" s="22" t="str">
        <f t="shared" si="121"/>
        <v/>
      </c>
      <c r="M379" s="22" t="str">
        <f t="shared" si="122"/>
        <v/>
      </c>
      <c r="N379" s="103"/>
      <c r="O379" s="102"/>
    </row>
    <row r="380" spans="2:15" hidden="1" outlineLevel="1" x14ac:dyDescent="0.2">
      <c r="B380" s="2">
        <f t="shared" si="113"/>
        <v>145</v>
      </c>
      <c r="D380" s="22">
        <f>IF(B380&lt;$D$24,(+'CALCULETTE (2)'!G777/'CALCULETTE (2)'!$B$612),0)</f>
        <v>0</v>
      </c>
      <c r="E380" s="22" t="str">
        <f t="shared" si="114"/>
        <v/>
      </c>
      <c r="F380" s="22" t="str">
        <f t="shared" si="115"/>
        <v/>
      </c>
      <c r="G380" s="22" t="str">
        <f t="shared" si="116"/>
        <v/>
      </c>
      <c r="H380" s="22" t="str">
        <f t="shared" si="117"/>
        <v/>
      </c>
      <c r="I380" s="22" t="str">
        <f t="shared" si="118"/>
        <v/>
      </c>
      <c r="J380" s="22" t="str">
        <f t="shared" si="119"/>
        <v/>
      </c>
      <c r="K380" s="22" t="str">
        <f t="shared" si="120"/>
        <v/>
      </c>
      <c r="L380" s="22" t="str">
        <f t="shared" si="121"/>
        <v/>
      </c>
      <c r="M380" s="22" t="str">
        <f t="shared" si="122"/>
        <v/>
      </c>
      <c r="N380" s="103"/>
      <c r="O380" s="102"/>
    </row>
    <row r="381" spans="2:15" hidden="1" outlineLevel="1" x14ac:dyDescent="0.2">
      <c r="B381" s="2">
        <f t="shared" si="113"/>
        <v>146</v>
      </c>
      <c r="D381" s="22">
        <f>IF(B381&lt;$D$24,(+'CALCULETTE (2)'!G778/'CALCULETTE (2)'!$B$612),0)</f>
        <v>0</v>
      </c>
      <c r="E381" s="22" t="str">
        <f t="shared" si="114"/>
        <v/>
      </c>
      <c r="F381" s="22" t="str">
        <f t="shared" si="115"/>
        <v/>
      </c>
      <c r="G381" s="22" t="str">
        <f t="shared" si="116"/>
        <v/>
      </c>
      <c r="H381" s="22" t="str">
        <f t="shared" si="117"/>
        <v/>
      </c>
      <c r="I381" s="22" t="str">
        <f t="shared" si="118"/>
        <v/>
      </c>
      <c r="J381" s="22" t="str">
        <f t="shared" si="119"/>
        <v/>
      </c>
      <c r="K381" s="22" t="str">
        <f t="shared" si="120"/>
        <v/>
      </c>
      <c r="L381" s="22" t="str">
        <f t="shared" si="121"/>
        <v/>
      </c>
      <c r="M381" s="22" t="str">
        <f t="shared" si="122"/>
        <v/>
      </c>
      <c r="N381" s="103"/>
      <c r="O381" s="102"/>
    </row>
    <row r="382" spans="2:15" hidden="1" outlineLevel="1" x14ac:dyDescent="0.2">
      <c r="B382" s="2">
        <f t="shared" si="113"/>
        <v>147</v>
      </c>
      <c r="D382" s="22">
        <f>IF(B382&lt;$D$24,(+'CALCULETTE (2)'!G779/'CALCULETTE (2)'!$B$612),0)</f>
        <v>0</v>
      </c>
      <c r="E382" s="22" t="str">
        <f t="shared" si="114"/>
        <v/>
      </c>
      <c r="F382" s="22" t="str">
        <f t="shared" si="115"/>
        <v/>
      </c>
      <c r="G382" s="22" t="str">
        <f t="shared" si="116"/>
        <v/>
      </c>
      <c r="H382" s="22" t="str">
        <f t="shared" si="117"/>
        <v/>
      </c>
      <c r="I382" s="22" t="str">
        <f t="shared" si="118"/>
        <v/>
      </c>
      <c r="J382" s="22" t="str">
        <f t="shared" si="119"/>
        <v/>
      </c>
      <c r="K382" s="22" t="str">
        <f t="shared" si="120"/>
        <v/>
      </c>
      <c r="L382" s="22" t="str">
        <f t="shared" si="121"/>
        <v/>
      </c>
      <c r="M382" s="22" t="str">
        <f t="shared" si="122"/>
        <v/>
      </c>
      <c r="N382" s="103"/>
      <c r="O382" s="102"/>
    </row>
    <row r="383" spans="2:15" hidden="1" outlineLevel="1" x14ac:dyDescent="0.2">
      <c r="B383" s="2">
        <f t="shared" si="113"/>
        <v>148</v>
      </c>
      <c r="D383" s="22">
        <f>IF(B383&lt;$D$24,(+'CALCULETTE (2)'!G780/'CALCULETTE (2)'!$B$612),0)</f>
        <v>0</v>
      </c>
      <c r="E383" s="22" t="str">
        <f t="shared" si="114"/>
        <v/>
      </c>
      <c r="F383" s="22" t="str">
        <f t="shared" si="115"/>
        <v/>
      </c>
      <c r="G383" s="22" t="str">
        <f t="shared" si="116"/>
        <v/>
      </c>
      <c r="H383" s="22" t="str">
        <f t="shared" si="117"/>
        <v/>
      </c>
      <c r="I383" s="22" t="str">
        <f t="shared" si="118"/>
        <v/>
      </c>
      <c r="J383" s="22" t="str">
        <f t="shared" si="119"/>
        <v/>
      </c>
      <c r="K383" s="22" t="str">
        <f t="shared" si="120"/>
        <v/>
      </c>
      <c r="L383" s="22" t="str">
        <f t="shared" si="121"/>
        <v/>
      </c>
      <c r="M383" s="22" t="str">
        <f t="shared" si="122"/>
        <v/>
      </c>
      <c r="N383" s="103"/>
      <c r="O383" s="102"/>
    </row>
    <row r="384" spans="2:15" hidden="1" outlineLevel="1" x14ac:dyDescent="0.2">
      <c r="B384" s="2">
        <f t="shared" si="113"/>
        <v>149</v>
      </c>
      <c r="D384" s="22">
        <f>IF(B384&lt;$D$24,(+'CALCULETTE (2)'!G781/'CALCULETTE (2)'!$B$612),0)</f>
        <v>0</v>
      </c>
      <c r="E384" s="22" t="str">
        <f t="shared" si="114"/>
        <v/>
      </c>
      <c r="F384" s="22" t="str">
        <f t="shared" si="115"/>
        <v/>
      </c>
      <c r="G384" s="22" t="str">
        <f t="shared" si="116"/>
        <v/>
      </c>
      <c r="H384" s="22" t="str">
        <f t="shared" si="117"/>
        <v/>
      </c>
      <c r="I384" s="22" t="str">
        <f t="shared" si="118"/>
        <v/>
      </c>
      <c r="J384" s="22" t="str">
        <f t="shared" si="119"/>
        <v/>
      </c>
      <c r="K384" s="22" t="str">
        <f t="shared" si="120"/>
        <v/>
      </c>
      <c r="L384" s="22" t="str">
        <f t="shared" si="121"/>
        <v/>
      </c>
      <c r="M384" s="22" t="str">
        <f t="shared" si="122"/>
        <v/>
      </c>
      <c r="N384" s="103"/>
      <c r="O384" s="102"/>
    </row>
    <row r="385" spans="2:15" hidden="1" outlineLevel="1" x14ac:dyDescent="0.2">
      <c r="B385" s="2">
        <f t="shared" si="113"/>
        <v>150</v>
      </c>
      <c r="D385" s="22">
        <f>IF(B385&lt;$D$24,(+'CALCULETTE (2)'!G782/'CALCULETTE (2)'!$B$612),0)</f>
        <v>0</v>
      </c>
      <c r="E385" s="22" t="str">
        <f t="shared" si="114"/>
        <v/>
      </c>
      <c r="F385" s="22" t="str">
        <f t="shared" si="115"/>
        <v/>
      </c>
      <c r="G385" s="22" t="str">
        <f t="shared" si="116"/>
        <v/>
      </c>
      <c r="H385" s="22" t="str">
        <f t="shared" si="117"/>
        <v/>
      </c>
      <c r="I385" s="22" t="str">
        <f t="shared" si="118"/>
        <v/>
      </c>
      <c r="J385" s="22" t="str">
        <f t="shared" si="119"/>
        <v/>
      </c>
      <c r="K385" s="22" t="str">
        <f t="shared" si="120"/>
        <v/>
      </c>
      <c r="L385" s="22" t="str">
        <f t="shared" si="121"/>
        <v/>
      </c>
      <c r="M385" s="22" t="str">
        <f t="shared" si="122"/>
        <v/>
      </c>
      <c r="N385" s="103"/>
      <c r="O385" s="102"/>
    </row>
    <row r="386" spans="2:15" hidden="1" outlineLevel="1" x14ac:dyDescent="0.2">
      <c r="B386" s="2">
        <f t="shared" si="113"/>
        <v>151</v>
      </c>
      <c r="D386" s="22">
        <f>IF(B386&lt;$D$24,(+'CALCULETTE (2)'!G783/'CALCULETTE (2)'!$B$612),0)</f>
        <v>0</v>
      </c>
      <c r="E386" s="22" t="str">
        <f t="shared" si="114"/>
        <v/>
      </c>
      <c r="F386" s="22" t="str">
        <f t="shared" si="115"/>
        <v/>
      </c>
      <c r="G386" s="22" t="str">
        <f t="shared" si="116"/>
        <v/>
      </c>
      <c r="H386" s="22" t="str">
        <f t="shared" si="117"/>
        <v/>
      </c>
      <c r="I386" s="22" t="str">
        <f t="shared" si="118"/>
        <v/>
      </c>
      <c r="J386" s="22" t="str">
        <f t="shared" si="119"/>
        <v/>
      </c>
      <c r="K386" s="22" t="str">
        <f t="shared" si="120"/>
        <v/>
      </c>
      <c r="L386" s="22" t="str">
        <f t="shared" si="121"/>
        <v/>
      </c>
      <c r="M386" s="22" t="str">
        <f t="shared" si="122"/>
        <v/>
      </c>
      <c r="N386" s="103"/>
      <c r="O386" s="102"/>
    </row>
    <row r="387" spans="2:15" hidden="1" outlineLevel="1" x14ac:dyDescent="0.2">
      <c r="B387" s="2">
        <f t="shared" si="113"/>
        <v>152</v>
      </c>
      <c r="D387" s="22">
        <f>IF(B387&lt;$D$24,(+'CALCULETTE (2)'!G784/'CALCULETTE (2)'!$B$612),0)</f>
        <v>0</v>
      </c>
      <c r="E387" s="22" t="str">
        <f t="shared" si="114"/>
        <v/>
      </c>
      <c r="F387" s="22" t="str">
        <f t="shared" si="115"/>
        <v/>
      </c>
      <c r="G387" s="22" t="str">
        <f t="shared" si="116"/>
        <v/>
      </c>
      <c r="H387" s="22" t="str">
        <f t="shared" si="117"/>
        <v/>
      </c>
      <c r="I387" s="22" t="str">
        <f t="shared" si="118"/>
        <v/>
      </c>
      <c r="J387" s="22" t="str">
        <f t="shared" si="119"/>
        <v/>
      </c>
      <c r="K387" s="22" t="str">
        <f t="shared" si="120"/>
        <v/>
      </c>
      <c r="L387" s="22" t="str">
        <f t="shared" si="121"/>
        <v/>
      </c>
      <c r="M387" s="22" t="str">
        <f t="shared" si="122"/>
        <v/>
      </c>
      <c r="N387" s="103"/>
      <c r="O387" s="102"/>
    </row>
    <row r="388" spans="2:15" hidden="1" outlineLevel="1" x14ac:dyDescent="0.2">
      <c r="B388" s="2">
        <f t="shared" si="113"/>
        <v>153</v>
      </c>
      <c r="D388" s="22">
        <f>IF(B388&lt;$D$24,(+'CALCULETTE (2)'!G785/'CALCULETTE (2)'!$B$612),0)</f>
        <v>0</v>
      </c>
      <c r="E388" s="22" t="str">
        <f t="shared" si="114"/>
        <v/>
      </c>
      <c r="F388" s="22" t="str">
        <f t="shared" si="115"/>
        <v/>
      </c>
      <c r="G388" s="22" t="str">
        <f t="shared" si="116"/>
        <v/>
      </c>
      <c r="H388" s="22" t="str">
        <f t="shared" si="117"/>
        <v/>
      </c>
      <c r="I388" s="22" t="str">
        <f t="shared" si="118"/>
        <v/>
      </c>
      <c r="J388" s="22" t="str">
        <f t="shared" si="119"/>
        <v/>
      </c>
      <c r="K388" s="22" t="str">
        <f t="shared" si="120"/>
        <v/>
      </c>
      <c r="L388" s="22" t="str">
        <f t="shared" si="121"/>
        <v/>
      </c>
      <c r="M388" s="22" t="str">
        <f t="shared" si="122"/>
        <v/>
      </c>
      <c r="N388" s="103"/>
      <c r="O388" s="102"/>
    </row>
    <row r="389" spans="2:15" hidden="1" outlineLevel="1" x14ac:dyDescent="0.2">
      <c r="B389" s="2">
        <f t="shared" si="113"/>
        <v>154</v>
      </c>
      <c r="D389" s="22">
        <f>IF(B389&lt;$D$24,(+'CALCULETTE (2)'!G786/'CALCULETTE (2)'!$B$612),0)</f>
        <v>0</v>
      </c>
      <c r="E389" s="22" t="str">
        <f t="shared" si="114"/>
        <v/>
      </c>
      <c r="F389" s="22" t="str">
        <f t="shared" si="115"/>
        <v/>
      </c>
      <c r="G389" s="22" t="str">
        <f t="shared" si="116"/>
        <v/>
      </c>
      <c r="H389" s="22" t="str">
        <f t="shared" si="117"/>
        <v/>
      </c>
      <c r="I389" s="22" t="str">
        <f t="shared" si="118"/>
        <v/>
      </c>
      <c r="J389" s="22" t="str">
        <f t="shared" si="119"/>
        <v/>
      </c>
      <c r="K389" s="22" t="str">
        <f t="shared" si="120"/>
        <v/>
      </c>
      <c r="L389" s="22" t="str">
        <f t="shared" si="121"/>
        <v/>
      </c>
      <c r="M389" s="22" t="str">
        <f t="shared" si="122"/>
        <v/>
      </c>
      <c r="N389" s="103"/>
      <c r="O389" s="102"/>
    </row>
    <row r="390" spans="2:15" hidden="1" outlineLevel="1" x14ac:dyDescent="0.2">
      <c r="B390" s="2">
        <f t="shared" si="113"/>
        <v>155</v>
      </c>
      <c r="D390" s="22">
        <f>IF(B390&lt;$D$24,(+'CALCULETTE (2)'!G787/'CALCULETTE (2)'!$B$612),0)</f>
        <v>0</v>
      </c>
      <c r="E390" s="22" t="str">
        <f t="shared" si="114"/>
        <v/>
      </c>
      <c r="F390" s="22" t="str">
        <f t="shared" si="115"/>
        <v/>
      </c>
      <c r="G390" s="22" t="str">
        <f t="shared" si="116"/>
        <v/>
      </c>
      <c r="H390" s="22" t="str">
        <f t="shared" si="117"/>
        <v/>
      </c>
      <c r="I390" s="22" t="str">
        <f t="shared" si="118"/>
        <v/>
      </c>
      <c r="J390" s="22" t="str">
        <f t="shared" si="119"/>
        <v/>
      </c>
      <c r="K390" s="22" t="str">
        <f t="shared" si="120"/>
        <v/>
      </c>
      <c r="L390" s="22" t="str">
        <f t="shared" si="121"/>
        <v/>
      </c>
      <c r="M390" s="22" t="str">
        <f t="shared" si="122"/>
        <v/>
      </c>
      <c r="N390" s="103"/>
      <c r="O390" s="102"/>
    </row>
    <row r="391" spans="2:15" hidden="1" outlineLevel="1" x14ac:dyDescent="0.2">
      <c r="B391" s="2">
        <f t="shared" si="113"/>
        <v>156</v>
      </c>
      <c r="D391" s="22">
        <f>IF(B391&lt;$D$24,(+'CALCULETTE (2)'!G788/'CALCULETTE (2)'!$B$612),0)</f>
        <v>0</v>
      </c>
      <c r="E391" s="22" t="str">
        <f t="shared" si="114"/>
        <v/>
      </c>
      <c r="F391" s="22" t="str">
        <f t="shared" si="115"/>
        <v/>
      </c>
      <c r="G391" s="22" t="str">
        <f t="shared" si="116"/>
        <v/>
      </c>
      <c r="H391" s="22" t="str">
        <f t="shared" si="117"/>
        <v/>
      </c>
      <c r="I391" s="22" t="str">
        <f t="shared" si="118"/>
        <v/>
      </c>
      <c r="J391" s="22" t="str">
        <f t="shared" si="119"/>
        <v/>
      </c>
      <c r="K391" s="22" t="str">
        <f t="shared" si="120"/>
        <v/>
      </c>
      <c r="L391" s="22" t="str">
        <f t="shared" si="121"/>
        <v/>
      </c>
      <c r="M391" s="22" t="str">
        <f t="shared" si="122"/>
        <v/>
      </c>
      <c r="N391" s="103"/>
      <c r="O391" s="102"/>
    </row>
    <row r="392" spans="2:15" hidden="1" outlineLevel="1" x14ac:dyDescent="0.2">
      <c r="B392" s="2">
        <f t="shared" si="113"/>
        <v>157</v>
      </c>
      <c r="D392" s="22">
        <f>IF(B392&lt;$D$24,(+'CALCULETTE (2)'!G789/'CALCULETTE (2)'!$B$612),0)</f>
        <v>0</v>
      </c>
      <c r="E392" s="22" t="str">
        <f t="shared" si="114"/>
        <v/>
      </c>
      <c r="F392" s="22" t="str">
        <f t="shared" si="115"/>
        <v/>
      </c>
      <c r="G392" s="22" t="str">
        <f t="shared" si="116"/>
        <v/>
      </c>
      <c r="H392" s="22" t="str">
        <f t="shared" si="117"/>
        <v/>
      </c>
      <c r="I392" s="22" t="str">
        <f t="shared" si="118"/>
        <v/>
      </c>
      <c r="J392" s="22" t="str">
        <f t="shared" si="119"/>
        <v/>
      </c>
      <c r="K392" s="22" t="str">
        <f t="shared" si="120"/>
        <v/>
      </c>
      <c r="L392" s="22" t="str">
        <f t="shared" si="121"/>
        <v/>
      </c>
      <c r="M392" s="22" t="str">
        <f t="shared" si="122"/>
        <v/>
      </c>
      <c r="N392" s="103"/>
      <c r="O392" s="102"/>
    </row>
    <row r="393" spans="2:15" hidden="1" outlineLevel="1" x14ac:dyDescent="0.2">
      <c r="B393" s="2">
        <f t="shared" si="113"/>
        <v>158</v>
      </c>
      <c r="D393" s="22">
        <f>IF(B393&lt;$D$24,(+'CALCULETTE (2)'!G790/'CALCULETTE (2)'!$B$612),0)</f>
        <v>0</v>
      </c>
      <c r="E393" s="22" t="str">
        <f t="shared" si="114"/>
        <v/>
      </c>
      <c r="F393" s="22" t="str">
        <f t="shared" si="115"/>
        <v/>
      </c>
      <c r="G393" s="22" t="str">
        <f t="shared" si="116"/>
        <v/>
      </c>
      <c r="H393" s="22" t="str">
        <f t="shared" si="117"/>
        <v/>
      </c>
      <c r="I393" s="22" t="str">
        <f t="shared" si="118"/>
        <v/>
      </c>
      <c r="J393" s="22" t="str">
        <f t="shared" si="119"/>
        <v/>
      </c>
      <c r="K393" s="22" t="str">
        <f t="shared" si="120"/>
        <v/>
      </c>
      <c r="L393" s="22" t="str">
        <f t="shared" si="121"/>
        <v/>
      </c>
      <c r="M393" s="22" t="str">
        <f t="shared" si="122"/>
        <v/>
      </c>
      <c r="N393" s="103"/>
      <c r="O393" s="102"/>
    </row>
    <row r="394" spans="2:15" hidden="1" outlineLevel="1" x14ac:dyDescent="0.2">
      <c r="B394" s="2">
        <f t="shared" si="113"/>
        <v>159</v>
      </c>
      <c r="D394" s="22">
        <f>IF(B394&lt;$D$24,(+'CALCULETTE (2)'!G791/'CALCULETTE (2)'!$B$612),0)</f>
        <v>0</v>
      </c>
      <c r="E394" s="22" t="str">
        <f t="shared" si="114"/>
        <v/>
      </c>
      <c r="F394" s="22" t="str">
        <f t="shared" si="115"/>
        <v/>
      </c>
      <c r="G394" s="22" t="str">
        <f t="shared" si="116"/>
        <v/>
      </c>
      <c r="H394" s="22" t="str">
        <f t="shared" si="117"/>
        <v/>
      </c>
      <c r="I394" s="22" t="str">
        <f t="shared" si="118"/>
        <v/>
      </c>
      <c r="J394" s="22" t="str">
        <f t="shared" si="119"/>
        <v/>
      </c>
      <c r="K394" s="22" t="str">
        <f t="shared" si="120"/>
        <v/>
      </c>
      <c r="L394" s="22" t="str">
        <f t="shared" si="121"/>
        <v/>
      </c>
      <c r="M394" s="22" t="str">
        <f t="shared" si="122"/>
        <v/>
      </c>
      <c r="N394" s="103"/>
      <c r="O394" s="102"/>
    </row>
    <row r="395" spans="2:15" hidden="1" outlineLevel="1" x14ac:dyDescent="0.2">
      <c r="B395" s="2">
        <f t="shared" si="113"/>
        <v>160</v>
      </c>
      <c r="D395" s="22">
        <f>IF(B395&lt;$D$24,(+'CALCULETTE (2)'!G792/'CALCULETTE (2)'!$B$612),0)</f>
        <v>0</v>
      </c>
      <c r="E395" s="22" t="str">
        <f t="shared" si="114"/>
        <v/>
      </c>
      <c r="F395" s="22" t="str">
        <f t="shared" si="115"/>
        <v/>
      </c>
      <c r="G395" s="22" t="str">
        <f t="shared" si="116"/>
        <v/>
      </c>
      <c r="H395" s="22" t="str">
        <f t="shared" si="117"/>
        <v/>
      </c>
      <c r="I395" s="22" t="str">
        <f t="shared" si="118"/>
        <v/>
      </c>
      <c r="J395" s="22" t="str">
        <f t="shared" si="119"/>
        <v/>
      </c>
      <c r="K395" s="22" t="str">
        <f t="shared" si="120"/>
        <v/>
      </c>
      <c r="L395" s="22" t="str">
        <f t="shared" si="121"/>
        <v/>
      </c>
      <c r="M395" s="22" t="str">
        <f t="shared" si="122"/>
        <v/>
      </c>
      <c r="N395" s="103"/>
      <c r="O395" s="102"/>
    </row>
    <row r="396" spans="2:15" hidden="1" outlineLevel="1" x14ac:dyDescent="0.2">
      <c r="B396" s="2">
        <f t="shared" ref="B396:B414" si="123">B395+1</f>
        <v>161</v>
      </c>
      <c r="D396" s="22">
        <f>IF(B396&lt;$D$24,(+'CALCULETTE (2)'!G793/'CALCULETTE (2)'!$B$612),0)</f>
        <v>0</v>
      </c>
      <c r="E396" s="22" t="str">
        <f t="shared" ref="E396:E414" si="124">IF(E$1=0,"",IF($B396&lt;E$23,E395+PPMT(E$26/12,$B396,E$23,E$235,-E$27,0),IF($B396=E$23,E395+PPMT(E$26/12,$B396,E$23,E$235,-E$27,0)-E$27,0)))</f>
        <v/>
      </c>
      <c r="F396" s="22" t="str">
        <f t="shared" ref="F396:F414" si="125">IF(F$1=0,"",IF($B396&lt;F$23,F395+PPMT(F$26/12,$B396,F$23,F$235,-F$27,0),IF($B396=F$23,F395+PPMT(F$26/12,$B396,F$23,F$235,-F$27,0)-F$27,0)))</f>
        <v/>
      </c>
      <c r="G396" s="22" t="str">
        <f t="shared" ref="G396:G414" si="126">IF(G$1=0,"",IF($B396&lt;G$23,G395+PPMT(G$26/12,$B396,G$23,G$235,-G$27,0),IF($B396=G$23,G395+PPMT(G$26/12,$B396,G$23,G$235,-G$27,0)-G$27,0)))</f>
        <v/>
      </c>
      <c r="H396" s="22" t="str">
        <f t="shared" ref="H396:H414" si="127">IF(H$1=0,"",IF($B396&lt;H$23,H395+PPMT(H$26/12,$B396,H$23,H$235,-H$27,0),IF($B396=H$23,H395+PPMT(H$26/12,$B396,H$23,H$235,-H$27,0)-H$27,0)))</f>
        <v/>
      </c>
      <c r="I396" s="22" t="str">
        <f t="shared" ref="I396:I414" si="128">IF(I$1=0,"",IF($B396&lt;I$23,I395+PPMT(I$26/12,$B396,I$23,I$235,-I$27,0),IF($B396=I$23,I395+PPMT(I$26/12,$B396,I$23,I$235,-I$27,0)-I$27,0)))</f>
        <v/>
      </c>
      <c r="J396" s="22" t="str">
        <f t="shared" ref="J396:J414" si="129">IF(J$1=0,"",IF($B396&lt;J$23,J395+PPMT(J$26/12,$B396,J$23,J$235,-J$27,0),IF($B396=J$23,J395+PPMT(J$26/12,$B396,J$23,J$235,-J$27,0)-J$27,0)))</f>
        <v/>
      </c>
      <c r="K396" s="22" t="str">
        <f t="shared" ref="K396:K414" si="130">IF(K$1=0,"",IF($B396&lt;K$23,K395+PPMT(K$26/12,$B396,K$23,K$235,-K$27,0),IF($B396=K$23,K395+PPMT(K$26/12,$B396,K$23,K$235,-K$27,0)-K$27,0)))</f>
        <v/>
      </c>
      <c r="L396" s="22" t="str">
        <f t="shared" ref="L396:L414" si="131">IF(L$1=0,"",IF($B396&lt;L$23,L395+PPMT(L$26/12,$B396,L$23,L$235,-L$27,0),IF($B396=L$23,L395+PPMT(L$26/12,$B396,L$23,L$235,-L$27,0)-L$27,0)))</f>
        <v/>
      </c>
      <c r="M396" s="22" t="str">
        <f t="shared" ref="M396:M414" si="132">IF(M$1=0,"",IF($B396&lt;M$23,M395+PPMT(M$26/12,$B396,M$23,M$235,-M$27,0),IF($B396=M$23,M395+PPMT(M$26/12,$B396,M$23,M$235,-M$27,0)-M$27,0)))</f>
        <v/>
      </c>
      <c r="N396" s="103"/>
      <c r="O396" s="102"/>
    </row>
    <row r="397" spans="2:15" hidden="1" outlineLevel="1" x14ac:dyDescent="0.2">
      <c r="B397" s="2">
        <f t="shared" si="123"/>
        <v>162</v>
      </c>
      <c r="D397" s="22">
        <f>IF(B397&lt;$D$24,(+'CALCULETTE (2)'!G794/'CALCULETTE (2)'!$B$612),0)</f>
        <v>0</v>
      </c>
      <c r="E397" s="22" t="str">
        <f t="shared" si="124"/>
        <v/>
      </c>
      <c r="F397" s="22" t="str">
        <f t="shared" si="125"/>
        <v/>
      </c>
      <c r="G397" s="22" t="str">
        <f t="shared" si="126"/>
        <v/>
      </c>
      <c r="H397" s="22" t="str">
        <f t="shared" si="127"/>
        <v/>
      </c>
      <c r="I397" s="22" t="str">
        <f t="shared" si="128"/>
        <v/>
      </c>
      <c r="J397" s="22" t="str">
        <f t="shared" si="129"/>
        <v/>
      </c>
      <c r="K397" s="22" t="str">
        <f t="shared" si="130"/>
        <v/>
      </c>
      <c r="L397" s="22" t="str">
        <f t="shared" si="131"/>
        <v/>
      </c>
      <c r="M397" s="22" t="str">
        <f t="shared" si="132"/>
        <v/>
      </c>
      <c r="N397" s="103"/>
      <c r="O397" s="102"/>
    </row>
    <row r="398" spans="2:15" hidden="1" outlineLevel="1" x14ac:dyDescent="0.2">
      <c r="B398" s="2">
        <f t="shared" si="123"/>
        <v>163</v>
      </c>
      <c r="D398" s="22">
        <f>IF(B398&lt;$D$24,(+'CALCULETTE (2)'!G795/'CALCULETTE (2)'!$B$612),0)</f>
        <v>0</v>
      </c>
      <c r="E398" s="22" t="str">
        <f t="shared" si="124"/>
        <v/>
      </c>
      <c r="F398" s="22" t="str">
        <f t="shared" si="125"/>
        <v/>
      </c>
      <c r="G398" s="22" t="str">
        <f t="shared" si="126"/>
        <v/>
      </c>
      <c r="H398" s="22" t="str">
        <f t="shared" si="127"/>
        <v/>
      </c>
      <c r="I398" s="22" t="str">
        <f t="shared" si="128"/>
        <v/>
      </c>
      <c r="J398" s="22" t="str">
        <f t="shared" si="129"/>
        <v/>
      </c>
      <c r="K398" s="22" t="str">
        <f t="shared" si="130"/>
        <v/>
      </c>
      <c r="L398" s="22" t="str">
        <f t="shared" si="131"/>
        <v/>
      </c>
      <c r="M398" s="22" t="str">
        <f t="shared" si="132"/>
        <v/>
      </c>
      <c r="N398" s="103"/>
      <c r="O398" s="102"/>
    </row>
    <row r="399" spans="2:15" hidden="1" outlineLevel="1" x14ac:dyDescent="0.2">
      <c r="B399" s="2">
        <f t="shared" si="123"/>
        <v>164</v>
      </c>
      <c r="D399" s="22">
        <f>IF(B399&lt;$D$24,(+'CALCULETTE (2)'!G796/'CALCULETTE (2)'!$B$612),0)</f>
        <v>0</v>
      </c>
      <c r="E399" s="22" t="str">
        <f t="shared" si="124"/>
        <v/>
      </c>
      <c r="F399" s="22" t="str">
        <f t="shared" si="125"/>
        <v/>
      </c>
      <c r="G399" s="22" t="str">
        <f t="shared" si="126"/>
        <v/>
      </c>
      <c r="H399" s="22" t="str">
        <f t="shared" si="127"/>
        <v/>
      </c>
      <c r="I399" s="22" t="str">
        <f t="shared" si="128"/>
        <v/>
      </c>
      <c r="J399" s="22" t="str">
        <f t="shared" si="129"/>
        <v/>
      </c>
      <c r="K399" s="22" t="str">
        <f t="shared" si="130"/>
        <v/>
      </c>
      <c r="L399" s="22" t="str">
        <f t="shared" si="131"/>
        <v/>
      </c>
      <c r="M399" s="22" t="str">
        <f t="shared" si="132"/>
        <v/>
      </c>
      <c r="N399" s="103"/>
      <c r="O399" s="102"/>
    </row>
    <row r="400" spans="2:15" hidden="1" outlineLevel="1" x14ac:dyDescent="0.2">
      <c r="B400" s="2">
        <f t="shared" si="123"/>
        <v>165</v>
      </c>
      <c r="D400" s="22">
        <f>IF(B400&lt;$D$24,(+'CALCULETTE (2)'!G797/'CALCULETTE (2)'!$B$612),0)</f>
        <v>0</v>
      </c>
      <c r="E400" s="22" t="str">
        <f t="shared" si="124"/>
        <v/>
      </c>
      <c r="F400" s="22" t="str">
        <f t="shared" si="125"/>
        <v/>
      </c>
      <c r="G400" s="22" t="str">
        <f t="shared" si="126"/>
        <v/>
      </c>
      <c r="H400" s="22" t="str">
        <f t="shared" si="127"/>
        <v/>
      </c>
      <c r="I400" s="22" t="str">
        <f t="shared" si="128"/>
        <v/>
      </c>
      <c r="J400" s="22" t="str">
        <f t="shared" si="129"/>
        <v/>
      </c>
      <c r="K400" s="22" t="str">
        <f t="shared" si="130"/>
        <v/>
      </c>
      <c r="L400" s="22" t="str">
        <f t="shared" si="131"/>
        <v/>
      </c>
      <c r="M400" s="22" t="str">
        <f t="shared" si="132"/>
        <v/>
      </c>
      <c r="N400" s="103"/>
      <c r="O400" s="102"/>
    </row>
    <row r="401" spans="2:15" hidden="1" outlineLevel="1" x14ac:dyDescent="0.2">
      <c r="B401" s="2">
        <f t="shared" si="123"/>
        <v>166</v>
      </c>
      <c r="D401" s="22">
        <f>IF(B401&lt;$D$24,(+'CALCULETTE (2)'!G798/'CALCULETTE (2)'!$B$612),0)</f>
        <v>0</v>
      </c>
      <c r="E401" s="22" t="str">
        <f t="shared" si="124"/>
        <v/>
      </c>
      <c r="F401" s="22" t="str">
        <f t="shared" si="125"/>
        <v/>
      </c>
      <c r="G401" s="22" t="str">
        <f t="shared" si="126"/>
        <v/>
      </c>
      <c r="H401" s="22" t="str">
        <f t="shared" si="127"/>
        <v/>
      </c>
      <c r="I401" s="22" t="str">
        <f t="shared" si="128"/>
        <v/>
      </c>
      <c r="J401" s="22" t="str">
        <f t="shared" si="129"/>
        <v/>
      </c>
      <c r="K401" s="22" t="str">
        <f t="shared" si="130"/>
        <v/>
      </c>
      <c r="L401" s="22" t="str">
        <f t="shared" si="131"/>
        <v/>
      </c>
      <c r="M401" s="22" t="str">
        <f t="shared" si="132"/>
        <v/>
      </c>
      <c r="N401" s="103"/>
      <c r="O401" s="102"/>
    </row>
    <row r="402" spans="2:15" hidden="1" outlineLevel="1" x14ac:dyDescent="0.2">
      <c r="B402" s="2">
        <f t="shared" si="123"/>
        <v>167</v>
      </c>
      <c r="D402" s="22">
        <f>IF(B402&lt;$D$24,(+'CALCULETTE (2)'!G799/'CALCULETTE (2)'!$B$612),0)</f>
        <v>0</v>
      </c>
      <c r="E402" s="22" t="str">
        <f t="shared" si="124"/>
        <v/>
      </c>
      <c r="F402" s="22" t="str">
        <f t="shared" si="125"/>
        <v/>
      </c>
      <c r="G402" s="22" t="str">
        <f t="shared" si="126"/>
        <v/>
      </c>
      <c r="H402" s="22" t="str">
        <f t="shared" si="127"/>
        <v/>
      </c>
      <c r="I402" s="22" t="str">
        <f t="shared" si="128"/>
        <v/>
      </c>
      <c r="J402" s="22" t="str">
        <f t="shared" si="129"/>
        <v/>
      </c>
      <c r="K402" s="22" t="str">
        <f t="shared" si="130"/>
        <v/>
      </c>
      <c r="L402" s="22" t="str">
        <f t="shared" si="131"/>
        <v/>
      </c>
      <c r="M402" s="22" t="str">
        <f t="shared" si="132"/>
        <v/>
      </c>
      <c r="N402" s="103"/>
      <c r="O402" s="102"/>
    </row>
    <row r="403" spans="2:15" hidden="1" outlineLevel="1" x14ac:dyDescent="0.2">
      <c r="B403" s="2">
        <f t="shared" si="123"/>
        <v>168</v>
      </c>
      <c r="D403" s="22">
        <f>IF(B403&lt;$D$24,(+'CALCULETTE (2)'!G800/'CALCULETTE (2)'!$B$612),0)</f>
        <v>0</v>
      </c>
      <c r="E403" s="22" t="str">
        <f t="shared" si="124"/>
        <v/>
      </c>
      <c r="F403" s="22" t="str">
        <f t="shared" si="125"/>
        <v/>
      </c>
      <c r="G403" s="22" t="str">
        <f t="shared" si="126"/>
        <v/>
      </c>
      <c r="H403" s="22" t="str">
        <f t="shared" si="127"/>
        <v/>
      </c>
      <c r="I403" s="22" t="str">
        <f t="shared" si="128"/>
        <v/>
      </c>
      <c r="J403" s="22" t="str">
        <f t="shared" si="129"/>
        <v/>
      </c>
      <c r="K403" s="22" t="str">
        <f t="shared" si="130"/>
        <v/>
      </c>
      <c r="L403" s="22" t="str">
        <f t="shared" si="131"/>
        <v/>
      </c>
      <c r="M403" s="22" t="str">
        <f t="shared" si="132"/>
        <v/>
      </c>
      <c r="N403" s="103"/>
      <c r="O403" s="102"/>
    </row>
    <row r="404" spans="2:15" hidden="1" outlineLevel="1" x14ac:dyDescent="0.2">
      <c r="B404" s="2">
        <f t="shared" si="123"/>
        <v>169</v>
      </c>
      <c r="D404" s="22">
        <f>IF(B404&lt;$D$24,(+'CALCULETTE (2)'!G801/'CALCULETTE (2)'!$B$612),0)</f>
        <v>0</v>
      </c>
      <c r="E404" s="22" t="str">
        <f t="shared" si="124"/>
        <v/>
      </c>
      <c r="F404" s="22" t="str">
        <f t="shared" si="125"/>
        <v/>
      </c>
      <c r="G404" s="22" t="str">
        <f t="shared" si="126"/>
        <v/>
      </c>
      <c r="H404" s="22" t="str">
        <f t="shared" si="127"/>
        <v/>
      </c>
      <c r="I404" s="22" t="str">
        <f t="shared" si="128"/>
        <v/>
      </c>
      <c r="J404" s="22" t="str">
        <f t="shared" si="129"/>
        <v/>
      </c>
      <c r="K404" s="22" t="str">
        <f t="shared" si="130"/>
        <v/>
      </c>
      <c r="L404" s="22" t="str">
        <f t="shared" si="131"/>
        <v/>
      </c>
      <c r="M404" s="22" t="str">
        <f t="shared" si="132"/>
        <v/>
      </c>
      <c r="N404" s="103"/>
      <c r="O404" s="102"/>
    </row>
    <row r="405" spans="2:15" hidden="1" outlineLevel="1" x14ac:dyDescent="0.2">
      <c r="B405" s="2">
        <f t="shared" si="123"/>
        <v>170</v>
      </c>
      <c r="D405" s="22">
        <f>IF(B405&lt;$D$24,(+'CALCULETTE (2)'!G802/'CALCULETTE (2)'!$B$612),0)</f>
        <v>0</v>
      </c>
      <c r="E405" s="22" t="str">
        <f t="shared" si="124"/>
        <v/>
      </c>
      <c r="F405" s="22" t="str">
        <f t="shared" si="125"/>
        <v/>
      </c>
      <c r="G405" s="22" t="str">
        <f t="shared" si="126"/>
        <v/>
      </c>
      <c r="H405" s="22" t="str">
        <f t="shared" si="127"/>
        <v/>
      </c>
      <c r="I405" s="22" t="str">
        <f t="shared" si="128"/>
        <v/>
      </c>
      <c r="J405" s="22" t="str">
        <f t="shared" si="129"/>
        <v/>
      </c>
      <c r="K405" s="22" t="str">
        <f t="shared" si="130"/>
        <v/>
      </c>
      <c r="L405" s="22" t="str">
        <f t="shared" si="131"/>
        <v/>
      </c>
      <c r="M405" s="22" t="str">
        <f t="shared" si="132"/>
        <v/>
      </c>
      <c r="N405" s="103"/>
      <c r="O405" s="102"/>
    </row>
    <row r="406" spans="2:15" hidden="1" outlineLevel="1" x14ac:dyDescent="0.2">
      <c r="B406" s="2">
        <f t="shared" si="123"/>
        <v>171</v>
      </c>
      <c r="D406" s="22">
        <f>IF(B406&lt;$D$24,(+'CALCULETTE (2)'!G803/'CALCULETTE (2)'!$B$612),0)</f>
        <v>0</v>
      </c>
      <c r="E406" s="22" t="str">
        <f t="shared" si="124"/>
        <v/>
      </c>
      <c r="F406" s="22" t="str">
        <f t="shared" si="125"/>
        <v/>
      </c>
      <c r="G406" s="22" t="str">
        <f t="shared" si="126"/>
        <v/>
      </c>
      <c r="H406" s="22" t="str">
        <f t="shared" si="127"/>
        <v/>
      </c>
      <c r="I406" s="22" t="str">
        <f t="shared" si="128"/>
        <v/>
      </c>
      <c r="J406" s="22" t="str">
        <f t="shared" si="129"/>
        <v/>
      </c>
      <c r="K406" s="22" t="str">
        <f t="shared" si="130"/>
        <v/>
      </c>
      <c r="L406" s="22" t="str">
        <f t="shared" si="131"/>
        <v/>
      </c>
      <c r="M406" s="22" t="str">
        <f t="shared" si="132"/>
        <v/>
      </c>
      <c r="N406" s="103"/>
      <c r="O406" s="102"/>
    </row>
    <row r="407" spans="2:15" hidden="1" outlineLevel="1" x14ac:dyDescent="0.2">
      <c r="B407" s="2">
        <f t="shared" si="123"/>
        <v>172</v>
      </c>
      <c r="D407" s="22">
        <f>IF(B407&lt;$D$24,(+'CALCULETTE (2)'!G804/'CALCULETTE (2)'!$B$612),0)</f>
        <v>0</v>
      </c>
      <c r="E407" s="22" t="str">
        <f t="shared" si="124"/>
        <v/>
      </c>
      <c r="F407" s="22" t="str">
        <f t="shared" si="125"/>
        <v/>
      </c>
      <c r="G407" s="22" t="str">
        <f t="shared" si="126"/>
        <v/>
      </c>
      <c r="H407" s="22" t="str">
        <f t="shared" si="127"/>
        <v/>
      </c>
      <c r="I407" s="22" t="str">
        <f t="shared" si="128"/>
        <v/>
      </c>
      <c r="J407" s="22" t="str">
        <f t="shared" si="129"/>
        <v/>
      </c>
      <c r="K407" s="22" t="str">
        <f t="shared" si="130"/>
        <v/>
      </c>
      <c r="L407" s="22" t="str">
        <f t="shared" si="131"/>
        <v/>
      </c>
      <c r="M407" s="22" t="str">
        <f t="shared" si="132"/>
        <v/>
      </c>
      <c r="N407" s="103"/>
      <c r="O407" s="102"/>
    </row>
    <row r="408" spans="2:15" hidden="1" outlineLevel="1" x14ac:dyDescent="0.2">
      <c r="B408" s="2">
        <f t="shared" si="123"/>
        <v>173</v>
      </c>
      <c r="D408" s="22">
        <f>IF(B408&lt;$D$24,(+#REF!/'CALCULETTE (2)'!$B$612),0)</f>
        <v>0</v>
      </c>
      <c r="E408" s="22" t="str">
        <f t="shared" si="124"/>
        <v/>
      </c>
      <c r="F408" s="22" t="str">
        <f t="shared" si="125"/>
        <v/>
      </c>
      <c r="G408" s="22" t="str">
        <f t="shared" si="126"/>
        <v/>
      </c>
      <c r="H408" s="22" t="str">
        <f t="shared" si="127"/>
        <v/>
      </c>
      <c r="I408" s="22" t="str">
        <f t="shared" si="128"/>
        <v/>
      </c>
      <c r="J408" s="22" t="str">
        <f t="shared" si="129"/>
        <v/>
      </c>
      <c r="K408" s="22" t="str">
        <f t="shared" si="130"/>
        <v/>
      </c>
      <c r="L408" s="22" t="str">
        <f t="shared" si="131"/>
        <v/>
      </c>
      <c r="M408" s="22" t="str">
        <f t="shared" si="132"/>
        <v/>
      </c>
      <c r="N408" s="103"/>
      <c r="O408" s="102"/>
    </row>
    <row r="409" spans="2:15" hidden="1" outlineLevel="1" x14ac:dyDescent="0.2">
      <c r="B409" s="2">
        <f t="shared" si="123"/>
        <v>174</v>
      </c>
      <c r="D409" s="22">
        <f>IF(B409&lt;$D$24,(+#REF!/'CALCULETTE (2)'!$B$612),0)</f>
        <v>0</v>
      </c>
      <c r="E409" s="22" t="str">
        <f t="shared" si="124"/>
        <v/>
      </c>
      <c r="F409" s="22" t="str">
        <f t="shared" si="125"/>
        <v/>
      </c>
      <c r="G409" s="22" t="str">
        <f t="shared" si="126"/>
        <v/>
      </c>
      <c r="H409" s="22" t="str">
        <f t="shared" si="127"/>
        <v/>
      </c>
      <c r="I409" s="22" t="str">
        <f t="shared" si="128"/>
        <v/>
      </c>
      <c r="J409" s="22" t="str">
        <f t="shared" si="129"/>
        <v/>
      </c>
      <c r="K409" s="22" t="str">
        <f t="shared" si="130"/>
        <v/>
      </c>
      <c r="L409" s="22" t="str">
        <f t="shared" si="131"/>
        <v/>
      </c>
      <c r="M409" s="22" t="str">
        <f t="shared" si="132"/>
        <v/>
      </c>
      <c r="N409" s="103"/>
      <c r="O409" s="102"/>
    </row>
    <row r="410" spans="2:15" hidden="1" outlineLevel="1" x14ac:dyDescent="0.2">
      <c r="B410" s="2">
        <f t="shared" si="123"/>
        <v>175</v>
      </c>
      <c r="D410" s="22">
        <f>IF(B410&lt;$D$24,(+#REF!/'CALCULETTE (2)'!$B$612),0)</f>
        <v>0</v>
      </c>
      <c r="E410" s="22" t="str">
        <f t="shared" si="124"/>
        <v/>
      </c>
      <c r="F410" s="22" t="str">
        <f t="shared" si="125"/>
        <v/>
      </c>
      <c r="G410" s="22" t="str">
        <f t="shared" si="126"/>
        <v/>
      </c>
      <c r="H410" s="22" t="str">
        <f t="shared" si="127"/>
        <v/>
      </c>
      <c r="I410" s="22" t="str">
        <f t="shared" si="128"/>
        <v/>
      </c>
      <c r="J410" s="22" t="str">
        <f t="shared" si="129"/>
        <v/>
      </c>
      <c r="K410" s="22" t="str">
        <f t="shared" si="130"/>
        <v/>
      </c>
      <c r="L410" s="22" t="str">
        <f t="shared" si="131"/>
        <v/>
      </c>
      <c r="M410" s="22" t="str">
        <f t="shared" si="132"/>
        <v/>
      </c>
      <c r="N410" s="103"/>
      <c r="O410" s="102"/>
    </row>
    <row r="411" spans="2:15" hidden="1" outlineLevel="1" x14ac:dyDescent="0.2">
      <c r="B411" s="2">
        <f t="shared" si="123"/>
        <v>176</v>
      </c>
      <c r="D411" s="22">
        <f>IF(B411&lt;$D$24,(+#REF!/'CALCULETTE (2)'!$B$612),0)</f>
        <v>0</v>
      </c>
      <c r="E411" s="22" t="str">
        <f t="shared" si="124"/>
        <v/>
      </c>
      <c r="F411" s="22" t="str">
        <f t="shared" si="125"/>
        <v/>
      </c>
      <c r="G411" s="22" t="str">
        <f t="shared" si="126"/>
        <v/>
      </c>
      <c r="H411" s="22" t="str">
        <f t="shared" si="127"/>
        <v/>
      </c>
      <c r="I411" s="22" t="str">
        <f t="shared" si="128"/>
        <v/>
      </c>
      <c r="J411" s="22" t="str">
        <f t="shared" si="129"/>
        <v/>
      </c>
      <c r="K411" s="22" t="str">
        <f t="shared" si="130"/>
        <v/>
      </c>
      <c r="L411" s="22" t="str">
        <f t="shared" si="131"/>
        <v/>
      </c>
      <c r="M411" s="22" t="str">
        <f t="shared" si="132"/>
        <v/>
      </c>
      <c r="N411" s="103"/>
      <c r="O411" s="102"/>
    </row>
    <row r="412" spans="2:15" hidden="1" outlineLevel="1" x14ac:dyDescent="0.2">
      <c r="B412" s="2">
        <f t="shared" si="123"/>
        <v>177</v>
      </c>
      <c r="D412" s="22">
        <f>IF(B412&lt;$D$24,(+#REF!/'CALCULETTE (2)'!$B$612),0)</f>
        <v>0</v>
      </c>
      <c r="E412" s="22" t="str">
        <f t="shared" si="124"/>
        <v/>
      </c>
      <c r="F412" s="22" t="str">
        <f t="shared" si="125"/>
        <v/>
      </c>
      <c r="G412" s="22" t="str">
        <f t="shared" si="126"/>
        <v/>
      </c>
      <c r="H412" s="22" t="str">
        <f t="shared" si="127"/>
        <v/>
      </c>
      <c r="I412" s="22" t="str">
        <f t="shared" si="128"/>
        <v/>
      </c>
      <c r="J412" s="22" t="str">
        <f t="shared" si="129"/>
        <v/>
      </c>
      <c r="K412" s="22" t="str">
        <f t="shared" si="130"/>
        <v/>
      </c>
      <c r="L412" s="22" t="str">
        <f t="shared" si="131"/>
        <v/>
      </c>
      <c r="M412" s="22" t="str">
        <f t="shared" si="132"/>
        <v/>
      </c>
      <c r="N412" s="103"/>
      <c r="O412" s="102"/>
    </row>
    <row r="413" spans="2:15" hidden="1" outlineLevel="1" x14ac:dyDescent="0.2">
      <c r="B413" s="2">
        <f t="shared" si="123"/>
        <v>178</v>
      </c>
      <c r="D413" s="22">
        <f>IF(B413&lt;$D$24,(+#REF!/'CALCULETTE (2)'!$B$612),0)</f>
        <v>0</v>
      </c>
      <c r="E413" s="22" t="str">
        <f t="shared" si="124"/>
        <v/>
      </c>
      <c r="F413" s="22" t="str">
        <f t="shared" si="125"/>
        <v/>
      </c>
      <c r="G413" s="22" t="str">
        <f t="shared" si="126"/>
        <v/>
      </c>
      <c r="H413" s="22" t="str">
        <f t="shared" si="127"/>
        <v/>
      </c>
      <c r="I413" s="22" t="str">
        <f t="shared" si="128"/>
        <v/>
      </c>
      <c r="J413" s="22" t="str">
        <f t="shared" si="129"/>
        <v/>
      </c>
      <c r="K413" s="22" t="str">
        <f t="shared" si="130"/>
        <v/>
      </c>
      <c r="L413" s="22" t="str">
        <f t="shared" si="131"/>
        <v/>
      </c>
      <c r="M413" s="22" t="str">
        <f t="shared" si="132"/>
        <v/>
      </c>
      <c r="N413" s="103"/>
      <c r="O413" s="102"/>
    </row>
    <row r="414" spans="2:15" hidden="1" outlineLevel="1" x14ac:dyDescent="0.2">
      <c r="B414" s="2">
        <f t="shared" si="123"/>
        <v>179</v>
      </c>
      <c r="D414" s="22">
        <f>IF(B414&lt;$D$24,(+#REF!/'CALCULETTE (2)'!$B$612),0)</f>
        <v>0</v>
      </c>
      <c r="E414" s="22" t="str">
        <f t="shared" si="124"/>
        <v/>
      </c>
      <c r="F414" s="22" t="str">
        <f t="shared" si="125"/>
        <v/>
      </c>
      <c r="G414" s="22" t="str">
        <f t="shared" si="126"/>
        <v/>
      </c>
      <c r="H414" s="22" t="str">
        <f t="shared" si="127"/>
        <v/>
      </c>
      <c r="I414" s="22" t="str">
        <f t="shared" si="128"/>
        <v/>
      </c>
      <c r="J414" s="22" t="str">
        <f t="shared" si="129"/>
        <v/>
      </c>
      <c r="K414" s="22" t="str">
        <f t="shared" si="130"/>
        <v/>
      </c>
      <c r="L414" s="22" t="str">
        <f t="shared" si="131"/>
        <v/>
      </c>
      <c r="M414" s="22" t="str">
        <f t="shared" si="132"/>
        <v/>
      </c>
      <c r="N414" s="103"/>
      <c r="O414" s="102"/>
    </row>
    <row r="415" spans="2:15" collapsed="1" x14ac:dyDescent="0.2">
      <c r="D415" s="29"/>
    </row>
    <row r="416" spans="2:15" x14ac:dyDescent="0.2">
      <c r="D416" s="29"/>
    </row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spans="1:22" hidden="1" x14ac:dyDescent="0.2"/>
    <row r="594" spans="1:22" hidden="1" x14ac:dyDescent="0.2"/>
    <row r="595" spans="1:22" hidden="1" x14ac:dyDescent="0.2"/>
    <row r="596" spans="1:22" hidden="1" x14ac:dyDescent="0.2"/>
    <row r="597" spans="1:22" hidden="1" x14ac:dyDescent="0.2"/>
    <row r="598" spans="1:22" hidden="1" x14ac:dyDescent="0.2"/>
    <row r="599" spans="1:22" hidden="1" x14ac:dyDescent="0.2"/>
    <row r="600" spans="1:22" hidden="1" x14ac:dyDescent="0.2"/>
    <row r="601" spans="1:22" hidden="1" x14ac:dyDescent="0.2"/>
    <row r="602" spans="1:22" hidden="1" x14ac:dyDescent="0.2"/>
    <row r="603" spans="1:22" hidden="1" x14ac:dyDescent="0.2"/>
    <row r="604" spans="1:22" hidden="1" x14ac:dyDescent="0.2"/>
    <row r="605" spans="1:22" hidden="1" x14ac:dyDescent="0.2"/>
    <row r="606" spans="1:22" hidden="1" x14ac:dyDescent="0.2"/>
    <row r="607" spans="1:22" hidden="1" x14ac:dyDescent="0.2"/>
    <row r="608" spans="1:22" x14ac:dyDescent="0.2">
      <c r="A608" s="179"/>
      <c r="B608" s="178"/>
      <c r="C608" s="179"/>
      <c r="D608" s="179"/>
      <c r="E608" s="179"/>
      <c r="F608" s="179"/>
      <c r="G608" s="179"/>
      <c r="H608" s="233" t="s">
        <v>46</v>
      </c>
      <c r="I608" s="179"/>
      <c r="J608" s="179"/>
      <c r="K608" s="179"/>
      <c r="L608" s="179"/>
      <c r="M608" s="179"/>
      <c r="N608" s="179"/>
      <c r="O608" s="179"/>
      <c r="P608" s="179"/>
      <c r="Q608" s="179"/>
      <c r="R608" s="179"/>
      <c r="S608" s="179"/>
      <c r="T608" s="179"/>
      <c r="U608" s="179"/>
      <c r="V608" s="179"/>
    </row>
    <row r="609" spans="1:31" ht="12.75" customHeight="1" thickBot="1" x14ac:dyDescent="0.25">
      <c r="H609" s="25" t="s">
        <v>47</v>
      </c>
    </row>
    <row r="610" spans="1:31" ht="15.75" customHeight="1" x14ac:dyDescent="0.25">
      <c r="A610" s="43"/>
      <c r="B610" s="121"/>
      <c r="C610" s="44"/>
      <c r="D610" s="45"/>
      <c r="E610" s="46">
        <f>+D20*(1+B614/12)</f>
        <v>3919.3375000000001</v>
      </c>
      <c r="F610" s="46"/>
      <c r="G610" s="46"/>
      <c r="H610" s="234" t="s">
        <v>48</v>
      </c>
      <c r="I610" s="47"/>
      <c r="J610" s="46"/>
      <c r="K610" s="47"/>
      <c r="L610" s="122"/>
      <c r="M610" s="123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122"/>
      <c r="Z610" s="46"/>
      <c r="AA610" s="60"/>
      <c r="AB610" s="190"/>
      <c r="AC610" s="46"/>
      <c r="AD610" s="46"/>
      <c r="AE610" s="46"/>
    </row>
    <row r="611" spans="1:31" ht="12.75" customHeight="1" thickBot="1" x14ac:dyDescent="0.25">
      <c r="A611" s="48"/>
      <c r="B611" s="124"/>
      <c r="C611" s="44"/>
      <c r="D611" s="46"/>
      <c r="E611" s="46"/>
      <c r="F611" s="46"/>
      <c r="G611" s="46"/>
      <c r="H611" s="46"/>
      <c r="I611" s="47" t="s">
        <v>49</v>
      </c>
      <c r="J611" s="46" t="s">
        <v>50</v>
      </c>
      <c r="K611" s="47" t="s">
        <v>51</v>
      </c>
      <c r="L611" s="122"/>
      <c r="M611" s="123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122"/>
      <c r="Z611" s="46"/>
      <c r="AA611" s="60"/>
      <c r="AB611" s="190"/>
      <c r="AC611" s="46"/>
      <c r="AD611" s="46"/>
      <c r="AE611" s="46"/>
    </row>
    <row r="612" spans="1:31" x14ac:dyDescent="0.2">
      <c r="A612" s="49" t="s">
        <v>52</v>
      </c>
      <c r="B612" s="125">
        <f>'CALCULETTE (2)'!D22</f>
        <v>30075</v>
      </c>
      <c r="C612" s="46"/>
      <c r="D612" s="46"/>
      <c r="E612" s="50"/>
      <c r="F612" s="46"/>
      <c r="G612" s="46"/>
      <c r="H612" s="94">
        <f>PMT($B$614/12,$B$613,-$B$612,$B$617,1)</f>
        <v>457.55744119499786</v>
      </c>
      <c r="I612" s="86">
        <f>+B612</f>
        <v>30075</v>
      </c>
      <c r="J612" s="46">
        <v>18232</v>
      </c>
      <c r="K612" s="46">
        <v>0</v>
      </c>
      <c r="L612" s="122"/>
      <c r="M612" s="123"/>
      <c r="N612" s="46"/>
      <c r="O612" s="46"/>
      <c r="P612" s="86"/>
      <c r="Q612" s="46"/>
      <c r="R612" s="46"/>
      <c r="S612" s="46"/>
      <c r="T612" s="46"/>
      <c r="U612" s="46"/>
      <c r="V612" s="46"/>
      <c r="W612" s="46"/>
      <c r="X612" s="46"/>
      <c r="Y612" s="122"/>
      <c r="Z612" s="46"/>
      <c r="AA612" s="189"/>
      <c r="AB612" s="191"/>
      <c r="AC612" s="46"/>
      <c r="AD612" s="46"/>
      <c r="AE612" s="46"/>
    </row>
    <row r="613" spans="1:31" x14ac:dyDescent="0.2">
      <c r="A613" s="87" t="s">
        <v>53</v>
      </c>
      <c r="B613" s="126">
        <f>'CALCULETTE (2)'!D23</f>
        <v>35</v>
      </c>
      <c r="C613" s="46"/>
      <c r="D613" s="237" t="s">
        <v>54</v>
      </c>
      <c r="E613" s="238"/>
      <c r="F613" s="46"/>
      <c r="G613" s="46" t="s">
        <v>55</v>
      </c>
      <c r="H613" s="94">
        <f>PMT($B$614/12,$B$613,-$B$612,$B$617,$B$620)</f>
        <v>459.82616350758974</v>
      </c>
      <c r="I613" s="94">
        <f>$B$612</f>
        <v>30075</v>
      </c>
      <c r="J613" s="46">
        <v>18232</v>
      </c>
      <c r="K613" s="46">
        <v>1</v>
      </c>
      <c r="L613" s="122"/>
      <c r="M613" s="123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122"/>
      <c r="Z613" s="46"/>
      <c r="AA613" s="192"/>
      <c r="AB613" s="193"/>
      <c r="AC613" s="46"/>
      <c r="AD613" s="46"/>
      <c r="AE613" s="46"/>
    </row>
    <row r="614" spans="1:31" x14ac:dyDescent="0.2">
      <c r="A614" s="87" t="s">
        <v>56</v>
      </c>
      <c r="B614" s="127">
        <f>'CALCULETTE (2)'!D26</f>
        <v>5.9499999999999997E-2</v>
      </c>
      <c r="C614" s="46"/>
      <c r="D614" s="51" t="s">
        <v>57</v>
      </c>
      <c r="E614" s="52">
        <f>V629</f>
        <v>7.7999999999999403E-2</v>
      </c>
      <c r="F614" s="46"/>
      <c r="G614" s="46"/>
      <c r="H614" s="46"/>
      <c r="J614" s="46"/>
      <c r="K614" s="46"/>
      <c r="L614" s="122"/>
      <c r="M614" s="123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122"/>
      <c r="Z614" s="46"/>
      <c r="AA614" s="192"/>
      <c r="AB614" s="194"/>
      <c r="AC614" s="46"/>
      <c r="AD614" s="46"/>
      <c r="AE614" s="46"/>
    </row>
    <row r="615" spans="1:31" x14ac:dyDescent="0.2">
      <c r="A615" s="87" t="s">
        <v>22</v>
      </c>
      <c r="B615" s="127">
        <f>'CALCULETTE (2)'!D25</f>
        <v>7.8E-2</v>
      </c>
      <c r="C615" s="46"/>
      <c r="D615" s="51" t="s">
        <v>58</v>
      </c>
      <c r="E615" s="52">
        <f>I629</f>
        <v>5.9499999999678366E-2</v>
      </c>
      <c r="F615" s="46"/>
      <c r="G615" s="46"/>
      <c r="H615" s="46"/>
      <c r="I615" s="108"/>
      <c r="J615" s="46"/>
      <c r="K615" s="46"/>
      <c r="L615" s="122"/>
      <c r="M615" s="123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122"/>
      <c r="Z615" s="46"/>
      <c r="AA615" s="192"/>
      <c r="AB615" s="194"/>
      <c r="AC615" s="46"/>
      <c r="AD615" s="46"/>
      <c r="AE615" s="46"/>
    </row>
    <row r="616" spans="1:31" x14ac:dyDescent="0.2">
      <c r="A616" s="87" t="s">
        <v>59</v>
      </c>
      <c r="B616" s="127">
        <f>'CALCULETTE (2)'!D27</f>
        <v>0.6062067054585758</v>
      </c>
      <c r="C616" s="46"/>
      <c r="D616" s="128" t="s">
        <v>60</v>
      </c>
      <c r="E616" s="53">
        <f>E614-E615</f>
        <v>1.8500000000321037E-2</v>
      </c>
      <c r="F616" s="46"/>
      <c r="G616" s="46"/>
      <c r="H616" s="46"/>
      <c r="I616" s="86"/>
      <c r="J616" s="46"/>
      <c r="K616" s="46"/>
      <c r="L616" s="122"/>
      <c r="M616" s="123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122"/>
      <c r="Z616" s="46"/>
      <c r="AA616" s="192"/>
      <c r="AB616" s="194"/>
      <c r="AC616" s="46"/>
      <c r="AD616" s="46"/>
      <c r="AE616" s="46"/>
    </row>
    <row r="617" spans="1:31" x14ac:dyDescent="0.2">
      <c r="A617" s="87" t="s">
        <v>61</v>
      </c>
      <c r="B617" s="129">
        <f>B616*B612</f>
        <v>18231.666666666668</v>
      </c>
      <c r="C617" s="46"/>
      <c r="D617" s="237" t="s">
        <v>62</v>
      </c>
      <c r="E617" s="238"/>
      <c r="F617" s="46"/>
      <c r="G617" s="46"/>
      <c r="H617" s="46"/>
      <c r="I617" s="46"/>
      <c r="J617" s="46"/>
      <c r="K617" s="46"/>
      <c r="L617" s="122"/>
      <c r="M617" s="123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122"/>
      <c r="Z617" s="46"/>
      <c r="AA617" s="192"/>
      <c r="AB617" s="195"/>
      <c r="AC617" s="46"/>
      <c r="AD617" s="46"/>
      <c r="AE617" s="46"/>
    </row>
    <row r="618" spans="1:31" x14ac:dyDescent="0.2">
      <c r="A618" s="87" t="s">
        <v>63</v>
      </c>
      <c r="B618" s="130">
        <f>'CALCULETTE (2)'!D33</f>
        <v>0</v>
      </c>
      <c r="C618" s="46"/>
      <c r="D618" s="51" t="s">
        <v>57</v>
      </c>
      <c r="E618" s="52">
        <f>X629</f>
        <v>7.7999999999999403E-2</v>
      </c>
      <c r="F618" s="46"/>
      <c r="G618" s="46"/>
      <c r="H618" s="46"/>
      <c r="I618" s="46"/>
      <c r="J618" s="46"/>
      <c r="K618" s="46"/>
      <c r="L618" s="122"/>
      <c r="M618" s="123"/>
      <c r="N618" s="46"/>
      <c r="O618" s="46"/>
      <c r="P618" s="86">
        <f>SUM(D632:D750)</f>
        <v>4250.5823894323121</v>
      </c>
      <c r="Q618" s="86">
        <f>SUM(Q632:Q750)</f>
        <v>5584.2042681991161</v>
      </c>
      <c r="R618" s="211"/>
      <c r="S618" s="46"/>
      <c r="T618" s="46"/>
      <c r="U618" s="46"/>
      <c r="V618" s="46"/>
      <c r="W618" s="46"/>
      <c r="X618" s="46"/>
      <c r="Y618" s="122"/>
      <c r="Z618" s="46"/>
      <c r="AA618" s="192"/>
      <c r="AB618" s="196"/>
      <c r="AC618" s="46"/>
      <c r="AD618" s="46"/>
      <c r="AE618" s="46"/>
    </row>
    <row r="619" spans="1:31" x14ac:dyDescent="0.2">
      <c r="A619" s="87" t="s">
        <v>64</v>
      </c>
      <c r="B619" s="130">
        <f>'CALCULETTE (2)'!D34</f>
        <v>0</v>
      </c>
      <c r="C619" s="46"/>
      <c r="D619" s="51" t="s">
        <v>58</v>
      </c>
      <c r="E619" s="52">
        <f>K629</f>
        <v>5.9499999999678366E-2</v>
      </c>
      <c r="F619" s="46"/>
      <c r="G619" s="46"/>
      <c r="H619" s="46"/>
      <c r="I619" s="46"/>
      <c r="J619" s="94"/>
      <c r="K619" s="46"/>
      <c r="L619" s="122"/>
      <c r="M619" s="123"/>
      <c r="N619" s="46"/>
      <c r="O619" s="46"/>
      <c r="P619" s="86">
        <f>Q618-P618</f>
        <v>1333.621878766804</v>
      </c>
      <c r="Q619" s="46"/>
      <c r="R619" s="46"/>
      <c r="S619" s="46"/>
      <c r="T619" s="46"/>
      <c r="U619" s="46"/>
      <c r="V619" s="46"/>
      <c r="W619" s="46"/>
      <c r="X619" s="46"/>
      <c r="Y619" s="122"/>
      <c r="Z619" s="46"/>
      <c r="AA619" s="192"/>
      <c r="AB619" s="196"/>
      <c r="AC619" s="46"/>
      <c r="AD619" s="46"/>
      <c r="AE619" s="46"/>
    </row>
    <row r="620" spans="1:31" ht="12.75" customHeight="1" thickBot="1" x14ac:dyDescent="0.25">
      <c r="A620" s="131" t="s">
        <v>65</v>
      </c>
      <c r="B620" s="132">
        <v>0</v>
      </c>
      <c r="C620" s="46"/>
      <c r="D620" s="128" t="s">
        <v>60</v>
      </c>
      <c r="E620" s="53">
        <f>E618-E619</f>
        <v>1.8500000000321037E-2</v>
      </c>
      <c r="F620" s="46"/>
      <c r="G620" s="46"/>
      <c r="H620" s="46"/>
      <c r="I620" s="46"/>
      <c r="J620" s="46"/>
      <c r="K620" s="46"/>
      <c r="L620" s="122"/>
      <c r="M620" s="123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122"/>
      <c r="Z620" s="46"/>
      <c r="AA620" s="197"/>
      <c r="AB620" s="198"/>
      <c r="AC620" s="46"/>
      <c r="AD620" s="46"/>
      <c r="AE620" s="46"/>
    </row>
    <row r="621" spans="1:31" ht="12.75" customHeight="1" thickBot="1" x14ac:dyDescent="0.25">
      <c r="A621" s="133" t="s">
        <v>66</v>
      </c>
      <c r="B621" s="212">
        <v>5.0000000000000001E-3</v>
      </c>
      <c r="C621" s="46"/>
      <c r="D621" s="128"/>
      <c r="E621" s="53"/>
      <c r="F621" s="46"/>
      <c r="G621" s="46"/>
      <c r="H621" s="46"/>
      <c r="I621" s="46"/>
      <c r="J621" s="46"/>
      <c r="K621" s="46"/>
      <c r="L621" s="122"/>
      <c r="M621" s="123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122"/>
      <c r="Z621" s="46"/>
      <c r="AA621" s="199"/>
      <c r="AB621" s="200"/>
      <c r="AC621" s="46"/>
      <c r="AD621" s="46"/>
      <c r="AE621" s="46"/>
    </row>
    <row r="622" spans="1:31" x14ac:dyDescent="0.2">
      <c r="A622" s="78" t="s">
        <v>67</v>
      </c>
      <c r="B622" s="134">
        <f>U629-H629</f>
        <v>1228.5863635439896</v>
      </c>
      <c r="C622" s="46"/>
      <c r="D622" s="46"/>
      <c r="E622" s="46"/>
      <c r="F622" s="46"/>
      <c r="G622" s="46"/>
      <c r="H622" s="46"/>
      <c r="I622" s="46"/>
      <c r="J622" s="46"/>
      <c r="K622" s="46"/>
      <c r="L622" s="122"/>
      <c r="M622" s="123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122"/>
      <c r="Z622" s="46"/>
      <c r="AA622" s="201"/>
      <c r="AB622" s="202"/>
      <c r="AC622" s="46"/>
      <c r="AD622" s="46"/>
      <c r="AE622" s="46"/>
    </row>
    <row r="623" spans="1:31" x14ac:dyDescent="0.2">
      <c r="A623" s="79" t="s">
        <v>68</v>
      </c>
      <c r="B623" s="135">
        <f>W629-J629</f>
        <v>0</v>
      </c>
      <c r="C623" s="46"/>
      <c r="D623" s="46"/>
      <c r="E623" s="99">
        <f>IF(A632&lt;$B$613,PMT($B$614/12,IF(IF(ISBLANK(compensation!$B$4)=TRUE,0,1)&gt;0,+$B$613-1-0,$B$613-0),-$B$612,$B$617,$B$620),IF(A632=$B$613,PMT($B$614/12,$B$613,-$B$612,$B$617,$B$620)+$B$617,0))</f>
        <v>469.77902879091903</v>
      </c>
      <c r="F623" s="99"/>
      <c r="G623" s="99"/>
      <c r="H623" s="99"/>
      <c r="I623" s="106"/>
      <c r="J623" s="46"/>
      <c r="K623" s="105"/>
      <c r="L623" s="122"/>
      <c r="M623" s="136"/>
      <c r="N623" s="46"/>
      <c r="O623" s="46"/>
      <c r="P623" s="46"/>
      <c r="Q623" s="46"/>
      <c r="R623" s="99">
        <f>IF(N632&lt;$B$613,PMT($B$615/12,$B$613,-$B$612,$B$617,$B$620),IF(N632=$B$613,PMT($B$615/12,$B$613,-$B$612,$B$617,$B$620)+$B$617,0))</f>
        <v>497.92964575807002</v>
      </c>
      <c r="S623" s="46"/>
      <c r="T623" s="99"/>
      <c r="U623" s="99"/>
      <c r="V623" s="46"/>
      <c r="W623" s="46"/>
      <c r="X623" s="46"/>
      <c r="Y623" s="122"/>
      <c r="Z623" s="46"/>
      <c r="AA623" s="201"/>
      <c r="AB623" s="202"/>
      <c r="AC623" s="46"/>
      <c r="AD623" s="46"/>
      <c r="AE623" s="46"/>
    </row>
    <row r="624" spans="1:31" ht="15" customHeight="1" x14ac:dyDescent="0.25">
      <c r="A624" s="77" t="s">
        <v>69</v>
      </c>
      <c r="B624" s="137">
        <f>(U629+W629)-(H629+J629)</f>
        <v>1228.5863635439896</v>
      </c>
      <c r="C624" s="76">
        <f>B624-'CALCULETTE (2)'!D37</f>
        <v>0</v>
      </c>
      <c r="D624" s="138" t="s">
        <v>70</v>
      </c>
      <c r="E624" s="99">
        <f>ROUNDUP(IF(A632&lt;$B$613,PMT($B$614/12,$B$613,-$B$612,$B$617,$B$620),IF(A632=$B$613,PMT($B$614/12,$B$613,-$B$612,$B$617,$B$620)+$B$617,0)),2)</f>
        <v>459.83</v>
      </c>
      <c r="F624" s="99">
        <f>+E623*1.2</f>
        <v>563.73483454910286</v>
      </c>
      <c r="G624" s="99"/>
      <c r="H624" s="99"/>
      <c r="I624" s="86"/>
      <c r="J624" s="139"/>
      <c r="K624" s="105"/>
      <c r="L624" s="122"/>
      <c r="M624" s="123"/>
      <c r="N624" s="46"/>
      <c r="O624" s="46"/>
      <c r="P624" s="46"/>
      <c r="Q624" s="138" t="s">
        <v>70</v>
      </c>
      <c r="R624" s="99">
        <f>ROUNDUP(IF(N632&lt;$B$613,PMT($B$615/12,$B$613,-$B$612*IF('CALCULETTE (2)'!$D$20=0,1,(1+$B$615/12)),$B$617,$B$620),IF(N632=$B$613,PMT($B$615/12,$B$613,-$B$612*IF('CALCULETTE (2)'!$D$20=0,1,(1+$B$615/12)),$B$617,$B$620)+$B$617,0)),2)</f>
        <v>504.2</v>
      </c>
      <c r="S624" s="99">
        <f>+R624*1.2</f>
        <v>605.04</v>
      </c>
      <c r="T624" s="99"/>
      <c r="U624" s="99"/>
      <c r="V624" s="46"/>
      <c r="W624" s="46"/>
      <c r="X624" s="46"/>
      <c r="Y624" s="122"/>
      <c r="Z624" s="46"/>
      <c r="AA624" s="203"/>
      <c r="AB624" s="204"/>
      <c r="AC624" s="46"/>
      <c r="AD624" s="46"/>
      <c r="AE624" s="46"/>
    </row>
    <row r="625" spans="1:31" ht="15.75" customHeight="1" thickBot="1" x14ac:dyDescent="0.3">
      <c r="A625" s="54" t="s">
        <v>71</v>
      </c>
      <c r="B625" s="80">
        <f>B624/B612</f>
        <v>4.0850751905037064E-2</v>
      </c>
      <c r="C625" s="86">
        <f>+C632+B617</f>
        <v>18691.492830174258</v>
      </c>
      <c r="D625" s="138"/>
      <c r="E625" s="46"/>
      <c r="F625" s="46"/>
      <c r="G625" s="46"/>
      <c r="H625" s="86">
        <f>+U629-H629</f>
        <v>1228.5863635439896</v>
      </c>
      <c r="I625" s="86">
        <f>+Q629-D629</f>
        <v>1333.621878766804</v>
      </c>
      <c r="J625" s="46"/>
      <c r="K625" s="46"/>
      <c r="L625" s="122"/>
      <c r="M625" s="123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122"/>
      <c r="Z625" s="46"/>
      <c r="AA625" s="205"/>
      <c r="AB625" s="206"/>
      <c r="AC625" s="46"/>
      <c r="AD625" s="46"/>
      <c r="AE625" s="46"/>
    </row>
    <row r="626" spans="1:31" x14ac:dyDescent="0.2">
      <c r="A626" s="60"/>
      <c r="B626" s="100"/>
      <c r="C626" s="86"/>
      <c r="D626" s="46"/>
      <c r="E626" s="46"/>
      <c r="F626" s="84"/>
      <c r="G626" s="84"/>
      <c r="H626" s="84"/>
      <c r="I626" s="46"/>
      <c r="J626" s="46"/>
      <c r="K626" s="46"/>
      <c r="L626" s="122"/>
      <c r="M626" s="123"/>
      <c r="N626" s="46"/>
      <c r="O626" s="46"/>
      <c r="P626" s="46"/>
      <c r="Q626" s="46"/>
      <c r="R626" s="46"/>
      <c r="S626" s="84"/>
      <c r="T626" s="84">
        <f>T628-'CALCULETTE (2)'!D40</f>
        <v>0</v>
      </c>
      <c r="U626" s="84"/>
      <c r="V626" s="46"/>
      <c r="W626" s="46"/>
      <c r="X626" s="46"/>
      <c r="Y626" s="122"/>
      <c r="Z626" s="46"/>
      <c r="AA626" s="46"/>
      <c r="AB626" s="46"/>
      <c r="AC626" s="46"/>
      <c r="AD626" s="46"/>
      <c r="AE626" s="46"/>
    </row>
    <row r="627" spans="1:31" x14ac:dyDescent="0.2">
      <c r="A627" s="235" t="s">
        <v>72</v>
      </c>
      <c r="B627" s="236"/>
      <c r="C627" s="236"/>
      <c r="D627" s="236"/>
      <c r="E627" s="236"/>
      <c r="F627" s="236"/>
      <c r="G627" s="236"/>
      <c r="H627" s="236"/>
      <c r="I627" s="236"/>
      <c r="J627" s="236"/>
      <c r="K627" s="236"/>
      <c r="L627" s="236"/>
      <c r="M627" s="123"/>
      <c r="N627" s="235" t="s">
        <v>73</v>
      </c>
      <c r="O627" s="236"/>
      <c r="P627" s="236"/>
      <c r="Q627" s="236"/>
      <c r="R627" s="236"/>
      <c r="S627" s="236"/>
      <c r="T627" s="236"/>
      <c r="U627" s="236"/>
      <c r="V627" s="236"/>
      <c r="W627" s="236"/>
      <c r="X627" s="236"/>
      <c r="Y627" s="236"/>
      <c r="Z627" s="46"/>
      <c r="AA627" s="46"/>
      <c r="AB627" s="46"/>
      <c r="AC627" s="46"/>
      <c r="AD627" s="46"/>
      <c r="AE627" s="46"/>
    </row>
    <row r="628" spans="1:31" x14ac:dyDescent="0.2">
      <c r="A628" s="55"/>
      <c r="B628" s="140"/>
      <c r="C628" s="141"/>
      <c r="D628" s="142">
        <f>+D629/B612</f>
        <v>0.14133274777829799</v>
      </c>
      <c r="E628" s="60"/>
      <c r="F628" s="56">
        <f>+F629/B612</f>
        <v>2.3753402987949235</v>
      </c>
      <c r="G628" s="56">
        <f>+G629/B612</f>
        <v>2.188478944927418</v>
      </c>
      <c r="H628" s="56"/>
      <c r="I628" s="57" t="s">
        <v>74</v>
      </c>
      <c r="J628" s="56"/>
      <c r="K628" s="57" t="s">
        <v>75</v>
      </c>
      <c r="L628" s="143"/>
      <c r="M628" s="144"/>
      <c r="N628" s="55"/>
      <c r="O628" s="140"/>
      <c r="P628" s="141"/>
      <c r="Q628" s="142">
        <f>+Q629/B612</f>
        <v>0.18567595239232307</v>
      </c>
      <c r="R628" s="60"/>
      <c r="S628" s="56">
        <f>+S629/B612</f>
        <v>2.3804609281067068</v>
      </c>
      <c r="T628" s="56">
        <f>+T629/B612</f>
        <v>2.1931442195925452</v>
      </c>
      <c r="U628" s="56"/>
      <c r="V628" s="57" t="s">
        <v>76</v>
      </c>
      <c r="W628" s="56"/>
      <c r="X628" s="57" t="s">
        <v>75</v>
      </c>
      <c r="Y628" s="143"/>
      <c r="Z628" s="58"/>
      <c r="AA628" s="58"/>
      <c r="AB628" s="58"/>
      <c r="AC628" s="58"/>
      <c r="AD628" s="58"/>
      <c r="AE628" s="58"/>
    </row>
    <row r="629" spans="1:31" x14ac:dyDescent="0.2">
      <c r="A629" s="59"/>
      <c r="B629" s="145"/>
      <c r="C629" s="60"/>
      <c r="D629" s="145">
        <f>SUM(D632:D812)</f>
        <v>4250.5823894323121</v>
      </c>
      <c r="E629" s="146"/>
      <c r="F629" s="61">
        <f>SUM(F631:F812)/12</f>
        <v>71438.359486257323</v>
      </c>
      <c r="G629" s="61">
        <f>SUM(G631:G812)/12</f>
        <v>65818.504268692093</v>
      </c>
      <c r="H629" s="145">
        <f>SUM(H632:H812)</f>
        <v>3916.2010039871807</v>
      </c>
      <c r="I629" s="62">
        <f>IRR(I631:I812)*12</f>
        <v>5.9499999999678366E-2</v>
      </c>
      <c r="J629" s="145">
        <f>SUM(J631:J812)</f>
        <v>0</v>
      </c>
      <c r="K629" s="62">
        <f>IRR(K631:K812)*12</f>
        <v>5.9499999999678366E-2</v>
      </c>
      <c r="L629" s="147"/>
      <c r="M629" s="148"/>
      <c r="N629" s="59"/>
      <c r="O629" s="145"/>
      <c r="P629" s="60"/>
      <c r="Q629" s="145">
        <f>SUM(Q632:Q812)</f>
        <v>5584.2042681991161</v>
      </c>
      <c r="R629" s="146"/>
      <c r="S629" s="61">
        <f>SUM(S631:S812)/12</f>
        <v>71592.362412809205</v>
      </c>
      <c r="T629" s="61">
        <f>SUM(T631:T812)/12</f>
        <v>65958.812404245793</v>
      </c>
      <c r="U629" s="145">
        <f>SUM(U632:U812)</f>
        <v>5144.7873675311703</v>
      </c>
      <c r="V629" s="63">
        <f>IRR(V631:V812)*12</f>
        <v>7.7999999999999403E-2</v>
      </c>
      <c r="W629" s="145">
        <f>SUM(W631:W812)</f>
        <v>0</v>
      </c>
      <c r="X629" s="62">
        <f>IRR(X631:X812)*12</f>
        <v>7.7999999999999403E-2</v>
      </c>
      <c r="Y629" s="147"/>
      <c r="Z629" s="46"/>
      <c r="AA629" s="46"/>
      <c r="AB629" s="46"/>
      <c r="AC629" s="46"/>
      <c r="AD629" s="46"/>
      <c r="AE629" s="46"/>
    </row>
    <row r="630" spans="1:31" ht="24" customHeight="1" x14ac:dyDescent="0.2">
      <c r="A630" s="64"/>
      <c r="B630" s="65" t="s">
        <v>77</v>
      </c>
      <c r="C630" s="65" t="s">
        <v>78</v>
      </c>
      <c r="D630" s="65" t="s">
        <v>79</v>
      </c>
      <c r="E630" s="65" t="s">
        <v>80</v>
      </c>
      <c r="F630" s="66" t="s">
        <v>81</v>
      </c>
      <c r="G630" s="66" t="s">
        <v>82</v>
      </c>
      <c r="H630" s="65" t="s">
        <v>83</v>
      </c>
      <c r="I630" s="67"/>
      <c r="J630" s="66" t="s">
        <v>84</v>
      </c>
      <c r="K630" s="67"/>
      <c r="L630" s="149" t="s">
        <v>85</v>
      </c>
      <c r="M630" s="150"/>
      <c r="N630" s="64"/>
      <c r="O630" s="65" t="s">
        <v>77</v>
      </c>
      <c r="P630" s="65" t="s">
        <v>78</v>
      </c>
      <c r="Q630" s="65" t="s">
        <v>79</v>
      </c>
      <c r="R630" s="65" t="s">
        <v>80</v>
      </c>
      <c r="S630" s="66" t="s">
        <v>86</v>
      </c>
      <c r="T630" s="66" t="s">
        <v>82</v>
      </c>
      <c r="U630" s="65" t="s">
        <v>83</v>
      </c>
      <c r="V630" s="67"/>
      <c r="W630" s="66" t="s">
        <v>84</v>
      </c>
      <c r="X630" s="67"/>
      <c r="Y630" s="151" t="s">
        <v>85</v>
      </c>
      <c r="Z630" s="68"/>
      <c r="AA630" s="68"/>
      <c r="AB630" s="68"/>
      <c r="AC630" s="68"/>
      <c r="AD630" s="68"/>
      <c r="AE630" s="68"/>
    </row>
    <row r="631" spans="1:31" x14ac:dyDescent="0.2">
      <c r="A631" s="69">
        <v>0</v>
      </c>
      <c r="B631" s="152"/>
      <c r="C631" s="152"/>
      <c r="D631" s="152"/>
      <c r="E631" s="152"/>
      <c r="F631" s="85">
        <f>$B$612</f>
        <v>30075</v>
      </c>
      <c r="G631" s="85"/>
      <c r="H631" s="85"/>
      <c r="I631" s="70">
        <f>-B612</f>
        <v>-30075</v>
      </c>
      <c r="J631" s="71">
        <f>-$B$619*$B$612</f>
        <v>0</v>
      </c>
      <c r="K631" s="70">
        <f>I631+J631</f>
        <v>-30075</v>
      </c>
      <c r="L631" s="153"/>
      <c r="M631" s="154"/>
      <c r="N631" s="69"/>
      <c r="O631" s="152"/>
      <c r="P631" s="152"/>
      <c r="Q631" s="152"/>
      <c r="R631" s="152"/>
      <c r="S631" s="85">
        <f>$B$612</f>
        <v>30075</v>
      </c>
      <c r="T631" s="85"/>
      <c r="U631" s="85"/>
      <c r="V631" s="70">
        <f>-B612</f>
        <v>-30075</v>
      </c>
      <c r="W631" s="71">
        <f>-$B$618*$B$612</f>
        <v>0</v>
      </c>
      <c r="X631" s="70">
        <f>V631+W631</f>
        <v>-30075</v>
      </c>
      <c r="Y631" s="155"/>
      <c r="Z631" s="72"/>
      <c r="AA631" s="107">
        <f t="shared" ref="AA631:AA662" si="133">+V631-I631</f>
        <v>0</v>
      </c>
      <c r="AB631" s="72"/>
      <c r="AC631" s="72"/>
      <c r="AD631" s="72"/>
      <c r="AE631" s="72"/>
    </row>
    <row r="632" spans="1:31" x14ac:dyDescent="0.2">
      <c r="A632" s="73">
        <v>1</v>
      </c>
      <c r="B632" s="86">
        <f>B612</f>
        <v>30075</v>
      </c>
      <c r="C632" s="50">
        <f t="shared" ref="C632:C663" si="134">(IF(A632&lt;$B$613,PMT($B$614/12,$B$613,-$B$612,$B$617,$B$620),IF(A632=$B$613,PMT($B$614/12,$B$613,-$B$612,$B$617,$B$620)+$B$617,0)))</f>
        <v>459.82616350758974</v>
      </c>
      <c r="D632" s="86">
        <f t="shared" ref="D632:D663" si="135">IF(A632&lt;=$B$613,B632*$B$614/12,0)</f>
        <v>149.12187499999999</v>
      </c>
      <c r="E632" s="86">
        <f t="shared" ref="E632:E663" si="136">C632-D632</f>
        <v>310.70428850758975</v>
      </c>
      <c r="F632" s="74">
        <f t="shared" ref="F632:F663" si="137">(B632-E632)</f>
        <v>29764.29571149241</v>
      </c>
      <c r="G632" s="112">
        <f t="shared" ref="G632:G663" si="138">B632*(1-B$621)^($A632)</f>
        <v>29924.625</v>
      </c>
      <c r="H632" s="112">
        <f t="shared" ref="H632:H663" si="139">IF(A632&lt;=$B$613,G632*$B$614/12,0)</f>
        <v>148.376265625</v>
      </c>
      <c r="I632" s="75">
        <f t="shared" ref="I632:I663" si="140">C632</f>
        <v>459.82616350758974</v>
      </c>
      <c r="J632" s="74"/>
      <c r="K632" s="75">
        <f t="shared" ref="K632:K663" si="141">C632</f>
        <v>459.82616350758974</v>
      </c>
      <c r="L632" s="156">
        <f t="shared" ref="L632:L663" si="142">F632/$B$612*100</f>
        <v>98.966901783848414</v>
      </c>
      <c r="M632" s="157"/>
      <c r="N632" s="73">
        <v>1</v>
      </c>
      <c r="O632" s="86">
        <f>B612</f>
        <v>30075</v>
      </c>
      <c r="P632" s="50">
        <f t="shared" ref="P632:P663" si="143">(IF(N632&lt;$B$613,PMT($B$615/12,$B$613,-$B$612,$B$617,0),IF(N632=$B$613,PMT($B$615/12,$B$613,-$B$612,$B$617,0)+$B$617,0)))</f>
        <v>497.92964575807002</v>
      </c>
      <c r="Q632" s="86">
        <f t="shared" ref="Q632:Q663" si="144">IF(N632&lt;=$B$613,O632*$B$615/12,0)</f>
        <v>195.48749999999998</v>
      </c>
      <c r="R632" s="86">
        <f t="shared" ref="R632:R663" si="145">P632-Q632</f>
        <v>302.44214575807007</v>
      </c>
      <c r="S632" s="74">
        <f t="shared" ref="S632:S663" si="146">(O632-R632)</f>
        <v>29772.557854241932</v>
      </c>
      <c r="T632" s="112">
        <f t="shared" ref="T632:T663" si="147">O632*(1-B$621)^($N632)</f>
        <v>29924.625</v>
      </c>
      <c r="U632" s="112">
        <f t="shared" ref="U632:U663" si="148">IF(N632&lt;=$B$613,T632*$B$615/12,0)</f>
        <v>194.5100625</v>
      </c>
      <c r="V632" s="75">
        <f t="shared" ref="V632:V663" si="149">P632</f>
        <v>497.92964575807002</v>
      </c>
      <c r="W632" s="74"/>
      <c r="X632" s="75">
        <f t="shared" ref="X632:X663" si="150">P632</f>
        <v>497.92964575807002</v>
      </c>
      <c r="Y632" s="156">
        <f t="shared" ref="Y632:Y663" si="151">S632/$B$612*100</f>
        <v>98.994373580189304</v>
      </c>
      <c r="Z632" s="46"/>
      <c r="AA632" s="107">
        <f t="shared" si="133"/>
        <v>38.103482250480283</v>
      </c>
      <c r="AB632" s="46"/>
      <c r="AC632" s="46"/>
      <c r="AD632" s="46"/>
      <c r="AE632" s="46"/>
    </row>
    <row r="633" spans="1:31" x14ac:dyDescent="0.2">
      <c r="A633" s="73">
        <v>2</v>
      </c>
      <c r="B633" s="86">
        <f t="shared" ref="B633:B664" si="152">+F632</f>
        <v>29764.29571149241</v>
      </c>
      <c r="C633" s="50">
        <f t="shared" si="134"/>
        <v>459.82616350758974</v>
      </c>
      <c r="D633" s="86">
        <f t="shared" si="135"/>
        <v>147.58129956948321</v>
      </c>
      <c r="E633" s="86">
        <f t="shared" si="136"/>
        <v>312.2448639381065</v>
      </c>
      <c r="F633" s="74">
        <f t="shared" si="137"/>
        <v>29452.050847554303</v>
      </c>
      <c r="G633" s="112">
        <f t="shared" si="138"/>
        <v>29467.396861770274</v>
      </c>
      <c r="H633" s="112">
        <f t="shared" si="139"/>
        <v>146.1091761062776</v>
      </c>
      <c r="I633" s="75">
        <f t="shared" si="140"/>
        <v>459.82616350758974</v>
      </c>
      <c r="J633" s="74"/>
      <c r="K633" s="75">
        <f t="shared" si="141"/>
        <v>459.82616350758974</v>
      </c>
      <c r="L633" s="156">
        <f t="shared" si="142"/>
        <v>97.928681122375068</v>
      </c>
      <c r="M633" s="157"/>
      <c r="N633" s="73">
        <v>2</v>
      </c>
      <c r="O633" s="86">
        <f t="shared" ref="O633:O664" si="153">+S632</f>
        <v>29772.557854241932</v>
      </c>
      <c r="P633" s="50">
        <f t="shared" si="143"/>
        <v>497.92964575807002</v>
      </c>
      <c r="Q633" s="86">
        <f t="shared" si="144"/>
        <v>193.52162605257254</v>
      </c>
      <c r="R633" s="86">
        <f t="shared" si="145"/>
        <v>304.40801970549751</v>
      </c>
      <c r="S633" s="74">
        <f t="shared" si="146"/>
        <v>29468.149834536434</v>
      </c>
      <c r="T633" s="112">
        <f t="shared" si="147"/>
        <v>29475.576589645869</v>
      </c>
      <c r="U633" s="112">
        <f t="shared" si="148"/>
        <v>191.59124783269814</v>
      </c>
      <c r="V633" s="75">
        <f t="shared" si="149"/>
        <v>497.92964575807002</v>
      </c>
      <c r="W633" s="74"/>
      <c r="X633" s="75">
        <f t="shared" si="150"/>
        <v>497.92964575807002</v>
      </c>
      <c r="Y633" s="156">
        <f t="shared" si="151"/>
        <v>97.982210588649821</v>
      </c>
      <c r="Z633" s="46"/>
      <c r="AA633" s="107">
        <f t="shared" si="133"/>
        <v>38.103482250480283</v>
      </c>
      <c r="AB633" s="46"/>
      <c r="AC633" s="46"/>
      <c r="AD633" s="46"/>
      <c r="AE633" s="46"/>
    </row>
    <row r="634" spans="1:31" x14ac:dyDescent="0.2">
      <c r="A634" s="73">
        <v>3</v>
      </c>
      <c r="B634" s="86">
        <f t="shared" si="152"/>
        <v>29452.050847554303</v>
      </c>
      <c r="C634" s="50">
        <f t="shared" si="134"/>
        <v>459.82616350758974</v>
      </c>
      <c r="D634" s="86">
        <f t="shared" si="135"/>
        <v>146.03308545245673</v>
      </c>
      <c r="E634" s="86">
        <f t="shared" si="136"/>
        <v>313.79307805513304</v>
      </c>
      <c r="F634" s="74">
        <f t="shared" si="137"/>
        <v>29138.257769499171</v>
      </c>
      <c r="G634" s="112">
        <f t="shared" si="138"/>
        <v>29012.475307148201</v>
      </c>
      <c r="H634" s="112">
        <f t="shared" si="139"/>
        <v>143.85352339794315</v>
      </c>
      <c r="I634" s="75">
        <f t="shared" si="140"/>
        <v>459.82616350758974</v>
      </c>
      <c r="J634" s="74"/>
      <c r="K634" s="75">
        <f t="shared" si="141"/>
        <v>459.82616350758974</v>
      </c>
      <c r="L634" s="156">
        <f t="shared" si="142"/>
        <v>96.885312616788596</v>
      </c>
      <c r="M634" s="157"/>
      <c r="N634" s="73">
        <v>3</v>
      </c>
      <c r="O634" s="86">
        <f t="shared" si="153"/>
        <v>29468.149834536434</v>
      </c>
      <c r="P634" s="50">
        <f t="shared" si="143"/>
        <v>497.92964575807002</v>
      </c>
      <c r="Q634" s="86">
        <f t="shared" si="144"/>
        <v>191.5429739244868</v>
      </c>
      <c r="R634" s="86">
        <f t="shared" si="145"/>
        <v>306.38667183358325</v>
      </c>
      <c r="S634" s="74">
        <f t="shared" si="146"/>
        <v>29161.76316270285</v>
      </c>
      <c r="T634" s="112">
        <f t="shared" si="147"/>
        <v>29028.334014737251</v>
      </c>
      <c r="U634" s="112">
        <f t="shared" si="148"/>
        <v>188.68417109579215</v>
      </c>
      <c r="V634" s="75">
        <f t="shared" si="149"/>
        <v>497.92964575807002</v>
      </c>
      <c r="W634" s="74"/>
      <c r="X634" s="75">
        <f t="shared" si="150"/>
        <v>497.92964575807002</v>
      </c>
      <c r="Y634" s="156">
        <f t="shared" si="151"/>
        <v>96.963468537665335</v>
      </c>
      <c r="Z634" s="46"/>
      <c r="AA634" s="107">
        <f t="shared" si="133"/>
        <v>38.103482250480283</v>
      </c>
      <c r="AB634" s="46"/>
      <c r="AC634" s="46"/>
      <c r="AD634" s="46"/>
      <c r="AE634" s="46"/>
    </row>
    <row r="635" spans="1:31" x14ac:dyDescent="0.2">
      <c r="A635" s="73">
        <v>4</v>
      </c>
      <c r="B635" s="86">
        <f t="shared" si="152"/>
        <v>29138.257769499171</v>
      </c>
      <c r="C635" s="50">
        <f t="shared" si="134"/>
        <v>459.82616350758974</v>
      </c>
      <c r="D635" s="86">
        <f t="shared" si="135"/>
        <v>144.47719477376671</v>
      </c>
      <c r="E635" s="86">
        <f t="shared" si="136"/>
        <v>315.34896873382303</v>
      </c>
      <c r="F635" s="74">
        <f t="shared" si="137"/>
        <v>28822.908800765348</v>
      </c>
      <c r="G635" s="112">
        <f t="shared" si="138"/>
        <v>28559.848801857141</v>
      </c>
      <c r="H635" s="112">
        <f t="shared" si="139"/>
        <v>141.60925030920831</v>
      </c>
      <c r="I635" s="75">
        <f t="shared" si="140"/>
        <v>459.82616350758974</v>
      </c>
      <c r="J635" s="74"/>
      <c r="K635" s="75">
        <f t="shared" si="141"/>
        <v>459.82616350758974</v>
      </c>
      <c r="L635" s="156">
        <f t="shared" si="142"/>
        <v>95.836770742361921</v>
      </c>
      <c r="M635" s="157"/>
      <c r="N635" s="73">
        <v>4</v>
      </c>
      <c r="O635" s="86">
        <f t="shared" si="153"/>
        <v>29161.76316270285</v>
      </c>
      <c r="P635" s="50">
        <f t="shared" si="143"/>
        <v>497.92964575807002</v>
      </c>
      <c r="Q635" s="86">
        <f t="shared" si="144"/>
        <v>189.5514605575685</v>
      </c>
      <c r="R635" s="86">
        <f t="shared" si="145"/>
        <v>308.37818520050155</v>
      </c>
      <c r="S635" s="74">
        <f t="shared" si="146"/>
        <v>28853.384977502348</v>
      </c>
      <c r="T635" s="112">
        <f t="shared" si="147"/>
        <v>28582.887601267721</v>
      </c>
      <c r="U635" s="112">
        <f t="shared" si="148"/>
        <v>185.7887694082402</v>
      </c>
      <c r="V635" s="75">
        <f t="shared" si="149"/>
        <v>497.92964575807002</v>
      </c>
      <c r="W635" s="74"/>
      <c r="X635" s="75">
        <f t="shared" si="150"/>
        <v>497.92964575807002</v>
      </c>
      <c r="Y635" s="156">
        <f t="shared" si="151"/>
        <v>95.938104663349449</v>
      </c>
      <c r="Z635" s="46"/>
      <c r="AA635" s="107">
        <f t="shared" si="133"/>
        <v>38.103482250480283</v>
      </c>
      <c r="AB635" s="46"/>
      <c r="AC635" s="46"/>
      <c r="AD635" s="46"/>
      <c r="AE635" s="46"/>
    </row>
    <row r="636" spans="1:31" x14ac:dyDescent="0.2">
      <c r="A636" s="73">
        <v>5</v>
      </c>
      <c r="B636" s="86">
        <f t="shared" si="152"/>
        <v>28822.908800765348</v>
      </c>
      <c r="C636" s="50">
        <f t="shared" si="134"/>
        <v>459.82616350758974</v>
      </c>
      <c r="D636" s="86">
        <f t="shared" si="135"/>
        <v>142.91358947046152</v>
      </c>
      <c r="E636" s="86">
        <f t="shared" si="136"/>
        <v>316.91257403712825</v>
      </c>
      <c r="F636" s="74">
        <f t="shared" si="137"/>
        <v>28505.996226728221</v>
      </c>
      <c r="G636" s="112">
        <f t="shared" si="138"/>
        <v>28109.505869291927</v>
      </c>
      <c r="H636" s="112">
        <f t="shared" si="139"/>
        <v>139.37629993523913</v>
      </c>
      <c r="I636" s="75">
        <f t="shared" si="140"/>
        <v>459.82616350758974</v>
      </c>
      <c r="J636" s="74"/>
      <c r="K636" s="75">
        <f t="shared" si="141"/>
        <v>459.82616350758974</v>
      </c>
      <c r="L636" s="156">
        <f t="shared" si="142"/>
        <v>94.783029847807882</v>
      </c>
      <c r="M636" s="157"/>
      <c r="N636" s="73">
        <v>5</v>
      </c>
      <c r="O636" s="86">
        <f t="shared" si="153"/>
        <v>28853.384977502348</v>
      </c>
      <c r="P636" s="50">
        <f t="shared" si="143"/>
        <v>497.92964575807002</v>
      </c>
      <c r="Q636" s="86">
        <f t="shared" si="144"/>
        <v>187.54700235376527</v>
      </c>
      <c r="R636" s="86">
        <f t="shared" si="145"/>
        <v>310.38264340430476</v>
      </c>
      <c r="S636" s="74">
        <f t="shared" si="146"/>
        <v>28543.002334098044</v>
      </c>
      <c r="T636" s="112">
        <f t="shared" si="147"/>
        <v>28139.227722654607</v>
      </c>
      <c r="U636" s="112">
        <f t="shared" si="148"/>
        <v>182.90498019725496</v>
      </c>
      <c r="V636" s="75">
        <f t="shared" si="149"/>
        <v>497.92964575807002</v>
      </c>
      <c r="W636" s="74"/>
      <c r="X636" s="75">
        <f t="shared" si="150"/>
        <v>497.92964575807002</v>
      </c>
      <c r="Y636" s="156">
        <f t="shared" si="151"/>
        <v>94.906075923850523</v>
      </c>
      <c r="Z636" s="46"/>
      <c r="AA636" s="107">
        <f t="shared" si="133"/>
        <v>38.103482250480283</v>
      </c>
      <c r="AB636" s="46"/>
      <c r="AC636" s="46"/>
      <c r="AD636" s="46"/>
      <c r="AE636" s="46"/>
    </row>
    <row r="637" spans="1:31" x14ac:dyDescent="0.2">
      <c r="A637" s="73">
        <v>6</v>
      </c>
      <c r="B637" s="86">
        <f t="shared" si="152"/>
        <v>28505.996226728221</v>
      </c>
      <c r="C637" s="50">
        <f t="shared" si="134"/>
        <v>459.82616350758974</v>
      </c>
      <c r="D637" s="86">
        <f t="shared" si="135"/>
        <v>141.34223129086075</v>
      </c>
      <c r="E637" s="86">
        <f t="shared" si="136"/>
        <v>318.48393221672899</v>
      </c>
      <c r="F637" s="74">
        <f t="shared" si="137"/>
        <v>28187.512294511493</v>
      </c>
      <c r="G637" s="112">
        <f t="shared" si="138"/>
        <v>27661.435090230505</v>
      </c>
      <c r="H637" s="112">
        <f t="shared" si="139"/>
        <v>137.15461565572625</v>
      </c>
      <c r="I637" s="75">
        <f t="shared" si="140"/>
        <v>459.82616350758974</v>
      </c>
      <c r="J637" s="74"/>
      <c r="K637" s="75">
        <f t="shared" si="141"/>
        <v>459.82616350758974</v>
      </c>
      <c r="L637" s="156">
        <f t="shared" si="142"/>
        <v>93.724064154651671</v>
      </c>
      <c r="M637" s="157"/>
      <c r="N637" s="73">
        <v>6</v>
      </c>
      <c r="O637" s="86">
        <f t="shared" si="153"/>
        <v>28543.002334098044</v>
      </c>
      <c r="P637" s="50">
        <f t="shared" si="143"/>
        <v>497.92964575807002</v>
      </c>
      <c r="Q637" s="86">
        <f t="shared" si="144"/>
        <v>185.52951517163729</v>
      </c>
      <c r="R637" s="86">
        <f t="shared" si="145"/>
        <v>312.40013058643274</v>
      </c>
      <c r="S637" s="74">
        <f t="shared" si="146"/>
        <v>28230.602203511611</v>
      </c>
      <c r="T637" s="112">
        <f t="shared" si="147"/>
        <v>27697.344799500468</v>
      </c>
      <c r="U637" s="112">
        <f t="shared" si="148"/>
        <v>180.03274119675305</v>
      </c>
      <c r="V637" s="75">
        <f t="shared" si="149"/>
        <v>497.92964575807002</v>
      </c>
      <c r="W637" s="74"/>
      <c r="X637" s="75">
        <f t="shared" si="150"/>
        <v>497.92964575807002</v>
      </c>
      <c r="Y637" s="156">
        <f t="shared" si="151"/>
        <v>93.867338997544849</v>
      </c>
      <c r="Z637" s="46"/>
      <c r="AA637" s="107">
        <f t="shared" si="133"/>
        <v>38.103482250480283</v>
      </c>
      <c r="AB637" s="46"/>
      <c r="AC637" s="46"/>
      <c r="AD637" s="46"/>
      <c r="AE637" s="46"/>
    </row>
    <row r="638" spans="1:31" x14ac:dyDescent="0.2">
      <c r="A638" s="73">
        <v>7</v>
      </c>
      <c r="B638" s="86">
        <f t="shared" si="152"/>
        <v>28187.512294511493</v>
      </c>
      <c r="C638" s="50">
        <f t="shared" si="134"/>
        <v>459.82616350758974</v>
      </c>
      <c r="D638" s="86">
        <f t="shared" si="135"/>
        <v>139.76308179361948</v>
      </c>
      <c r="E638" s="86">
        <f t="shared" si="136"/>
        <v>320.06308171397029</v>
      </c>
      <c r="F638" s="74">
        <f t="shared" si="137"/>
        <v>27867.449212797521</v>
      </c>
      <c r="G638" s="112">
        <f t="shared" si="138"/>
        <v>27215.62510254703</v>
      </c>
      <c r="H638" s="112">
        <f t="shared" si="139"/>
        <v>134.94414113346235</v>
      </c>
      <c r="I638" s="75">
        <f t="shared" si="140"/>
        <v>459.82616350758974</v>
      </c>
      <c r="J638" s="74"/>
      <c r="K638" s="75">
        <f t="shared" si="141"/>
        <v>459.82616350758974</v>
      </c>
      <c r="L638" s="156">
        <f t="shared" si="142"/>
        <v>92.659847756600229</v>
      </c>
      <c r="M638" s="157"/>
      <c r="N638" s="73">
        <v>7</v>
      </c>
      <c r="O638" s="86">
        <f t="shared" si="153"/>
        <v>28230.602203511611</v>
      </c>
      <c r="P638" s="50">
        <f t="shared" si="143"/>
        <v>497.92964575807002</v>
      </c>
      <c r="Q638" s="86">
        <f t="shared" si="144"/>
        <v>183.49891432282547</v>
      </c>
      <c r="R638" s="86">
        <f t="shared" si="145"/>
        <v>314.43073143524452</v>
      </c>
      <c r="S638" s="74">
        <f t="shared" si="146"/>
        <v>27916.171472076367</v>
      </c>
      <c r="T638" s="112">
        <f t="shared" si="147"/>
        <v>27257.229299355786</v>
      </c>
      <c r="U638" s="112">
        <f t="shared" si="148"/>
        <v>177.17199044581261</v>
      </c>
      <c r="V638" s="75">
        <f t="shared" si="149"/>
        <v>497.92964575807002</v>
      </c>
      <c r="W638" s="74"/>
      <c r="X638" s="75">
        <f t="shared" si="150"/>
        <v>497.92964575807002</v>
      </c>
      <c r="Y638" s="156">
        <f t="shared" si="151"/>
        <v>92.821850281218175</v>
      </c>
      <c r="Z638" s="46"/>
      <c r="AA638" s="107">
        <f t="shared" si="133"/>
        <v>38.103482250480283</v>
      </c>
      <c r="AB638" s="46"/>
      <c r="AC638" s="46"/>
      <c r="AD638" s="46"/>
      <c r="AE638" s="46"/>
    </row>
    <row r="639" spans="1:31" x14ac:dyDescent="0.2">
      <c r="A639" s="73">
        <v>8</v>
      </c>
      <c r="B639" s="86">
        <f t="shared" si="152"/>
        <v>27867.449212797521</v>
      </c>
      <c r="C639" s="50">
        <f t="shared" si="134"/>
        <v>459.82616350758974</v>
      </c>
      <c r="D639" s="86">
        <f t="shared" si="135"/>
        <v>138.1761023467877</v>
      </c>
      <c r="E639" s="86">
        <f t="shared" si="136"/>
        <v>321.65006116080201</v>
      </c>
      <c r="F639" s="74">
        <f t="shared" si="137"/>
        <v>27545.799151636718</v>
      </c>
      <c r="G639" s="112">
        <f t="shared" si="138"/>
        <v>26772.064600926366</v>
      </c>
      <c r="H639" s="112">
        <f t="shared" si="139"/>
        <v>132.74482031292655</v>
      </c>
      <c r="I639" s="75">
        <f t="shared" si="140"/>
        <v>459.82616350758974</v>
      </c>
      <c r="J639" s="74"/>
      <c r="K639" s="75">
        <f t="shared" si="141"/>
        <v>459.82616350758974</v>
      </c>
      <c r="L639" s="156">
        <f t="shared" si="142"/>
        <v>91.590354618908449</v>
      </c>
      <c r="M639" s="157"/>
      <c r="N639" s="73">
        <v>8</v>
      </c>
      <c r="O639" s="86">
        <f t="shared" si="153"/>
        <v>27916.171472076367</v>
      </c>
      <c r="P639" s="50">
        <f t="shared" si="143"/>
        <v>497.92964575807002</v>
      </c>
      <c r="Q639" s="86">
        <f t="shared" si="144"/>
        <v>181.45511456849638</v>
      </c>
      <c r="R639" s="86">
        <f t="shared" si="145"/>
        <v>316.47453118957367</v>
      </c>
      <c r="S639" s="74">
        <f t="shared" si="146"/>
        <v>27599.696940886792</v>
      </c>
      <c r="T639" s="112">
        <f t="shared" si="147"/>
        <v>26818.87173648283</v>
      </c>
      <c r="U639" s="112">
        <f t="shared" si="148"/>
        <v>174.32266628713839</v>
      </c>
      <c r="V639" s="75">
        <f t="shared" si="149"/>
        <v>497.92964575807002</v>
      </c>
      <c r="W639" s="74"/>
      <c r="X639" s="75">
        <f t="shared" si="150"/>
        <v>497.92964575807002</v>
      </c>
      <c r="Y639" s="156">
        <f t="shared" si="151"/>
        <v>91.769565888235377</v>
      </c>
      <c r="Z639" s="46"/>
      <c r="AA639" s="107">
        <f t="shared" si="133"/>
        <v>38.103482250480283</v>
      </c>
      <c r="AB639" s="46"/>
      <c r="AC639" s="46"/>
      <c r="AD639" s="46"/>
      <c r="AE639" s="46"/>
    </row>
    <row r="640" spans="1:31" x14ac:dyDescent="0.2">
      <c r="A640" s="73">
        <v>9</v>
      </c>
      <c r="B640" s="86">
        <f t="shared" si="152"/>
        <v>27545.799151636718</v>
      </c>
      <c r="C640" s="50">
        <f t="shared" si="134"/>
        <v>459.82616350758974</v>
      </c>
      <c r="D640" s="86">
        <f t="shared" si="135"/>
        <v>136.58125412686539</v>
      </c>
      <c r="E640" s="86">
        <f t="shared" si="136"/>
        <v>323.24490938072438</v>
      </c>
      <c r="F640" s="74">
        <f t="shared" si="137"/>
        <v>27222.554242255996</v>
      </c>
      <c r="G640" s="112">
        <f t="shared" si="138"/>
        <v>26330.74233658005</v>
      </c>
      <c r="H640" s="112">
        <f t="shared" si="139"/>
        <v>130.55659741887607</v>
      </c>
      <c r="I640" s="75">
        <f t="shared" si="140"/>
        <v>459.82616350758974</v>
      </c>
      <c r="J640" s="74"/>
      <c r="K640" s="75">
        <f t="shared" si="141"/>
        <v>459.82616350758974</v>
      </c>
      <c r="L640" s="156">
        <f t="shared" si="142"/>
        <v>90.515558577742297</v>
      </c>
      <c r="M640" s="157"/>
      <c r="N640" s="73">
        <v>9</v>
      </c>
      <c r="O640" s="86">
        <f t="shared" si="153"/>
        <v>27599.696940886792</v>
      </c>
      <c r="P640" s="50">
        <f t="shared" si="143"/>
        <v>497.92964575807002</v>
      </c>
      <c r="Q640" s="86">
        <f t="shared" si="144"/>
        <v>179.39803011576416</v>
      </c>
      <c r="R640" s="86">
        <f t="shared" si="145"/>
        <v>318.53161564230584</v>
      </c>
      <c r="S640" s="74">
        <f t="shared" si="146"/>
        <v>27281.165325244485</v>
      </c>
      <c r="T640" s="112">
        <f t="shared" si="147"/>
        <v>26382.262671620705</v>
      </c>
      <c r="U640" s="112">
        <f t="shared" si="148"/>
        <v>171.4847073655346</v>
      </c>
      <c r="V640" s="75">
        <f t="shared" si="149"/>
        <v>497.92964575807002</v>
      </c>
      <c r="W640" s="74"/>
      <c r="X640" s="75">
        <f t="shared" si="150"/>
        <v>497.92964575807002</v>
      </c>
      <c r="Y640" s="156">
        <f t="shared" si="151"/>
        <v>90.7104416466982</v>
      </c>
      <c r="Z640" s="46"/>
      <c r="AA640" s="107">
        <f t="shared" si="133"/>
        <v>38.103482250480283</v>
      </c>
      <c r="AB640" s="46"/>
      <c r="AC640" s="46"/>
      <c r="AD640" s="46"/>
      <c r="AE640" s="46"/>
    </row>
    <row r="641" spans="1:31" x14ac:dyDescent="0.2">
      <c r="A641" s="73">
        <v>10</v>
      </c>
      <c r="B641" s="86">
        <f t="shared" si="152"/>
        <v>27222.554242255996</v>
      </c>
      <c r="C641" s="50">
        <f t="shared" si="134"/>
        <v>459.82616350758974</v>
      </c>
      <c r="D641" s="86">
        <f t="shared" si="135"/>
        <v>134.97849811785264</v>
      </c>
      <c r="E641" s="86">
        <f t="shared" si="136"/>
        <v>324.84766538973713</v>
      </c>
      <c r="F641" s="74">
        <f t="shared" si="137"/>
        <v>26897.706576866258</v>
      </c>
      <c r="G641" s="112">
        <f t="shared" si="138"/>
        <v>25891.647116963653</v>
      </c>
      <c r="H641" s="112">
        <f t="shared" si="139"/>
        <v>128.37941695494479</v>
      </c>
      <c r="I641" s="75">
        <f t="shared" si="140"/>
        <v>459.82616350758974</v>
      </c>
      <c r="J641" s="74"/>
      <c r="K641" s="75">
        <f t="shared" si="141"/>
        <v>459.82616350758974</v>
      </c>
      <c r="L641" s="156">
        <f t="shared" si="142"/>
        <v>89.43543333953869</v>
      </c>
      <c r="M641" s="157"/>
      <c r="N641" s="73">
        <v>10</v>
      </c>
      <c r="O641" s="86">
        <f t="shared" si="153"/>
        <v>27281.165325244485</v>
      </c>
      <c r="P641" s="50">
        <f t="shared" si="143"/>
        <v>497.92964575807002</v>
      </c>
      <c r="Q641" s="86">
        <f t="shared" si="144"/>
        <v>177.32757461408914</v>
      </c>
      <c r="R641" s="86">
        <f t="shared" si="145"/>
        <v>320.60207114398088</v>
      </c>
      <c r="S641" s="74">
        <f t="shared" si="146"/>
        <v>26960.563254100503</v>
      </c>
      <c r="T641" s="112">
        <f t="shared" si="147"/>
        <v>25947.392711751578</v>
      </c>
      <c r="U641" s="112">
        <f t="shared" si="148"/>
        <v>168.65805262638526</v>
      </c>
      <c r="V641" s="75">
        <f t="shared" si="149"/>
        <v>497.92964575807002</v>
      </c>
      <c r="W641" s="74"/>
      <c r="X641" s="75">
        <f t="shared" si="150"/>
        <v>497.92964575807002</v>
      </c>
      <c r="Y641" s="156">
        <f t="shared" si="151"/>
        <v>89.644433097591033</v>
      </c>
      <c r="Z641" s="46"/>
      <c r="AA641" s="107">
        <f t="shared" si="133"/>
        <v>38.103482250480283</v>
      </c>
      <c r="AB641" s="46"/>
      <c r="AC641" s="46"/>
      <c r="AD641" s="46"/>
      <c r="AE641" s="46"/>
    </row>
    <row r="642" spans="1:31" x14ac:dyDescent="0.2">
      <c r="A642" s="73">
        <v>11</v>
      </c>
      <c r="B642" s="86">
        <f t="shared" si="152"/>
        <v>26897.706576866258</v>
      </c>
      <c r="C642" s="50">
        <f t="shared" si="134"/>
        <v>459.82616350758974</v>
      </c>
      <c r="D642" s="86">
        <f t="shared" si="135"/>
        <v>133.36779511029519</v>
      </c>
      <c r="E642" s="86">
        <f t="shared" si="136"/>
        <v>326.45836839729452</v>
      </c>
      <c r="F642" s="74">
        <f t="shared" si="137"/>
        <v>26571.248208468962</v>
      </c>
      <c r="G642" s="112">
        <f t="shared" si="138"/>
        <v>25454.76780549555</v>
      </c>
      <c r="H642" s="112">
        <f t="shared" si="139"/>
        <v>126.21322370224875</v>
      </c>
      <c r="I642" s="75">
        <f t="shared" si="140"/>
        <v>459.82616350758974</v>
      </c>
      <c r="J642" s="74"/>
      <c r="K642" s="75">
        <f t="shared" si="141"/>
        <v>459.82616350758974</v>
      </c>
      <c r="L642" s="156">
        <f t="shared" si="142"/>
        <v>88.349952480362305</v>
      </c>
      <c r="M642" s="157"/>
      <c r="N642" s="73">
        <v>11</v>
      </c>
      <c r="O642" s="86">
        <f t="shared" si="153"/>
        <v>26960.563254100503</v>
      </c>
      <c r="P642" s="50">
        <f t="shared" si="143"/>
        <v>497.92964575807002</v>
      </c>
      <c r="Q642" s="86">
        <f t="shared" si="144"/>
        <v>175.2436611516533</v>
      </c>
      <c r="R642" s="86">
        <f t="shared" si="145"/>
        <v>322.6859846064167</v>
      </c>
      <c r="S642" s="74">
        <f t="shared" si="146"/>
        <v>26637.877269494085</v>
      </c>
      <c r="T642" s="112">
        <f t="shared" si="147"/>
        <v>25514.252509868034</v>
      </c>
      <c r="U642" s="112">
        <f t="shared" si="148"/>
        <v>165.84264131414224</v>
      </c>
      <c r="V642" s="75">
        <f t="shared" si="149"/>
        <v>497.92964575807002</v>
      </c>
      <c r="W642" s="74"/>
      <c r="X642" s="75">
        <f t="shared" si="150"/>
        <v>497.92964575807002</v>
      </c>
      <c r="Y642" s="156">
        <f t="shared" si="151"/>
        <v>88.571495492914664</v>
      </c>
      <c r="Z642" s="46"/>
      <c r="AA642" s="107">
        <f t="shared" si="133"/>
        <v>38.103482250480283</v>
      </c>
      <c r="AB642" s="46"/>
      <c r="AC642" s="46"/>
      <c r="AD642" s="46"/>
      <c r="AE642" s="46"/>
    </row>
    <row r="643" spans="1:31" x14ac:dyDescent="0.2">
      <c r="A643" s="73">
        <v>12</v>
      </c>
      <c r="B643" s="86">
        <f t="shared" si="152"/>
        <v>26571.248208468962</v>
      </c>
      <c r="C643" s="50">
        <f t="shared" si="134"/>
        <v>459.82616350758974</v>
      </c>
      <c r="D643" s="86">
        <f t="shared" si="135"/>
        <v>131.74910570032526</v>
      </c>
      <c r="E643" s="86">
        <f t="shared" si="136"/>
        <v>328.07705780726451</v>
      </c>
      <c r="F643" s="74">
        <f t="shared" si="137"/>
        <v>26243.171150661696</v>
      </c>
      <c r="G643" s="112">
        <f t="shared" si="138"/>
        <v>25020.093321277127</v>
      </c>
      <c r="H643" s="112">
        <f t="shared" si="139"/>
        <v>124.05796271799909</v>
      </c>
      <c r="I643" s="75">
        <f t="shared" si="140"/>
        <v>459.82616350758974</v>
      </c>
      <c r="J643" s="74"/>
      <c r="K643" s="75">
        <f t="shared" si="141"/>
        <v>459.82616350758974</v>
      </c>
      <c r="L643" s="156">
        <f t="shared" si="142"/>
        <v>87.259089445259178</v>
      </c>
      <c r="M643" s="157"/>
      <c r="N643" s="73">
        <v>12</v>
      </c>
      <c r="O643" s="86">
        <f t="shared" si="153"/>
        <v>26637.877269494085</v>
      </c>
      <c r="P643" s="50">
        <f t="shared" si="143"/>
        <v>497.92964575807002</v>
      </c>
      <c r="Q643" s="86">
        <f t="shared" si="144"/>
        <v>173.14620225171154</v>
      </c>
      <c r="R643" s="86">
        <f t="shared" si="145"/>
        <v>324.78344350635848</v>
      </c>
      <c r="S643" s="74">
        <f t="shared" si="146"/>
        <v>26313.093825987726</v>
      </c>
      <c r="T643" s="112">
        <f t="shared" si="147"/>
        <v>25082.832764741674</v>
      </c>
      <c r="U643" s="112">
        <f t="shared" si="148"/>
        <v>163.03841297082087</v>
      </c>
      <c r="V643" s="75">
        <f t="shared" si="149"/>
        <v>497.92964575807002</v>
      </c>
      <c r="W643" s="74"/>
      <c r="X643" s="75">
        <f t="shared" si="150"/>
        <v>497.92964575807002</v>
      </c>
      <c r="Y643" s="156">
        <f t="shared" si="151"/>
        <v>87.491583793807905</v>
      </c>
      <c r="Z643" s="46"/>
      <c r="AA643" s="107">
        <f t="shared" si="133"/>
        <v>38.103482250480283</v>
      </c>
      <c r="AB643" s="46"/>
      <c r="AC643" s="46"/>
      <c r="AD643" s="46"/>
      <c r="AE643" s="46"/>
    </row>
    <row r="644" spans="1:31" x14ac:dyDescent="0.2">
      <c r="A644" s="73">
        <v>13</v>
      </c>
      <c r="B644" s="86">
        <f t="shared" si="152"/>
        <v>26243.171150661696</v>
      </c>
      <c r="C644" s="50">
        <f t="shared" si="134"/>
        <v>459.82616350758974</v>
      </c>
      <c r="D644" s="86">
        <f t="shared" si="135"/>
        <v>130.12239028869757</v>
      </c>
      <c r="E644" s="86">
        <f t="shared" si="136"/>
        <v>329.70377321889214</v>
      </c>
      <c r="F644" s="74">
        <f t="shared" si="137"/>
        <v>25913.467377442805</v>
      </c>
      <c r="G644" s="112">
        <f t="shared" si="138"/>
        <v>24587.612638814338</v>
      </c>
      <c r="H644" s="112">
        <f t="shared" si="139"/>
        <v>121.9135793341211</v>
      </c>
      <c r="I644" s="75">
        <f t="shared" si="140"/>
        <v>459.82616350758974</v>
      </c>
      <c r="J644" s="74"/>
      <c r="K644" s="75">
        <f t="shared" si="141"/>
        <v>459.82616350758974</v>
      </c>
      <c r="L644" s="156">
        <f t="shared" si="142"/>
        <v>86.162817547606991</v>
      </c>
      <c r="M644" s="157"/>
      <c r="N644" s="73">
        <v>13</v>
      </c>
      <c r="O644" s="86">
        <f t="shared" si="153"/>
        <v>26313.093825987726</v>
      </c>
      <c r="P644" s="50">
        <f t="shared" si="143"/>
        <v>497.92964575807002</v>
      </c>
      <c r="Q644" s="86">
        <f t="shared" si="144"/>
        <v>171.03510986892022</v>
      </c>
      <c r="R644" s="86">
        <f t="shared" si="145"/>
        <v>326.89453588914978</v>
      </c>
      <c r="S644" s="74">
        <f t="shared" si="146"/>
        <v>25986.199290098575</v>
      </c>
      <c r="T644" s="112">
        <f t="shared" si="147"/>
        <v>24653.12422069276</v>
      </c>
      <c r="U644" s="112">
        <f t="shared" si="148"/>
        <v>160.24530743450293</v>
      </c>
      <c r="V644" s="75">
        <f t="shared" si="149"/>
        <v>497.92964575807002</v>
      </c>
      <c r="W644" s="74"/>
      <c r="X644" s="75">
        <f t="shared" si="150"/>
        <v>497.92964575807002</v>
      </c>
      <c r="Y644" s="156">
        <f t="shared" si="151"/>
        <v>86.404652668656951</v>
      </c>
      <c r="Z644" s="46"/>
      <c r="AA644" s="107">
        <f t="shared" si="133"/>
        <v>38.103482250480283</v>
      </c>
      <c r="AB644" s="46"/>
      <c r="AC644" s="46"/>
      <c r="AD644" s="46"/>
      <c r="AE644" s="46"/>
    </row>
    <row r="645" spans="1:31" x14ac:dyDescent="0.2">
      <c r="A645" s="73">
        <v>14</v>
      </c>
      <c r="B645" s="86">
        <f t="shared" si="152"/>
        <v>25913.467377442805</v>
      </c>
      <c r="C645" s="50">
        <f t="shared" si="134"/>
        <v>459.82616350758974</v>
      </c>
      <c r="D645" s="86">
        <f t="shared" si="135"/>
        <v>128.48760907982057</v>
      </c>
      <c r="E645" s="86">
        <f t="shared" si="136"/>
        <v>331.33855442776917</v>
      </c>
      <c r="F645" s="74">
        <f t="shared" si="137"/>
        <v>25582.128823015035</v>
      </c>
      <c r="G645" s="112">
        <f t="shared" si="138"/>
        <v>24157.31478774071</v>
      </c>
      <c r="H645" s="112">
        <f t="shared" si="139"/>
        <v>119.78001915588101</v>
      </c>
      <c r="I645" s="75">
        <f t="shared" si="140"/>
        <v>459.82616350758974</v>
      </c>
      <c r="J645" s="74"/>
      <c r="K645" s="75">
        <f t="shared" si="141"/>
        <v>459.82616350758974</v>
      </c>
      <c r="L645" s="156">
        <f t="shared" si="142"/>
        <v>85.06110996846229</v>
      </c>
      <c r="M645" s="157"/>
      <c r="N645" s="73">
        <v>14</v>
      </c>
      <c r="O645" s="86">
        <f t="shared" si="153"/>
        <v>25986.199290098575</v>
      </c>
      <c r="P645" s="50">
        <f t="shared" si="143"/>
        <v>497.92964575807002</v>
      </c>
      <c r="Q645" s="86">
        <f t="shared" si="144"/>
        <v>168.91029538564075</v>
      </c>
      <c r="R645" s="86">
        <f t="shared" si="145"/>
        <v>329.01935037242924</v>
      </c>
      <c r="S645" s="74">
        <f t="shared" si="146"/>
        <v>25657.179939726146</v>
      </c>
      <c r="T645" s="112">
        <f t="shared" si="147"/>
        <v>24225.117667361112</v>
      </c>
      <c r="U645" s="112">
        <f t="shared" si="148"/>
        <v>157.46326483784722</v>
      </c>
      <c r="V645" s="75">
        <f t="shared" si="149"/>
        <v>497.92964575807002</v>
      </c>
      <c r="W645" s="74"/>
      <c r="X645" s="75">
        <f t="shared" si="150"/>
        <v>497.92964575807002</v>
      </c>
      <c r="Y645" s="156">
        <f t="shared" si="151"/>
        <v>85.310656491192503</v>
      </c>
      <c r="Z645" s="46"/>
      <c r="AA645" s="107">
        <f t="shared" si="133"/>
        <v>38.103482250480283</v>
      </c>
      <c r="AB645" s="46"/>
      <c r="AC645" s="46"/>
      <c r="AD645" s="46"/>
      <c r="AE645" s="46"/>
    </row>
    <row r="646" spans="1:31" x14ac:dyDescent="0.2">
      <c r="A646" s="73">
        <v>15</v>
      </c>
      <c r="B646" s="86">
        <f t="shared" si="152"/>
        <v>25582.128823015035</v>
      </c>
      <c r="C646" s="50">
        <f t="shared" si="134"/>
        <v>459.82616350758974</v>
      </c>
      <c r="D646" s="86">
        <f t="shared" si="135"/>
        <v>126.84472208078289</v>
      </c>
      <c r="E646" s="86">
        <f t="shared" si="136"/>
        <v>332.98144142680684</v>
      </c>
      <c r="F646" s="74">
        <f t="shared" si="137"/>
        <v>25249.147381588227</v>
      </c>
      <c r="G646" s="112">
        <f t="shared" si="138"/>
        <v>23729.188852541683</v>
      </c>
      <c r="H646" s="112">
        <f t="shared" si="139"/>
        <v>117.65722806051917</v>
      </c>
      <c r="I646" s="75">
        <f t="shared" si="140"/>
        <v>459.82616350758974</v>
      </c>
      <c r="J646" s="74"/>
      <c r="K646" s="75">
        <f t="shared" si="141"/>
        <v>459.82616350758974</v>
      </c>
      <c r="L646" s="156">
        <f t="shared" si="142"/>
        <v>83.953939755904329</v>
      </c>
      <c r="M646" s="157"/>
      <c r="N646" s="73">
        <v>15</v>
      </c>
      <c r="O646" s="86">
        <f t="shared" si="153"/>
        <v>25657.179939726146</v>
      </c>
      <c r="P646" s="50">
        <f t="shared" si="143"/>
        <v>497.92964575807002</v>
      </c>
      <c r="Q646" s="86">
        <f t="shared" si="144"/>
        <v>166.77166960821995</v>
      </c>
      <c r="R646" s="86">
        <f t="shared" si="145"/>
        <v>331.15797614985007</v>
      </c>
      <c r="S646" s="74">
        <f t="shared" si="146"/>
        <v>25326.021963576295</v>
      </c>
      <c r="T646" s="112">
        <f t="shared" si="147"/>
        <v>23798.803939478075</v>
      </c>
      <c r="U646" s="112">
        <f t="shared" si="148"/>
        <v>154.69222560660748</v>
      </c>
      <c r="V646" s="75">
        <f t="shared" si="149"/>
        <v>497.92964575807002</v>
      </c>
      <c r="W646" s="74"/>
      <c r="X646" s="75">
        <f t="shared" si="150"/>
        <v>497.92964575807002</v>
      </c>
      <c r="Y646" s="156">
        <f t="shared" si="151"/>
        <v>84.209549338574547</v>
      </c>
      <c r="Z646" s="46"/>
      <c r="AA646" s="107">
        <f t="shared" si="133"/>
        <v>38.103482250480283</v>
      </c>
      <c r="AB646" s="46"/>
      <c r="AC646" s="46"/>
      <c r="AD646" s="46"/>
      <c r="AE646" s="46"/>
    </row>
    <row r="647" spans="1:31" x14ac:dyDescent="0.2">
      <c r="A647" s="73">
        <v>16</v>
      </c>
      <c r="B647" s="86">
        <f t="shared" si="152"/>
        <v>25249.147381588227</v>
      </c>
      <c r="C647" s="50">
        <f t="shared" si="134"/>
        <v>459.82616350758974</v>
      </c>
      <c r="D647" s="86">
        <f t="shared" si="135"/>
        <v>125.19368910037495</v>
      </c>
      <c r="E647" s="86">
        <f t="shared" si="136"/>
        <v>334.63247440721477</v>
      </c>
      <c r="F647" s="74">
        <f t="shared" si="137"/>
        <v>24914.514907181012</v>
      </c>
      <c r="G647" s="112">
        <f t="shared" si="138"/>
        <v>23303.223972280372</v>
      </c>
      <c r="H647" s="112">
        <f t="shared" si="139"/>
        <v>115.54515219589017</v>
      </c>
      <c r="I647" s="75">
        <f t="shared" si="140"/>
        <v>459.82616350758974</v>
      </c>
      <c r="J647" s="74"/>
      <c r="K647" s="75">
        <f t="shared" si="141"/>
        <v>459.82616350758974</v>
      </c>
      <c r="L647" s="156">
        <f t="shared" si="142"/>
        <v>82.841279824375775</v>
      </c>
      <c r="M647" s="157"/>
      <c r="N647" s="73">
        <v>16</v>
      </c>
      <c r="O647" s="86">
        <f t="shared" si="153"/>
        <v>25326.021963576295</v>
      </c>
      <c r="P647" s="50">
        <f t="shared" si="143"/>
        <v>497.92964575807002</v>
      </c>
      <c r="Q647" s="86">
        <f t="shared" si="144"/>
        <v>164.61914276324592</v>
      </c>
      <c r="R647" s="86">
        <f t="shared" si="145"/>
        <v>333.31050299482411</v>
      </c>
      <c r="S647" s="74">
        <f t="shared" si="146"/>
        <v>24992.711460581471</v>
      </c>
      <c r="T647" s="112">
        <f t="shared" si="147"/>
        <v>23374.173916639666</v>
      </c>
      <c r="U647" s="112">
        <f t="shared" si="148"/>
        <v>151.93213045815784</v>
      </c>
      <c r="V647" s="75">
        <f t="shared" si="149"/>
        <v>497.92964575807002</v>
      </c>
      <c r="W647" s="74"/>
      <c r="X647" s="75">
        <f t="shared" si="150"/>
        <v>497.92964575807002</v>
      </c>
      <c r="Y647" s="156">
        <f t="shared" si="151"/>
        <v>83.101284989464574</v>
      </c>
      <c r="Z647" s="46"/>
      <c r="AA647" s="107">
        <f t="shared" si="133"/>
        <v>38.103482250480283</v>
      </c>
      <c r="AB647" s="46"/>
      <c r="AC647" s="46"/>
      <c r="AD647" s="46"/>
      <c r="AE647" s="46"/>
    </row>
    <row r="648" spans="1:31" x14ac:dyDescent="0.2">
      <c r="A648" s="73">
        <v>17</v>
      </c>
      <c r="B648" s="86">
        <f t="shared" si="152"/>
        <v>24914.514907181012</v>
      </c>
      <c r="C648" s="50">
        <f t="shared" si="134"/>
        <v>459.82616350758974</v>
      </c>
      <c r="D648" s="86">
        <f t="shared" si="135"/>
        <v>123.53446974810585</v>
      </c>
      <c r="E648" s="86">
        <f t="shared" si="136"/>
        <v>336.29169375948391</v>
      </c>
      <c r="F648" s="74">
        <f t="shared" si="137"/>
        <v>24578.223213421526</v>
      </c>
      <c r="G648" s="112">
        <f t="shared" si="138"/>
        <v>22879.409340324652</v>
      </c>
      <c r="H648" s="112">
        <f t="shared" si="139"/>
        <v>113.44373797910971</v>
      </c>
      <c r="I648" s="75">
        <f t="shared" si="140"/>
        <v>459.82616350758974</v>
      </c>
      <c r="J648" s="74"/>
      <c r="K648" s="75">
        <f t="shared" si="141"/>
        <v>459.82616350758974</v>
      </c>
      <c r="L648" s="156">
        <f t="shared" si="142"/>
        <v>81.723102954020035</v>
      </c>
      <c r="M648" s="157"/>
      <c r="N648" s="73">
        <v>17</v>
      </c>
      <c r="O648" s="86">
        <f t="shared" si="153"/>
        <v>24992.711460581471</v>
      </c>
      <c r="P648" s="50">
        <f t="shared" si="143"/>
        <v>497.92964575807002</v>
      </c>
      <c r="Q648" s="86">
        <f t="shared" si="144"/>
        <v>162.45262449377955</v>
      </c>
      <c r="R648" s="86">
        <f t="shared" si="145"/>
        <v>335.47702126429044</v>
      </c>
      <c r="S648" s="74">
        <f t="shared" si="146"/>
        <v>24657.234439317181</v>
      </c>
      <c r="T648" s="112">
        <f t="shared" si="147"/>
        <v>22951.218523080846</v>
      </c>
      <c r="U648" s="112">
        <f t="shared" si="148"/>
        <v>149.18292040002549</v>
      </c>
      <c r="V648" s="75">
        <f t="shared" si="149"/>
        <v>497.92964575807002</v>
      </c>
      <c r="W648" s="74"/>
      <c r="X648" s="75">
        <f t="shared" si="150"/>
        <v>497.92964575807002</v>
      </c>
      <c r="Y648" s="156">
        <f t="shared" si="151"/>
        <v>81.985816922085391</v>
      </c>
      <c r="Z648" s="46"/>
      <c r="AA648" s="107">
        <f t="shared" si="133"/>
        <v>38.103482250480283</v>
      </c>
      <c r="AB648" s="46"/>
      <c r="AC648" s="46"/>
      <c r="AD648" s="46"/>
      <c r="AE648" s="46"/>
    </row>
    <row r="649" spans="1:31" x14ac:dyDescent="0.2">
      <c r="A649" s="73">
        <v>18</v>
      </c>
      <c r="B649" s="86">
        <f t="shared" si="152"/>
        <v>24578.223213421526</v>
      </c>
      <c r="C649" s="50">
        <f t="shared" si="134"/>
        <v>459.82616350758974</v>
      </c>
      <c r="D649" s="86">
        <f t="shared" si="135"/>
        <v>121.86702343321507</v>
      </c>
      <c r="E649" s="86">
        <f t="shared" si="136"/>
        <v>337.95914007437466</v>
      </c>
      <c r="F649" s="74">
        <f t="shared" si="137"/>
        <v>24240.264073347153</v>
      </c>
      <c r="G649" s="112">
        <f t="shared" si="138"/>
        <v>22457.734204075659</v>
      </c>
      <c r="H649" s="112">
        <f t="shared" si="139"/>
        <v>111.35293209520847</v>
      </c>
      <c r="I649" s="75">
        <f t="shared" si="140"/>
        <v>459.82616350758974</v>
      </c>
      <c r="J649" s="74"/>
      <c r="K649" s="75">
        <f t="shared" si="141"/>
        <v>459.82616350758974</v>
      </c>
      <c r="L649" s="156">
        <f t="shared" si="142"/>
        <v>80.599381790015471</v>
      </c>
      <c r="M649" s="157"/>
      <c r="N649" s="73">
        <v>18</v>
      </c>
      <c r="O649" s="86">
        <f t="shared" si="153"/>
        <v>24657.234439317181</v>
      </c>
      <c r="P649" s="50">
        <f t="shared" si="143"/>
        <v>497.92964575807002</v>
      </c>
      <c r="Q649" s="86">
        <f t="shared" si="144"/>
        <v>160.27202385556168</v>
      </c>
      <c r="R649" s="86">
        <f t="shared" si="145"/>
        <v>337.65762190250837</v>
      </c>
      <c r="S649" s="74">
        <f t="shared" si="146"/>
        <v>24319.576817414672</v>
      </c>
      <c r="T649" s="112">
        <f t="shared" si="147"/>
        <v>22529.928727450882</v>
      </c>
      <c r="U649" s="112">
        <f t="shared" si="148"/>
        <v>146.44453672843073</v>
      </c>
      <c r="V649" s="75">
        <f t="shared" si="149"/>
        <v>497.92964575807002</v>
      </c>
      <c r="W649" s="74"/>
      <c r="X649" s="75">
        <f t="shared" si="150"/>
        <v>497.92964575807002</v>
      </c>
      <c r="Y649" s="156">
        <f t="shared" si="151"/>
        <v>80.863098312268235</v>
      </c>
      <c r="Z649" s="46"/>
      <c r="AA649" s="107">
        <f t="shared" si="133"/>
        <v>38.103482250480283</v>
      </c>
      <c r="AB649" s="46"/>
      <c r="AC649" s="46"/>
      <c r="AD649" s="46"/>
      <c r="AE649" s="46"/>
    </row>
    <row r="650" spans="1:31" x14ac:dyDescent="0.2">
      <c r="A650" s="73">
        <v>19</v>
      </c>
      <c r="B650" s="86">
        <f t="shared" si="152"/>
        <v>24240.264073347153</v>
      </c>
      <c r="C650" s="50">
        <f t="shared" si="134"/>
        <v>459.82616350758974</v>
      </c>
      <c r="D650" s="86">
        <f t="shared" si="135"/>
        <v>120.19130936367962</v>
      </c>
      <c r="E650" s="86">
        <f t="shared" si="136"/>
        <v>339.6348541439101</v>
      </c>
      <c r="F650" s="74">
        <f t="shared" si="137"/>
        <v>23900.629219203242</v>
      </c>
      <c r="G650" s="112">
        <f t="shared" si="138"/>
        <v>22038.187864697618</v>
      </c>
      <c r="H650" s="112">
        <f t="shared" si="139"/>
        <v>109.27268149579236</v>
      </c>
      <c r="I650" s="75">
        <f t="shared" si="140"/>
        <v>459.82616350758974</v>
      </c>
      <c r="J650" s="74"/>
      <c r="K650" s="75">
        <f t="shared" si="141"/>
        <v>459.82616350758974</v>
      </c>
      <c r="L650" s="156">
        <f t="shared" si="142"/>
        <v>79.470088841906033</v>
      </c>
      <c r="M650" s="157"/>
      <c r="N650" s="73">
        <v>19</v>
      </c>
      <c r="O650" s="86">
        <f t="shared" si="153"/>
        <v>24319.576817414672</v>
      </c>
      <c r="P650" s="50">
        <f t="shared" si="143"/>
        <v>497.92964575807002</v>
      </c>
      <c r="Q650" s="86">
        <f t="shared" si="144"/>
        <v>158.07724931319538</v>
      </c>
      <c r="R650" s="86">
        <f t="shared" si="145"/>
        <v>339.85239644487467</v>
      </c>
      <c r="S650" s="74">
        <f t="shared" si="146"/>
        <v>23979.724420969796</v>
      </c>
      <c r="T650" s="112">
        <f t="shared" si="147"/>
        <v>22110.295542589894</v>
      </c>
      <c r="U650" s="112">
        <f t="shared" si="148"/>
        <v>143.71692102683431</v>
      </c>
      <c r="V650" s="75">
        <f t="shared" si="149"/>
        <v>497.92964575807002</v>
      </c>
      <c r="W650" s="74"/>
      <c r="X650" s="75">
        <f t="shared" si="150"/>
        <v>497.92964575807002</v>
      </c>
      <c r="Y650" s="156">
        <f t="shared" si="151"/>
        <v>79.733082031487271</v>
      </c>
      <c r="Z650" s="46"/>
      <c r="AA650" s="107">
        <f t="shared" si="133"/>
        <v>38.103482250480283</v>
      </c>
      <c r="AB650" s="46"/>
      <c r="AC650" s="46"/>
      <c r="AD650" s="46"/>
      <c r="AE650" s="46"/>
    </row>
    <row r="651" spans="1:31" x14ac:dyDescent="0.2">
      <c r="A651" s="73">
        <v>20</v>
      </c>
      <c r="B651" s="86">
        <f t="shared" si="152"/>
        <v>23900.629219203242</v>
      </c>
      <c r="C651" s="50">
        <f t="shared" si="134"/>
        <v>459.82616350758974</v>
      </c>
      <c r="D651" s="86">
        <f t="shared" si="135"/>
        <v>118.50728654521606</v>
      </c>
      <c r="E651" s="86">
        <f t="shared" si="136"/>
        <v>341.31887696237368</v>
      </c>
      <c r="F651" s="74">
        <f t="shared" si="137"/>
        <v>23559.310342240868</v>
      </c>
      <c r="G651" s="112">
        <f t="shared" si="138"/>
        <v>21620.759676849008</v>
      </c>
      <c r="H651" s="112">
        <f t="shared" si="139"/>
        <v>107.20293339770966</v>
      </c>
      <c r="I651" s="75">
        <f t="shared" si="140"/>
        <v>459.82616350758974</v>
      </c>
      <c r="J651" s="74"/>
      <c r="K651" s="75">
        <f t="shared" si="141"/>
        <v>459.82616350758974</v>
      </c>
      <c r="L651" s="156">
        <f t="shared" si="142"/>
        <v>78.335196482928907</v>
      </c>
      <c r="M651" s="157"/>
      <c r="N651" s="73">
        <v>20</v>
      </c>
      <c r="O651" s="86">
        <f t="shared" si="153"/>
        <v>23979.724420969796</v>
      </c>
      <c r="P651" s="50">
        <f t="shared" si="143"/>
        <v>497.92964575807002</v>
      </c>
      <c r="Q651" s="86">
        <f t="shared" si="144"/>
        <v>155.86820873630367</v>
      </c>
      <c r="R651" s="86">
        <f t="shared" si="145"/>
        <v>342.06143702176632</v>
      </c>
      <c r="S651" s="74">
        <f t="shared" si="146"/>
        <v>23637.66298394803</v>
      </c>
      <c r="T651" s="112">
        <f t="shared" si="147"/>
        <v>21692.310025306469</v>
      </c>
      <c r="U651" s="112">
        <f t="shared" si="148"/>
        <v>141.00001516449205</v>
      </c>
      <c r="V651" s="75">
        <f t="shared" si="149"/>
        <v>497.92964575807002</v>
      </c>
      <c r="W651" s="74"/>
      <c r="X651" s="75">
        <f t="shared" si="150"/>
        <v>497.92964575807002</v>
      </c>
      <c r="Y651" s="156">
        <f t="shared" si="151"/>
        <v>78.595720644881226</v>
      </c>
      <c r="Z651" s="46"/>
      <c r="AA651" s="107">
        <f t="shared" si="133"/>
        <v>38.103482250480283</v>
      </c>
      <c r="AB651" s="46"/>
      <c r="AC651" s="46"/>
      <c r="AD651" s="46"/>
      <c r="AE651" s="46"/>
    </row>
    <row r="652" spans="1:31" x14ac:dyDescent="0.2">
      <c r="A652" s="73">
        <v>21</v>
      </c>
      <c r="B652" s="86">
        <f t="shared" si="152"/>
        <v>23559.310342240868</v>
      </c>
      <c r="C652" s="50">
        <f t="shared" si="134"/>
        <v>459.82616350758974</v>
      </c>
      <c r="D652" s="86">
        <f t="shared" si="135"/>
        <v>116.81491378027762</v>
      </c>
      <c r="E652" s="86">
        <f t="shared" si="136"/>
        <v>343.01124972731213</v>
      </c>
      <c r="F652" s="74">
        <f t="shared" si="137"/>
        <v>23216.299092513556</v>
      </c>
      <c r="G652" s="112">
        <f t="shared" si="138"/>
        <v>21205.439048415115</v>
      </c>
      <c r="H652" s="112">
        <f t="shared" si="139"/>
        <v>105.14363528172494</v>
      </c>
      <c r="I652" s="75">
        <f t="shared" si="140"/>
        <v>459.82616350758974</v>
      </c>
      <c r="J652" s="74"/>
      <c r="K652" s="75">
        <f t="shared" si="141"/>
        <v>459.82616350758974</v>
      </c>
      <c r="L652" s="156">
        <f t="shared" si="142"/>
        <v>77.194676949338501</v>
      </c>
      <c r="M652" s="157"/>
      <c r="N652" s="73">
        <v>21</v>
      </c>
      <c r="O652" s="86">
        <f t="shared" si="153"/>
        <v>23637.66298394803</v>
      </c>
      <c r="P652" s="50">
        <f t="shared" si="143"/>
        <v>497.92964575807002</v>
      </c>
      <c r="Q652" s="86">
        <f t="shared" si="144"/>
        <v>153.64480939566218</v>
      </c>
      <c r="R652" s="86">
        <f t="shared" si="145"/>
        <v>344.28483636240787</v>
      </c>
      <c r="S652" s="74">
        <f t="shared" si="146"/>
        <v>23293.378147585623</v>
      </c>
      <c r="T652" s="112">
        <f t="shared" si="147"/>
        <v>21275.963276156388</v>
      </c>
      <c r="U652" s="112">
        <f t="shared" si="148"/>
        <v>138.29376129501654</v>
      </c>
      <c r="V652" s="75">
        <f t="shared" si="149"/>
        <v>497.92964575807002</v>
      </c>
      <c r="W652" s="74"/>
      <c r="X652" s="75">
        <f t="shared" si="150"/>
        <v>497.92964575807002</v>
      </c>
      <c r="Y652" s="156">
        <f t="shared" si="151"/>
        <v>77.45096640926225</v>
      </c>
      <c r="Z652" s="46"/>
      <c r="AA652" s="107">
        <f t="shared" si="133"/>
        <v>38.103482250480283</v>
      </c>
      <c r="AB652" s="46"/>
      <c r="AC652" s="46"/>
      <c r="AD652" s="46"/>
      <c r="AE652" s="46"/>
    </row>
    <row r="653" spans="1:31" x14ac:dyDescent="0.2">
      <c r="A653" s="73">
        <v>22</v>
      </c>
      <c r="B653" s="86">
        <f t="shared" si="152"/>
        <v>23216.299092513556</v>
      </c>
      <c r="C653" s="50">
        <f t="shared" si="134"/>
        <v>459.82616350758974</v>
      </c>
      <c r="D653" s="86">
        <f t="shared" si="135"/>
        <v>115.11414966704638</v>
      </c>
      <c r="E653" s="86">
        <f t="shared" si="136"/>
        <v>344.71201384054336</v>
      </c>
      <c r="F653" s="74">
        <f t="shared" si="137"/>
        <v>22871.587078673012</v>
      </c>
      <c r="G653" s="112">
        <f t="shared" si="138"/>
        <v>20792.215440241889</v>
      </c>
      <c r="H653" s="112">
        <f t="shared" si="139"/>
        <v>103.09473489119937</v>
      </c>
      <c r="I653" s="75">
        <f t="shared" si="140"/>
        <v>459.82616350758974</v>
      </c>
      <c r="J653" s="74"/>
      <c r="K653" s="75">
        <f t="shared" si="141"/>
        <v>459.82616350758974</v>
      </c>
      <c r="L653" s="156">
        <f t="shared" si="142"/>
        <v>76.048502339727392</v>
      </c>
      <c r="M653" s="157"/>
      <c r="N653" s="73">
        <v>22</v>
      </c>
      <c r="O653" s="86">
        <f t="shared" si="153"/>
        <v>23293.378147585623</v>
      </c>
      <c r="P653" s="50">
        <f t="shared" si="143"/>
        <v>497.92964575807002</v>
      </c>
      <c r="Q653" s="86">
        <f t="shared" si="144"/>
        <v>151.40695795930654</v>
      </c>
      <c r="R653" s="86">
        <f t="shared" si="145"/>
        <v>346.52268779876351</v>
      </c>
      <c r="S653" s="74">
        <f t="shared" si="146"/>
        <v>22946.855459786861</v>
      </c>
      <c r="T653" s="112">
        <f t="shared" si="147"/>
        <v>20861.246439222494</v>
      </c>
      <c r="U653" s="112">
        <f t="shared" si="148"/>
        <v>135.59810185494621</v>
      </c>
      <c r="V653" s="75">
        <f t="shared" si="149"/>
        <v>497.92964575807002</v>
      </c>
      <c r="W653" s="74"/>
      <c r="X653" s="75">
        <f t="shared" si="150"/>
        <v>497.92964575807002</v>
      </c>
      <c r="Y653" s="156">
        <f t="shared" si="151"/>
        <v>76.298771271111747</v>
      </c>
      <c r="Z653" s="46"/>
      <c r="AA653" s="107">
        <f t="shared" si="133"/>
        <v>38.103482250480283</v>
      </c>
      <c r="AB653" s="46"/>
      <c r="AC653" s="46"/>
      <c r="AD653" s="46"/>
      <c r="AE653" s="46"/>
    </row>
    <row r="654" spans="1:31" x14ac:dyDescent="0.2">
      <c r="A654" s="73">
        <v>23</v>
      </c>
      <c r="B654" s="86">
        <f t="shared" si="152"/>
        <v>22871.587078673012</v>
      </c>
      <c r="C654" s="50">
        <f t="shared" si="134"/>
        <v>459.82616350758974</v>
      </c>
      <c r="D654" s="86">
        <f t="shared" si="135"/>
        <v>113.40495259842034</v>
      </c>
      <c r="E654" s="86">
        <f t="shared" si="136"/>
        <v>346.42121090916942</v>
      </c>
      <c r="F654" s="74">
        <f t="shared" si="137"/>
        <v>22525.165867763844</v>
      </c>
      <c r="G654" s="112">
        <f t="shared" si="138"/>
        <v>20381.078365871137</v>
      </c>
      <c r="H654" s="112">
        <f t="shared" si="139"/>
        <v>101.05618023077771</v>
      </c>
      <c r="I654" s="75">
        <f t="shared" si="140"/>
        <v>459.82616350758974</v>
      </c>
      <c r="J654" s="74"/>
      <c r="K654" s="75">
        <f t="shared" si="141"/>
        <v>459.82616350758974</v>
      </c>
      <c r="L654" s="156">
        <f t="shared" si="142"/>
        <v>74.896644614343614</v>
      </c>
      <c r="M654" s="157"/>
      <c r="N654" s="73">
        <v>23</v>
      </c>
      <c r="O654" s="86">
        <f t="shared" si="153"/>
        <v>22946.855459786861</v>
      </c>
      <c r="P654" s="50">
        <f t="shared" si="143"/>
        <v>497.92964575807002</v>
      </c>
      <c r="Q654" s="86">
        <f t="shared" si="144"/>
        <v>149.15456048861458</v>
      </c>
      <c r="R654" s="86">
        <f t="shared" si="145"/>
        <v>348.77508526945542</v>
      </c>
      <c r="S654" s="74">
        <f t="shared" si="146"/>
        <v>22598.080374517405</v>
      </c>
      <c r="T654" s="112">
        <f t="shared" si="147"/>
        <v>20448.150701895604</v>
      </c>
      <c r="U654" s="112">
        <f t="shared" si="148"/>
        <v>132.91297956232142</v>
      </c>
      <c r="V654" s="75">
        <f t="shared" si="149"/>
        <v>497.92964575807002</v>
      </c>
      <c r="W654" s="74"/>
      <c r="X654" s="75">
        <f t="shared" si="150"/>
        <v>497.92964575807002</v>
      </c>
      <c r="Y654" s="156">
        <f t="shared" si="151"/>
        <v>75.139086864563282</v>
      </c>
      <c r="Z654" s="46"/>
      <c r="AA654" s="107">
        <f t="shared" si="133"/>
        <v>38.103482250480283</v>
      </c>
      <c r="AB654" s="46"/>
      <c r="AC654" s="46"/>
      <c r="AD654" s="46"/>
      <c r="AE654" s="46"/>
    </row>
    <row r="655" spans="1:31" x14ac:dyDescent="0.2">
      <c r="A655" s="73">
        <v>24</v>
      </c>
      <c r="B655" s="86">
        <f t="shared" si="152"/>
        <v>22525.165867763844</v>
      </c>
      <c r="C655" s="50">
        <f t="shared" si="134"/>
        <v>459.82616350758974</v>
      </c>
      <c r="D655" s="86">
        <f t="shared" si="135"/>
        <v>111.68728076099573</v>
      </c>
      <c r="E655" s="86">
        <f t="shared" si="136"/>
        <v>348.13888274659399</v>
      </c>
      <c r="F655" s="74">
        <f t="shared" si="137"/>
        <v>22177.026985017252</v>
      </c>
      <c r="G655" s="112">
        <f t="shared" si="138"/>
        <v>19972.017391277055</v>
      </c>
      <c r="H655" s="112">
        <f t="shared" si="139"/>
        <v>99.027919565082058</v>
      </c>
      <c r="I655" s="75">
        <f t="shared" si="140"/>
        <v>459.82616350758974</v>
      </c>
      <c r="J655" s="74"/>
      <c r="K655" s="75">
        <f t="shared" si="141"/>
        <v>459.82616350758974</v>
      </c>
      <c r="L655" s="156">
        <f t="shared" si="142"/>
        <v>73.739075594404824</v>
      </c>
      <c r="M655" s="157"/>
      <c r="N655" s="73">
        <v>24</v>
      </c>
      <c r="O655" s="86">
        <f t="shared" si="153"/>
        <v>22598.080374517405</v>
      </c>
      <c r="P655" s="50">
        <f t="shared" si="143"/>
        <v>497.92964575807002</v>
      </c>
      <c r="Q655" s="86">
        <f t="shared" si="144"/>
        <v>146.88752243436315</v>
      </c>
      <c r="R655" s="86">
        <f t="shared" si="145"/>
        <v>351.04212332370685</v>
      </c>
      <c r="S655" s="74">
        <f t="shared" si="146"/>
        <v>22247.038251193699</v>
      </c>
      <c r="T655" s="112">
        <f t="shared" si="147"/>
        <v>20036.66729465657</v>
      </c>
      <c r="U655" s="112">
        <f t="shared" si="148"/>
        <v>130.23833741526769</v>
      </c>
      <c r="V655" s="75">
        <f t="shared" si="149"/>
        <v>497.92964575807002</v>
      </c>
      <c r="W655" s="74"/>
      <c r="X655" s="75">
        <f t="shared" si="150"/>
        <v>497.92964575807002</v>
      </c>
      <c r="Y655" s="156">
        <f t="shared" si="151"/>
        <v>73.971864509372239</v>
      </c>
      <c r="Z655" s="46"/>
      <c r="AA655" s="107">
        <f t="shared" si="133"/>
        <v>38.103482250480283</v>
      </c>
      <c r="AB655" s="46"/>
      <c r="AC655" s="46"/>
      <c r="AD655" s="46"/>
      <c r="AE655" s="46"/>
    </row>
    <row r="656" spans="1:31" x14ac:dyDescent="0.2">
      <c r="A656" s="73">
        <v>25</v>
      </c>
      <c r="B656" s="86">
        <f t="shared" si="152"/>
        <v>22177.026985017252</v>
      </c>
      <c r="C656" s="50">
        <f t="shared" si="134"/>
        <v>459.82616350758974</v>
      </c>
      <c r="D656" s="86">
        <f t="shared" si="135"/>
        <v>109.96109213404388</v>
      </c>
      <c r="E656" s="86">
        <f t="shared" si="136"/>
        <v>349.86507137354585</v>
      </c>
      <c r="F656" s="74">
        <f t="shared" si="137"/>
        <v>21827.161913643708</v>
      </c>
      <c r="G656" s="112">
        <f t="shared" si="138"/>
        <v>19565.022134604049</v>
      </c>
      <c r="H656" s="112">
        <f t="shared" si="139"/>
        <v>97.00990141741174</v>
      </c>
      <c r="I656" s="75">
        <f t="shared" si="140"/>
        <v>459.82616350758974</v>
      </c>
      <c r="J656" s="74"/>
      <c r="K656" s="75">
        <f t="shared" si="141"/>
        <v>459.82616350758974</v>
      </c>
      <c r="L656" s="156">
        <f t="shared" si="142"/>
        <v>72.575766961408846</v>
      </c>
      <c r="M656" s="157"/>
      <c r="N656" s="73">
        <v>25</v>
      </c>
      <c r="O656" s="86">
        <f t="shared" si="153"/>
        <v>22247.038251193699</v>
      </c>
      <c r="P656" s="50">
        <f t="shared" si="143"/>
        <v>497.92964575807002</v>
      </c>
      <c r="Q656" s="86">
        <f t="shared" si="144"/>
        <v>144.60574863275903</v>
      </c>
      <c r="R656" s="86">
        <f t="shared" si="145"/>
        <v>353.32389712531096</v>
      </c>
      <c r="S656" s="74">
        <f t="shared" si="146"/>
        <v>21893.714354068386</v>
      </c>
      <c r="T656" s="112">
        <f t="shared" si="147"/>
        <v>19626.787490859384</v>
      </c>
      <c r="U656" s="112">
        <f t="shared" si="148"/>
        <v>127.57411869058599</v>
      </c>
      <c r="V656" s="75">
        <f t="shared" si="149"/>
        <v>497.92964575807002</v>
      </c>
      <c r="W656" s="74"/>
      <c r="X656" s="75">
        <f t="shared" si="150"/>
        <v>497.92964575807002</v>
      </c>
      <c r="Y656" s="156">
        <f t="shared" si="151"/>
        <v>72.797055208872436</v>
      </c>
      <c r="Z656" s="46"/>
      <c r="AA656" s="107">
        <f t="shared" si="133"/>
        <v>38.103482250480283</v>
      </c>
      <c r="AB656" s="46"/>
      <c r="AC656" s="46"/>
      <c r="AD656" s="46"/>
      <c r="AE656" s="46"/>
    </row>
    <row r="657" spans="1:31" x14ac:dyDescent="0.2">
      <c r="A657" s="73">
        <v>26</v>
      </c>
      <c r="B657" s="86">
        <f t="shared" si="152"/>
        <v>21827.161913643708</v>
      </c>
      <c r="C657" s="50">
        <f t="shared" si="134"/>
        <v>459.82616350758974</v>
      </c>
      <c r="D657" s="86">
        <f t="shared" si="135"/>
        <v>108.22634448848338</v>
      </c>
      <c r="E657" s="86">
        <f t="shared" si="136"/>
        <v>351.59981901910635</v>
      </c>
      <c r="F657" s="74">
        <f t="shared" si="137"/>
        <v>21475.562094624602</v>
      </c>
      <c r="G657" s="112">
        <f t="shared" si="138"/>
        <v>19160.08226590589</v>
      </c>
      <c r="H657" s="112">
        <f t="shared" si="139"/>
        <v>95.002074568450041</v>
      </c>
      <c r="I657" s="75">
        <f t="shared" si="140"/>
        <v>459.82616350758974</v>
      </c>
      <c r="J657" s="74"/>
      <c r="K657" s="75">
        <f t="shared" si="141"/>
        <v>459.82616350758974</v>
      </c>
      <c r="L657" s="156">
        <f t="shared" si="142"/>
        <v>71.406690256440911</v>
      </c>
      <c r="M657" s="157"/>
      <c r="N657" s="73">
        <v>26</v>
      </c>
      <c r="O657" s="86">
        <f t="shared" si="153"/>
        <v>21893.714354068386</v>
      </c>
      <c r="P657" s="50">
        <f t="shared" si="143"/>
        <v>497.92964575807002</v>
      </c>
      <c r="Q657" s="86">
        <f t="shared" si="144"/>
        <v>142.30914330144449</v>
      </c>
      <c r="R657" s="86">
        <f t="shared" si="145"/>
        <v>355.62050245662556</v>
      </c>
      <c r="S657" s="74">
        <f t="shared" si="146"/>
        <v>21538.09385161176</v>
      </c>
      <c r="T657" s="112">
        <f t="shared" si="147"/>
        <v>19218.502606515387</v>
      </c>
      <c r="U657" s="112">
        <f t="shared" si="148"/>
        <v>124.92026694235001</v>
      </c>
      <c r="V657" s="75">
        <f t="shared" si="149"/>
        <v>497.92964575807002</v>
      </c>
      <c r="W657" s="74"/>
      <c r="X657" s="75">
        <f t="shared" si="150"/>
        <v>497.92964575807002</v>
      </c>
      <c r="Y657" s="156">
        <f t="shared" si="151"/>
        <v>71.614609647919409</v>
      </c>
      <c r="Z657" s="46"/>
      <c r="AA657" s="107">
        <f t="shared" si="133"/>
        <v>38.103482250480283</v>
      </c>
      <c r="AB657" s="46"/>
      <c r="AC657" s="46"/>
      <c r="AD657" s="46"/>
      <c r="AE657" s="46"/>
    </row>
    <row r="658" spans="1:31" x14ac:dyDescent="0.2">
      <c r="A658" s="73">
        <v>27</v>
      </c>
      <c r="B658" s="86">
        <f t="shared" si="152"/>
        <v>21475.562094624602</v>
      </c>
      <c r="C658" s="50">
        <f t="shared" si="134"/>
        <v>459.82616350758974</v>
      </c>
      <c r="D658" s="86">
        <f t="shared" si="135"/>
        <v>106.48299538584699</v>
      </c>
      <c r="E658" s="86">
        <f t="shared" si="136"/>
        <v>353.34316812174274</v>
      </c>
      <c r="F658" s="74">
        <f t="shared" si="137"/>
        <v>21122.218926502857</v>
      </c>
      <c r="G658" s="112">
        <f t="shared" si="138"/>
        <v>18757.187506886185</v>
      </c>
      <c r="H658" s="112">
        <f t="shared" si="139"/>
        <v>93.004388054977326</v>
      </c>
      <c r="I658" s="75">
        <f t="shared" si="140"/>
        <v>459.82616350758974</v>
      </c>
      <c r="J658" s="74"/>
      <c r="K658" s="75">
        <f t="shared" si="141"/>
        <v>459.82616350758974</v>
      </c>
      <c r="L658" s="156">
        <f t="shared" si="142"/>
        <v>70.231816879477492</v>
      </c>
      <c r="M658" s="157"/>
      <c r="N658" s="73">
        <v>27</v>
      </c>
      <c r="O658" s="86">
        <f t="shared" si="153"/>
        <v>21538.09385161176</v>
      </c>
      <c r="P658" s="50">
        <f t="shared" si="143"/>
        <v>497.92964575807002</v>
      </c>
      <c r="Q658" s="86">
        <f t="shared" si="144"/>
        <v>139.99761003547644</v>
      </c>
      <c r="R658" s="86">
        <f t="shared" si="145"/>
        <v>357.93203572259358</v>
      </c>
      <c r="S658" s="74">
        <f t="shared" si="146"/>
        <v>21180.161815889165</v>
      </c>
      <c r="T658" s="112">
        <f t="shared" si="147"/>
        <v>18811.804000078544</v>
      </c>
      <c r="U658" s="112">
        <f t="shared" si="148"/>
        <v>122.27672600051055</v>
      </c>
      <c r="V658" s="75">
        <f t="shared" si="149"/>
        <v>497.92964575807002</v>
      </c>
      <c r="W658" s="74"/>
      <c r="X658" s="75">
        <f t="shared" si="150"/>
        <v>497.92964575807002</v>
      </c>
      <c r="Y658" s="156">
        <f t="shared" si="151"/>
        <v>70.424478190820167</v>
      </c>
      <c r="Z658" s="46"/>
      <c r="AA658" s="107">
        <f t="shared" si="133"/>
        <v>38.103482250480283</v>
      </c>
      <c r="AB658" s="46"/>
      <c r="AC658" s="46"/>
      <c r="AD658" s="46"/>
      <c r="AE658" s="46"/>
    </row>
    <row r="659" spans="1:31" x14ac:dyDescent="0.2">
      <c r="A659" s="73">
        <v>28</v>
      </c>
      <c r="B659" s="86">
        <f t="shared" si="152"/>
        <v>21122.218926502857</v>
      </c>
      <c r="C659" s="50">
        <f t="shared" si="134"/>
        <v>459.82616350758974</v>
      </c>
      <c r="D659" s="86">
        <f t="shared" si="135"/>
        <v>104.73100217724333</v>
      </c>
      <c r="E659" s="86">
        <f t="shared" si="136"/>
        <v>355.0951613303464</v>
      </c>
      <c r="F659" s="74">
        <f t="shared" si="137"/>
        <v>20767.12376517251</v>
      </c>
      <c r="G659" s="112">
        <f t="shared" si="138"/>
        <v>18356.327630640102</v>
      </c>
      <c r="H659" s="112">
        <f t="shared" si="139"/>
        <v>91.016791168590501</v>
      </c>
      <c r="I659" s="75">
        <f t="shared" si="140"/>
        <v>459.82616350758974</v>
      </c>
      <c r="J659" s="74"/>
      <c r="K659" s="75">
        <f t="shared" si="141"/>
        <v>459.82616350758974</v>
      </c>
      <c r="L659" s="156">
        <f t="shared" si="142"/>
        <v>69.05111808868665</v>
      </c>
      <c r="M659" s="157"/>
      <c r="N659" s="73">
        <v>28</v>
      </c>
      <c r="O659" s="86">
        <f t="shared" si="153"/>
        <v>21180.161815889165</v>
      </c>
      <c r="P659" s="50">
        <f t="shared" si="143"/>
        <v>497.92964575807002</v>
      </c>
      <c r="Q659" s="86">
        <f t="shared" si="144"/>
        <v>137.67105180327957</v>
      </c>
      <c r="R659" s="86">
        <f t="shared" si="145"/>
        <v>360.25859395479046</v>
      </c>
      <c r="S659" s="74">
        <f t="shared" si="146"/>
        <v>20819.903221934375</v>
      </c>
      <c r="T659" s="112">
        <f t="shared" si="147"/>
        <v>18406.683072231819</v>
      </c>
      <c r="U659" s="112">
        <f t="shared" si="148"/>
        <v>119.64343996950682</v>
      </c>
      <c r="V659" s="75">
        <f t="shared" si="149"/>
        <v>497.92964575807002</v>
      </c>
      <c r="W659" s="74"/>
      <c r="X659" s="75">
        <f t="shared" si="150"/>
        <v>497.92964575807002</v>
      </c>
      <c r="Y659" s="156">
        <f t="shared" si="151"/>
        <v>69.22661087924979</v>
      </c>
      <c r="Z659" s="46"/>
      <c r="AA659" s="107">
        <f t="shared" si="133"/>
        <v>38.103482250480283</v>
      </c>
      <c r="AB659" s="46"/>
      <c r="AC659" s="46"/>
      <c r="AD659" s="46"/>
      <c r="AE659" s="46"/>
    </row>
    <row r="660" spans="1:31" x14ac:dyDescent="0.2">
      <c r="A660" s="73">
        <v>29</v>
      </c>
      <c r="B660" s="86">
        <f t="shared" si="152"/>
        <v>20767.12376517251</v>
      </c>
      <c r="C660" s="50">
        <f t="shared" si="134"/>
        <v>459.82616350758974</v>
      </c>
      <c r="D660" s="86">
        <f t="shared" si="135"/>
        <v>102.97032200231369</v>
      </c>
      <c r="E660" s="86">
        <f t="shared" si="136"/>
        <v>356.85584150527603</v>
      </c>
      <c r="F660" s="74">
        <f t="shared" si="137"/>
        <v>20410.267923667234</v>
      </c>
      <c r="G660" s="112">
        <f t="shared" si="138"/>
        <v>17957.492461397425</v>
      </c>
      <c r="H660" s="112">
        <f t="shared" si="139"/>
        <v>89.039233454428896</v>
      </c>
      <c r="I660" s="75">
        <f t="shared" si="140"/>
        <v>459.82616350758974</v>
      </c>
      <c r="J660" s="74"/>
      <c r="K660" s="75">
        <f t="shared" si="141"/>
        <v>459.82616350758974</v>
      </c>
      <c r="L660" s="156">
        <f t="shared" si="142"/>
        <v>67.864564999724792</v>
      </c>
      <c r="M660" s="157"/>
      <c r="N660" s="73">
        <v>29</v>
      </c>
      <c r="O660" s="86">
        <f t="shared" si="153"/>
        <v>20819.903221934375</v>
      </c>
      <c r="P660" s="50">
        <f t="shared" si="143"/>
        <v>497.92964575807002</v>
      </c>
      <c r="Q660" s="86">
        <f t="shared" si="144"/>
        <v>135.32937094257343</v>
      </c>
      <c r="R660" s="86">
        <f t="shared" si="145"/>
        <v>362.60027481549662</v>
      </c>
      <c r="S660" s="74">
        <f t="shared" si="146"/>
        <v>20457.302947118878</v>
      </c>
      <c r="T660" s="112">
        <f t="shared" si="147"/>
        <v>18003.131265674565</v>
      </c>
      <c r="U660" s="112">
        <f t="shared" si="148"/>
        <v>117.02035322688467</v>
      </c>
      <c r="V660" s="75">
        <f t="shared" si="149"/>
        <v>497.92964575807002</v>
      </c>
      <c r="W660" s="74"/>
      <c r="X660" s="75">
        <f t="shared" si="150"/>
        <v>497.92964575807002</v>
      </c>
      <c r="Y660" s="156">
        <f t="shared" si="151"/>
        <v>68.020957430154212</v>
      </c>
      <c r="Z660" s="46"/>
      <c r="AA660" s="107">
        <f t="shared" si="133"/>
        <v>38.103482250480283</v>
      </c>
      <c r="AB660" s="46"/>
      <c r="AC660" s="46"/>
      <c r="AD660" s="46"/>
      <c r="AE660" s="46"/>
    </row>
    <row r="661" spans="1:31" x14ac:dyDescent="0.2">
      <c r="A661" s="73">
        <v>30</v>
      </c>
      <c r="B661" s="86">
        <f t="shared" si="152"/>
        <v>20410.267923667234</v>
      </c>
      <c r="C661" s="50">
        <f t="shared" si="134"/>
        <v>459.82616350758974</v>
      </c>
      <c r="D661" s="86">
        <f t="shared" si="135"/>
        <v>101.20091178818336</v>
      </c>
      <c r="E661" s="86">
        <f t="shared" si="136"/>
        <v>358.62525171940638</v>
      </c>
      <c r="F661" s="74">
        <f t="shared" si="137"/>
        <v>20051.642671947826</v>
      </c>
      <c r="G661" s="112">
        <f t="shared" si="138"/>
        <v>17560.671874266882</v>
      </c>
      <c r="H661" s="112">
        <f t="shared" si="139"/>
        <v>87.071664709906614</v>
      </c>
      <c r="I661" s="75">
        <f t="shared" si="140"/>
        <v>459.82616350758974</v>
      </c>
      <c r="J661" s="74"/>
      <c r="K661" s="75">
        <f t="shared" si="141"/>
        <v>459.82616350758974</v>
      </c>
      <c r="L661" s="156">
        <f t="shared" si="142"/>
        <v>66.67212858503018</v>
      </c>
      <c r="M661" s="157"/>
      <c r="N661" s="73">
        <v>30</v>
      </c>
      <c r="O661" s="86">
        <f t="shared" si="153"/>
        <v>20457.302947118878</v>
      </c>
      <c r="P661" s="50">
        <f t="shared" si="143"/>
        <v>497.92964575807002</v>
      </c>
      <c r="Q661" s="86">
        <f t="shared" si="144"/>
        <v>132.97246915627269</v>
      </c>
      <c r="R661" s="86">
        <f t="shared" si="145"/>
        <v>364.9571766017973</v>
      </c>
      <c r="S661" s="74">
        <f t="shared" si="146"/>
        <v>20092.34577051708</v>
      </c>
      <c r="T661" s="112">
        <f t="shared" si="147"/>
        <v>17601.140064911015</v>
      </c>
      <c r="U661" s="112">
        <f t="shared" si="148"/>
        <v>114.4074104219216</v>
      </c>
      <c r="V661" s="75">
        <f t="shared" si="149"/>
        <v>497.92964575807002</v>
      </c>
      <c r="W661" s="74"/>
      <c r="X661" s="75">
        <f t="shared" si="150"/>
        <v>497.92964575807002</v>
      </c>
      <c r="Y661" s="156">
        <f t="shared" si="151"/>
        <v>66.8074672336395</v>
      </c>
      <c r="Z661" s="46"/>
      <c r="AA661" s="107">
        <f t="shared" si="133"/>
        <v>38.103482250480283</v>
      </c>
      <c r="AB661" s="46"/>
      <c r="AC661" s="46"/>
      <c r="AD661" s="46"/>
      <c r="AE661" s="46"/>
    </row>
    <row r="662" spans="1:31" x14ac:dyDescent="0.2">
      <c r="A662" s="73">
        <v>31</v>
      </c>
      <c r="B662" s="86">
        <f t="shared" si="152"/>
        <v>20051.642671947826</v>
      </c>
      <c r="C662" s="50">
        <f t="shared" si="134"/>
        <v>459.82616350758974</v>
      </c>
      <c r="D662" s="86">
        <f t="shared" si="135"/>
        <v>99.422728248407964</v>
      </c>
      <c r="E662" s="86">
        <f t="shared" si="136"/>
        <v>360.40343525918178</v>
      </c>
      <c r="F662" s="74">
        <f t="shared" si="137"/>
        <v>19691.239236688645</v>
      </c>
      <c r="G662" s="112">
        <f t="shared" si="138"/>
        <v>17165.855794981744</v>
      </c>
      <c r="H662" s="112">
        <f t="shared" si="139"/>
        <v>85.114034983451148</v>
      </c>
      <c r="I662" s="75">
        <f t="shared" si="140"/>
        <v>459.82616350758974</v>
      </c>
      <c r="J662" s="74"/>
      <c r="K662" s="75">
        <f t="shared" si="141"/>
        <v>459.82616350758974</v>
      </c>
      <c r="L662" s="156">
        <f t="shared" si="142"/>
        <v>65.473779673112702</v>
      </c>
      <c r="M662" s="157"/>
      <c r="N662" s="73">
        <v>31</v>
      </c>
      <c r="O662" s="86">
        <f t="shared" si="153"/>
        <v>20092.34577051708</v>
      </c>
      <c r="P662" s="50">
        <f t="shared" si="143"/>
        <v>497.92964575807002</v>
      </c>
      <c r="Q662" s="86">
        <f t="shared" si="144"/>
        <v>130.60024750836104</v>
      </c>
      <c r="R662" s="86">
        <f t="shared" si="145"/>
        <v>367.32939824970902</v>
      </c>
      <c r="S662" s="74">
        <f t="shared" si="146"/>
        <v>19725.016372267371</v>
      </c>
      <c r="T662" s="112">
        <f t="shared" si="147"/>
        <v>17200.700996039821</v>
      </c>
      <c r="U662" s="112">
        <f t="shared" si="148"/>
        <v>111.80455647425883</v>
      </c>
      <c r="V662" s="75">
        <f t="shared" si="149"/>
        <v>497.92964575807002</v>
      </c>
      <c r="W662" s="74"/>
      <c r="X662" s="75">
        <f t="shared" si="150"/>
        <v>497.92964575807002</v>
      </c>
      <c r="Y662" s="156">
        <f t="shared" si="151"/>
        <v>65.586089350847459</v>
      </c>
      <c r="Z662" s="46"/>
      <c r="AA662" s="107">
        <f t="shared" si="133"/>
        <v>38.103482250480283</v>
      </c>
      <c r="AB662" s="46"/>
      <c r="AC662" s="46"/>
      <c r="AD662" s="46"/>
      <c r="AE662" s="46"/>
    </row>
    <row r="663" spans="1:31" x14ac:dyDescent="0.2">
      <c r="A663" s="73">
        <v>32</v>
      </c>
      <c r="B663" s="86">
        <f t="shared" si="152"/>
        <v>19691.239236688645</v>
      </c>
      <c r="C663" s="50">
        <f t="shared" si="134"/>
        <v>459.82616350758974</v>
      </c>
      <c r="D663" s="86">
        <f t="shared" si="135"/>
        <v>97.635727881914534</v>
      </c>
      <c r="E663" s="86">
        <f t="shared" si="136"/>
        <v>362.19043562567521</v>
      </c>
      <c r="F663" s="74">
        <f t="shared" si="137"/>
        <v>19329.048801062971</v>
      </c>
      <c r="G663" s="112">
        <f t="shared" si="138"/>
        <v>16773.03419964671</v>
      </c>
      <c r="H663" s="112">
        <f t="shared" si="139"/>
        <v>83.166294573248265</v>
      </c>
      <c r="I663" s="75">
        <f t="shared" si="140"/>
        <v>459.82616350758974</v>
      </c>
      <c r="J663" s="74"/>
      <c r="K663" s="75">
        <f t="shared" si="141"/>
        <v>459.82616350758974</v>
      </c>
      <c r="L663" s="156">
        <f t="shared" si="142"/>
        <v>64.269488947840301</v>
      </c>
      <c r="M663" s="157"/>
      <c r="N663" s="73">
        <v>32</v>
      </c>
      <c r="O663" s="86">
        <f t="shared" si="153"/>
        <v>19725.016372267371</v>
      </c>
      <c r="P663" s="50">
        <f t="shared" si="143"/>
        <v>497.92964575807002</v>
      </c>
      <c r="Q663" s="86">
        <f t="shared" si="144"/>
        <v>128.21260641973791</v>
      </c>
      <c r="R663" s="86">
        <f t="shared" si="145"/>
        <v>369.71703933833214</v>
      </c>
      <c r="S663" s="74">
        <f t="shared" si="146"/>
        <v>19355.29933292904</v>
      </c>
      <c r="T663" s="112">
        <f t="shared" si="147"/>
        <v>16801.805626544643</v>
      </c>
      <c r="U663" s="112">
        <f t="shared" si="148"/>
        <v>109.21173657254018</v>
      </c>
      <c r="V663" s="75">
        <f t="shared" si="149"/>
        <v>497.92964575807002</v>
      </c>
      <c r="W663" s="74"/>
      <c r="X663" s="75">
        <f t="shared" si="150"/>
        <v>497.92964575807002</v>
      </c>
      <c r="Y663" s="156">
        <f t="shared" si="151"/>
        <v>64.356772511817269</v>
      </c>
      <c r="Z663" s="46"/>
      <c r="AA663" s="107">
        <f t="shared" ref="AA663:AA694" si="154">+V663-I663</f>
        <v>38.103482250480283</v>
      </c>
      <c r="AB663" s="46"/>
      <c r="AC663" s="46"/>
      <c r="AD663" s="46"/>
      <c r="AE663" s="46"/>
    </row>
    <row r="664" spans="1:31" x14ac:dyDescent="0.2">
      <c r="A664" s="73">
        <v>33</v>
      </c>
      <c r="B664" s="86">
        <f t="shared" si="152"/>
        <v>19329.048801062971</v>
      </c>
      <c r="C664" s="50">
        <f t="shared" ref="C664:C695" si="155">(IF(A664&lt;$B$613,PMT($B$614/12,$B$613,-$B$612,$B$617,$B$620),IF(A664=$B$613,PMT($B$614/12,$B$613,-$B$612,$B$617,$B$620)+$B$617,0)))</f>
        <v>459.82616350758974</v>
      </c>
      <c r="D664" s="86">
        <f t="shared" ref="D664:D695" si="156">IF(A664&lt;=$B$613,B664*$B$614/12,0)</f>
        <v>95.839866971937226</v>
      </c>
      <c r="E664" s="86">
        <f t="shared" ref="E664:E695" si="157">C664-D664</f>
        <v>363.98629653565251</v>
      </c>
      <c r="F664" s="74">
        <f t="shared" ref="F664:F695" si="158">(B664-E664)</f>
        <v>18965.062504527319</v>
      </c>
      <c r="G664" s="112">
        <f t="shared" ref="G664:G695" si="159">B664*(1-B$621)^($A664)</f>
        <v>16382.197114486045</v>
      </c>
      <c r="H664" s="112">
        <f t="shared" ref="H664:H695" si="160">IF(A664&lt;=$B$613,G664*$B$614/12,0)</f>
        <v>81.228394025993296</v>
      </c>
      <c r="I664" s="75">
        <f t="shared" ref="I664:I695" si="161">C664</f>
        <v>459.82616350758974</v>
      </c>
      <c r="J664" s="74"/>
      <c r="K664" s="75">
        <f t="shared" ref="K664:K695" si="162">C664</f>
        <v>459.82616350758974</v>
      </c>
      <c r="L664" s="156">
        <f t="shared" ref="L664:L695" si="163">F664/$B$612*100</f>
        <v>63.059226947721761</v>
      </c>
      <c r="M664" s="157"/>
      <c r="N664" s="73">
        <v>33</v>
      </c>
      <c r="O664" s="86">
        <f t="shared" si="153"/>
        <v>19355.29933292904</v>
      </c>
      <c r="P664" s="50">
        <f t="shared" ref="P664:P695" si="164">(IF(N664&lt;$B$613,PMT($B$615/12,$B$613,-$B$612,$B$617,0),IF(N664=$B$613,PMT($B$615/12,$B$613,-$B$612,$B$617,0)+$B$617,0)))</f>
        <v>497.92964575807002</v>
      </c>
      <c r="Q664" s="86">
        <f t="shared" ref="Q664:Q695" si="165">IF(N664&lt;=$B$613,O664*$B$615/12,0)</f>
        <v>125.80944566403876</v>
      </c>
      <c r="R664" s="86">
        <f t="shared" ref="R664:R695" si="166">P664-Q664</f>
        <v>372.12020009403125</v>
      </c>
      <c r="S664" s="74">
        <f t="shared" ref="S664:S695" si="167">(O664-R664)</f>
        <v>18983.179132835008</v>
      </c>
      <c r="T664" s="112">
        <f t="shared" ref="T664:T695" si="168">O664*(1-B$621)^($N664)</f>
        <v>16404.445565085767</v>
      </c>
      <c r="U664" s="112">
        <f t="shared" ref="U664:U695" si="169">IF(N664&lt;=$B$613,T664*$B$615/12,0)</f>
        <v>106.6288961730575</v>
      </c>
      <c r="V664" s="75">
        <f t="shared" ref="V664:V695" si="170">P664</f>
        <v>497.92964575807002</v>
      </c>
      <c r="W664" s="74"/>
      <c r="X664" s="75">
        <f t="shared" ref="X664:X695" si="171">P664</f>
        <v>497.92964575807002</v>
      </c>
      <c r="Y664" s="156">
        <f t="shared" ref="Y664:Y695" si="172">S664/$B$612*100</f>
        <v>63.119465113333362</v>
      </c>
      <c r="Z664" s="46"/>
      <c r="AA664" s="107">
        <f t="shared" si="154"/>
        <v>38.103482250480283</v>
      </c>
      <c r="AB664" s="46"/>
      <c r="AC664" s="46"/>
      <c r="AD664" s="46"/>
      <c r="AE664" s="46"/>
    </row>
    <row r="665" spans="1:31" x14ac:dyDescent="0.2">
      <c r="A665" s="73">
        <v>34</v>
      </c>
      <c r="B665" s="86">
        <f t="shared" ref="B665:B696" si="173">+F664</f>
        <v>18965.062504527319</v>
      </c>
      <c r="C665" s="50">
        <f t="shared" si="155"/>
        <v>459.82616350758974</v>
      </c>
      <c r="D665" s="86">
        <f t="shared" si="156"/>
        <v>94.035101584947952</v>
      </c>
      <c r="E665" s="86">
        <f t="shared" si="157"/>
        <v>365.7910619226418</v>
      </c>
      <c r="F665" s="74">
        <f t="shared" si="158"/>
        <v>18599.271442604677</v>
      </c>
      <c r="G665" s="112">
        <f t="shared" si="159"/>
        <v>15993.334615592978</v>
      </c>
      <c r="H665" s="112">
        <f t="shared" si="160"/>
        <v>79.300284135648511</v>
      </c>
      <c r="I665" s="75">
        <f t="shared" si="161"/>
        <v>459.82616350758974</v>
      </c>
      <c r="J665" s="74"/>
      <c r="K665" s="75">
        <f t="shared" si="162"/>
        <v>459.82616350758974</v>
      </c>
      <c r="L665" s="156">
        <f t="shared" si="163"/>
        <v>61.84296406518596</v>
      </c>
      <c r="M665" s="157"/>
      <c r="N665" s="73">
        <v>34</v>
      </c>
      <c r="O665" s="86">
        <f t="shared" ref="O665:O696" si="174">+S664</f>
        <v>18983.179132835008</v>
      </c>
      <c r="P665" s="50">
        <f t="shared" si="164"/>
        <v>497.92964575807002</v>
      </c>
      <c r="Q665" s="86">
        <f t="shared" si="165"/>
        <v>123.39066436342756</v>
      </c>
      <c r="R665" s="86">
        <f t="shared" si="166"/>
        <v>374.53898139464246</v>
      </c>
      <c r="S665" s="74">
        <f t="shared" si="167"/>
        <v>18608.640151440366</v>
      </c>
      <c r="T665" s="112">
        <f t="shared" si="168"/>
        <v>16008.612461292776</v>
      </c>
      <c r="U665" s="112">
        <f t="shared" si="169"/>
        <v>104.05598099840306</v>
      </c>
      <c r="V665" s="75">
        <f t="shared" si="170"/>
        <v>497.92964575807002</v>
      </c>
      <c r="W665" s="74"/>
      <c r="X665" s="75">
        <f t="shared" si="171"/>
        <v>497.92964575807002</v>
      </c>
      <c r="Y665" s="156">
        <f t="shared" si="172"/>
        <v>61.874115216759321</v>
      </c>
      <c r="Z665" s="46"/>
      <c r="AA665" s="107">
        <f t="shared" si="154"/>
        <v>38.103482250480283</v>
      </c>
      <c r="AB665" s="46"/>
      <c r="AC665" s="46"/>
      <c r="AD665" s="46"/>
      <c r="AE665" s="46"/>
    </row>
    <row r="666" spans="1:31" x14ac:dyDescent="0.2">
      <c r="A666" s="73">
        <v>35</v>
      </c>
      <c r="B666" s="86">
        <f t="shared" si="173"/>
        <v>18599.271442604677</v>
      </c>
      <c r="C666" s="50">
        <f t="shared" si="155"/>
        <v>18691.492830174258</v>
      </c>
      <c r="D666" s="86">
        <f t="shared" si="156"/>
        <v>92.221387569581523</v>
      </c>
      <c r="E666" s="86">
        <f t="shared" si="157"/>
        <v>18599.271442604677</v>
      </c>
      <c r="F666" s="74">
        <f t="shared" si="158"/>
        <v>0</v>
      </c>
      <c r="G666" s="112">
        <f t="shared" si="159"/>
        <v>15606.436828680366</v>
      </c>
      <c r="H666" s="112">
        <f t="shared" si="160"/>
        <v>77.381915942206817</v>
      </c>
      <c r="I666" s="75">
        <f t="shared" si="161"/>
        <v>18691.492830174258</v>
      </c>
      <c r="J666" s="74"/>
      <c r="K666" s="75">
        <f t="shared" si="162"/>
        <v>18691.492830174258</v>
      </c>
      <c r="L666" s="156">
        <f t="shared" si="163"/>
        <v>0</v>
      </c>
      <c r="M666" s="157"/>
      <c r="N666" s="73">
        <v>35</v>
      </c>
      <c r="O666" s="86">
        <f t="shared" si="174"/>
        <v>18608.640151440366</v>
      </c>
      <c r="P666" s="50">
        <f t="shared" si="164"/>
        <v>18729.596312424739</v>
      </c>
      <c r="Q666" s="86">
        <f t="shared" si="165"/>
        <v>120.95616098436238</v>
      </c>
      <c r="R666" s="86">
        <f t="shared" si="166"/>
        <v>18608.640151440377</v>
      </c>
      <c r="S666" s="74">
        <f t="shared" si="167"/>
        <v>-1.0913936421275139E-11</v>
      </c>
      <c r="T666" s="112">
        <f t="shared" si="168"/>
        <v>15614.29800555827</v>
      </c>
      <c r="U666" s="112">
        <f t="shared" si="169"/>
        <v>101.49293703612875</v>
      </c>
      <c r="V666" s="75">
        <f t="shared" si="170"/>
        <v>18729.596312424739</v>
      </c>
      <c r="W666" s="74"/>
      <c r="X666" s="75">
        <f t="shared" si="171"/>
        <v>18729.596312424739</v>
      </c>
      <c r="Y666" s="156">
        <f t="shared" si="172"/>
        <v>-3.6289065407398638E-14</v>
      </c>
      <c r="Z666" s="46"/>
      <c r="AA666" s="107">
        <f t="shared" si="154"/>
        <v>38.103482250480738</v>
      </c>
      <c r="AB666" s="46"/>
      <c r="AC666" s="46"/>
      <c r="AD666" s="46"/>
      <c r="AE666" s="46"/>
    </row>
    <row r="667" spans="1:31" x14ac:dyDescent="0.2">
      <c r="A667" s="73">
        <v>36</v>
      </c>
      <c r="B667" s="86">
        <f t="shared" si="173"/>
        <v>0</v>
      </c>
      <c r="C667" s="50">
        <f t="shared" si="155"/>
        <v>0</v>
      </c>
      <c r="D667" s="86">
        <f t="shared" si="156"/>
        <v>0</v>
      </c>
      <c r="E667" s="86">
        <f t="shared" si="157"/>
        <v>0</v>
      </c>
      <c r="F667" s="74">
        <f t="shared" si="158"/>
        <v>0</v>
      </c>
      <c r="G667" s="112">
        <f t="shared" si="159"/>
        <v>0</v>
      </c>
      <c r="H667" s="112">
        <f t="shared" si="160"/>
        <v>0</v>
      </c>
      <c r="I667" s="75">
        <f t="shared" si="161"/>
        <v>0</v>
      </c>
      <c r="J667" s="74"/>
      <c r="K667" s="75">
        <f t="shared" si="162"/>
        <v>0</v>
      </c>
      <c r="L667" s="156">
        <f t="shared" si="163"/>
        <v>0</v>
      </c>
      <c r="M667" s="157"/>
      <c r="N667" s="73">
        <v>36</v>
      </c>
      <c r="O667" s="86">
        <f t="shared" si="174"/>
        <v>-1.0913936421275139E-11</v>
      </c>
      <c r="P667" s="50">
        <f t="shared" si="164"/>
        <v>0</v>
      </c>
      <c r="Q667" s="86">
        <f t="shared" si="165"/>
        <v>0</v>
      </c>
      <c r="R667" s="86">
        <f t="shared" si="166"/>
        <v>0</v>
      </c>
      <c r="S667" s="74">
        <f t="shared" si="167"/>
        <v>-1.0913936421275139E-11</v>
      </c>
      <c r="T667" s="112">
        <f t="shared" si="168"/>
        <v>-9.1119709466736096E-12</v>
      </c>
      <c r="U667" s="112">
        <f t="shared" si="169"/>
        <v>0</v>
      </c>
      <c r="V667" s="75">
        <f t="shared" si="170"/>
        <v>0</v>
      </c>
      <c r="W667" s="74"/>
      <c r="X667" s="75">
        <f t="shared" si="171"/>
        <v>0</v>
      </c>
      <c r="Y667" s="156">
        <f t="shared" si="172"/>
        <v>-3.6289065407398638E-14</v>
      </c>
      <c r="Z667" s="46"/>
      <c r="AA667" s="107">
        <f t="shared" si="154"/>
        <v>0</v>
      </c>
      <c r="AB667" s="46"/>
      <c r="AC667" s="46"/>
      <c r="AD667" s="46"/>
      <c r="AE667" s="46"/>
    </row>
    <row r="668" spans="1:31" x14ac:dyDescent="0.2">
      <c r="A668" s="73">
        <v>37</v>
      </c>
      <c r="B668" s="86">
        <f t="shared" si="173"/>
        <v>0</v>
      </c>
      <c r="C668" s="50">
        <f t="shared" si="155"/>
        <v>0</v>
      </c>
      <c r="D668" s="86">
        <f t="shared" si="156"/>
        <v>0</v>
      </c>
      <c r="E668" s="86">
        <f t="shared" si="157"/>
        <v>0</v>
      </c>
      <c r="F668" s="74">
        <f t="shared" si="158"/>
        <v>0</v>
      </c>
      <c r="G668" s="112">
        <f t="shared" si="159"/>
        <v>0</v>
      </c>
      <c r="H668" s="112">
        <f t="shared" si="160"/>
        <v>0</v>
      </c>
      <c r="I668" s="75">
        <f t="shared" si="161"/>
        <v>0</v>
      </c>
      <c r="J668" s="74"/>
      <c r="K668" s="75">
        <f t="shared" si="162"/>
        <v>0</v>
      </c>
      <c r="L668" s="156">
        <f t="shared" si="163"/>
        <v>0</v>
      </c>
      <c r="M668" s="157"/>
      <c r="N668" s="73">
        <v>37</v>
      </c>
      <c r="O668" s="86">
        <f t="shared" si="174"/>
        <v>-1.0913936421275139E-11</v>
      </c>
      <c r="P668" s="50">
        <f t="shared" si="164"/>
        <v>0</v>
      </c>
      <c r="Q668" s="86">
        <f t="shared" si="165"/>
        <v>0</v>
      </c>
      <c r="R668" s="86">
        <f t="shared" si="166"/>
        <v>0</v>
      </c>
      <c r="S668" s="74">
        <f t="shared" si="167"/>
        <v>-1.0913936421275139E-11</v>
      </c>
      <c r="T668" s="112">
        <f t="shared" si="168"/>
        <v>-9.0664110919402431E-12</v>
      </c>
      <c r="U668" s="112">
        <f t="shared" si="169"/>
        <v>0</v>
      </c>
      <c r="V668" s="75">
        <f t="shared" si="170"/>
        <v>0</v>
      </c>
      <c r="W668" s="74"/>
      <c r="X668" s="75">
        <f t="shared" si="171"/>
        <v>0</v>
      </c>
      <c r="Y668" s="156">
        <f t="shared" si="172"/>
        <v>-3.6289065407398638E-14</v>
      </c>
      <c r="Z668" s="46"/>
      <c r="AA668" s="107">
        <f t="shared" si="154"/>
        <v>0</v>
      </c>
      <c r="AB668" s="46"/>
      <c r="AC668" s="46"/>
      <c r="AD668" s="46"/>
      <c r="AE668" s="46"/>
    </row>
    <row r="669" spans="1:31" x14ac:dyDescent="0.2">
      <c r="A669" s="73">
        <v>38</v>
      </c>
      <c r="B669" s="86">
        <f t="shared" si="173"/>
        <v>0</v>
      </c>
      <c r="C669" s="50">
        <f t="shared" si="155"/>
        <v>0</v>
      </c>
      <c r="D669" s="86">
        <f t="shared" si="156"/>
        <v>0</v>
      </c>
      <c r="E669" s="86">
        <f t="shared" si="157"/>
        <v>0</v>
      </c>
      <c r="F669" s="74">
        <f t="shared" si="158"/>
        <v>0</v>
      </c>
      <c r="G669" s="112">
        <f t="shared" si="159"/>
        <v>0</v>
      </c>
      <c r="H669" s="112">
        <f t="shared" si="160"/>
        <v>0</v>
      </c>
      <c r="I669" s="75">
        <f t="shared" si="161"/>
        <v>0</v>
      </c>
      <c r="J669" s="74"/>
      <c r="K669" s="75">
        <f t="shared" si="162"/>
        <v>0</v>
      </c>
      <c r="L669" s="156">
        <f t="shared" si="163"/>
        <v>0</v>
      </c>
      <c r="M669" s="157"/>
      <c r="N669" s="73">
        <v>38</v>
      </c>
      <c r="O669" s="86">
        <f t="shared" si="174"/>
        <v>-1.0913936421275139E-11</v>
      </c>
      <c r="P669" s="50">
        <f t="shared" si="164"/>
        <v>0</v>
      </c>
      <c r="Q669" s="86">
        <f t="shared" si="165"/>
        <v>0</v>
      </c>
      <c r="R669" s="86">
        <f t="shared" si="166"/>
        <v>0</v>
      </c>
      <c r="S669" s="74">
        <f t="shared" si="167"/>
        <v>-1.0913936421275139E-11</v>
      </c>
      <c r="T669" s="112">
        <f t="shared" si="168"/>
        <v>-9.0210790364805415E-12</v>
      </c>
      <c r="U669" s="112">
        <f t="shared" si="169"/>
        <v>0</v>
      </c>
      <c r="V669" s="75">
        <f t="shared" si="170"/>
        <v>0</v>
      </c>
      <c r="W669" s="74"/>
      <c r="X669" s="75">
        <f t="shared" si="171"/>
        <v>0</v>
      </c>
      <c r="Y669" s="156">
        <f t="shared" si="172"/>
        <v>-3.6289065407398638E-14</v>
      </c>
      <c r="Z669" s="46"/>
      <c r="AA669" s="107">
        <f t="shared" si="154"/>
        <v>0</v>
      </c>
      <c r="AB669" s="46"/>
      <c r="AC669" s="46"/>
      <c r="AD669" s="46"/>
      <c r="AE669" s="46"/>
    </row>
    <row r="670" spans="1:31" x14ac:dyDescent="0.2">
      <c r="A670" s="73">
        <v>39</v>
      </c>
      <c r="B670" s="86">
        <f t="shared" si="173"/>
        <v>0</v>
      </c>
      <c r="C670" s="50">
        <f t="shared" si="155"/>
        <v>0</v>
      </c>
      <c r="D670" s="86">
        <f t="shared" si="156"/>
        <v>0</v>
      </c>
      <c r="E670" s="86">
        <f t="shared" si="157"/>
        <v>0</v>
      </c>
      <c r="F670" s="74">
        <f t="shared" si="158"/>
        <v>0</v>
      </c>
      <c r="G670" s="112">
        <f t="shared" si="159"/>
        <v>0</v>
      </c>
      <c r="H670" s="112">
        <f t="shared" si="160"/>
        <v>0</v>
      </c>
      <c r="I670" s="75">
        <f t="shared" si="161"/>
        <v>0</v>
      </c>
      <c r="J670" s="74"/>
      <c r="K670" s="75">
        <f t="shared" si="162"/>
        <v>0</v>
      </c>
      <c r="L670" s="156">
        <f t="shared" si="163"/>
        <v>0</v>
      </c>
      <c r="M670" s="157"/>
      <c r="N670" s="73">
        <v>39</v>
      </c>
      <c r="O670" s="86">
        <f t="shared" si="174"/>
        <v>-1.0913936421275139E-11</v>
      </c>
      <c r="P670" s="50">
        <f t="shared" si="164"/>
        <v>0</v>
      </c>
      <c r="Q670" s="86">
        <f t="shared" si="165"/>
        <v>0</v>
      </c>
      <c r="R670" s="86">
        <f t="shared" si="166"/>
        <v>0</v>
      </c>
      <c r="S670" s="74">
        <f t="shared" si="167"/>
        <v>-1.0913936421275139E-11</v>
      </c>
      <c r="T670" s="112">
        <f t="shared" si="168"/>
        <v>-8.975973641298139E-12</v>
      </c>
      <c r="U670" s="112">
        <f t="shared" si="169"/>
        <v>0</v>
      </c>
      <c r="V670" s="75">
        <f t="shared" si="170"/>
        <v>0</v>
      </c>
      <c r="W670" s="74"/>
      <c r="X670" s="75">
        <f t="shared" si="171"/>
        <v>0</v>
      </c>
      <c r="Y670" s="156">
        <f t="shared" si="172"/>
        <v>-3.6289065407398638E-14</v>
      </c>
      <c r="Z670" s="46"/>
      <c r="AA670" s="107">
        <f t="shared" si="154"/>
        <v>0</v>
      </c>
      <c r="AB670" s="46"/>
      <c r="AC670" s="46"/>
      <c r="AD670" s="46"/>
      <c r="AE670" s="46"/>
    </row>
    <row r="671" spans="1:31" x14ac:dyDescent="0.2">
      <c r="A671" s="73">
        <v>40</v>
      </c>
      <c r="B671" s="86">
        <f t="shared" si="173"/>
        <v>0</v>
      </c>
      <c r="C671" s="50">
        <f t="shared" si="155"/>
        <v>0</v>
      </c>
      <c r="D671" s="86">
        <f t="shared" si="156"/>
        <v>0</v>
      </c>
      <c r="E671" s="86">
        <f t="shared" si="157"/>
        <v>0</v>
      </c>
      <c r="F671" s="74">
        <f t="shared" si="158"/>
        <v>0</v>
      </c>
      <c r="G671" s="112">
        <f t="shared" si="159"/>
        <v>0</v>
      </c>
      <c r="H671" s="112">
        <f t="shared" si="160"/>
        <v>0</v>
      </c>
      <c r="I671" s="75">
        <f t="shared" si="161"/>
        <v>0</v>
      </c>
      <c r="J671" s="74"/>
      <c r="K671" s="75">
        <f t="shared" si="162"/>
        <v>0</v>
      </c>
      <c r="L671" s="156">
        <f t="shared" si="163"/>
        <v>0</v>
      </c>
      <c r="M671" s="157"/>
      <c r="N671" s="73">
        <v>40</v>
      </c>
      <c r="O671" s="86">
        <f t="shared" si="174"/>
        <v>-1.0913936421275139E-11</v>
      </c>
      <c r="P671" s="50">
        <f t="shared" si="164"/>
        <v>0</v>
      </c>
      <c r="Q671" s="86">
        <f t="shared" si="165"/>
        <v>0</v>
      </c>
      <c r="R671" s="86">
        <f t="shared" si="166"/>
        <v>0</v>
      </c>
      <c r="S671" s="74">
        <f t="shared" si="167"/>
        <v>-1.0913936421275139E-11</v>
      </c>
      <c r="T671" s="112">
        <f t="shared" si="168"/>
        <v>-8.9310937730916481E-12</v>
      </c>
      <c r="U671" s="112">
        <f t="shared" si="169"/>
        <v>0</v>
      </c>
      <c r="V671" s="75">
        <f t="shared" si="170"/>
        <v>0</v>
      </c>
      <c r="W671" s="74"/>
      <c r="X671" s="75">
        <f t="shared" si="171"/>
        <v>0</v>
      </c>
      <c r="Y671" s="156">
        <f t="shared" si="172"/>
        <v>-3.6289065407398638E-14</v>
      </c>
      <c r="Z671" s="46"/>
      <c r="AA671" s="107">
        <f t="shared" si="154"/>
        <v>0</v>
      </c>
      <c r="AB671" s="46"/>
      <c r="AC671" s="46"/>
      <c r="AD671" s="46"/>
      <c r="AE671" s="46"/>
    </row>
    <row r="672" spans="1:31" x14ac:dyDescent="0.2">
      <c r="A672" s="73">
        <v>41</v>
      </c>
      <c r="B672" s="86">
        <f t="shared" si="173"/>
        <v>0</v>
      </c>
      <c r="C672" s="50">
        <f t="shared" si="155"/>
        <v>0</v>
      </c>
      <c r="D672" s="86">
        <f t="shared" si="156"/>
        <v>0</v>
      </c>
      <c r="E672" s="86">
        <f t="shared" si="157"/>
        <v>0</v>
      </c>
      <c r="F672" s="74">
        <f t="shared" si="158"/>
        <v>0</v>
      </c>
      <c r="G672" s="112">
        <f t="shared" si="159"/>
        <v>0</v>
      </c>
      <c r="H672" s="112">
        <f t="shared" si="160"/>
        <v>0</v>
      </c>
      <c r="I672" s="75">
        <f t="shared" si="161"/>
        <v>0</v>
      </c>
      <c r="J672" s="74"/>
      <c r="K672" s="75">
        <f t="shared" si="162"/>
        <v>0</v>
      </c>
      <c r="L672" s="156">
        <f t="shared" si="163"/>
        <v>0</v>
      </c>
      <c r="M672" s="157"/>
      <c r="N672" s="73">
        <v>41</v>
      </c>
      <c r="O672" s="86">
        <f t="shared" si="174"/>
        <v>-1.0913936421275139E-11</v>
      </c>
      <c r="P672" s="50">
        <f t="shared" si="164"/>
        <v>0</v>
      </c>
      <c r="Q672" s="86">
        <f t="shared" si="165"/>
        <v>0</v>
      </c>
      <c r="R672" s="86">
        <f t="shared" si="166"/>
        <v>0</v>
      </c>
      <c r="S672" s="74">
        <f t="shared" si="167"/>
        <v>-1.0913936421275139E-11</v>
      </c>
      <c r="T672" s="112">
        <f t="shared" si="168"/>
        <v>-8.8864383042261886E-12</v>
      </c>
      <c r="U672" s="112">
        <f t="shared" si="169"/>
        <v>0</v>
      </c>
      <c r="V672" s="75">
        <f t="shared" si="170"/>
        <v>0</v>
      </c>
      <c r="W672" s="74"/>
      <c r="X672" s="75">
        <f t="shared" si="171"/>
        <v>0</v>
      </c>
      <c r="Y672" s="156">
        <f t="shared" si="172"/>
        <v>-3.6289065407398638E-14</v>
      </c>
      <c r="Z672" s="46"/>
      <c r="AA672" s="107">
        <f t="shared" si="154"/>
        <v>0</v>
      </c>
      <c r="AB672" s="46"/>
      <c r="AC672" s="46"/>
      <c r="AD672" s="46"/>
      <c r="AE672" s="46"/>
    </row>
    <row r="673" spans="1:31" x14ac:dyDescent="0.2">
      <c r="A673" s="73">
        <v>42</v>
      </c>
      <c r="B673" s="86">
        <f t="shared" si="173"/>
        <v>0</v>
      </c>
      <c r="C673" s="50">
        <f t="shared" si="155"/>
        <v>0</v>
      </c>
      <c r="D673" s="86">
        <f t="shared" si="156"/>
        <v>0</v>
      </c>
      <c r="E673" s="86">
        <f t="shared" si="157"/>
        <v>0</v>
      </c>
      <c r="F673" s="74">
        <f t="shared" si="158"/>
        <v>0</v>
      </c>
      <c r="G673" s="112">
        <f t="shared" si="159"/>
        <v>0</v>
      </c>
      <c r="H673" s="112">
        <f t="shared" si="160"/>
        <v>0</v>
      </c>
      <c r="I673" s="75">
        <f t="shared" si="161"/>
        <v>0</v>
      </c>
      <c r="J673" s="74"/>
      <c r="K673" s="75">
        <f t="shared" si="162"/>
        <v>0</v>
      </c>
      <c r="L673" s="156">
        <f t="shared" si="163"/>
        <v>0</v>
      </c>
      <c r="M673" s="157"/>
      <c r="N673" s="73">
        <v>42</v>
      </c>
      <c r="O673" s="86">
        <f t="shared" si="174"/>
        <v>-1.0913936421275139E-11</v>
      </c>
      <c r="P673" s="50">
        <f t="shared" si="164"/>
        <v>0</v>
      </c>
      <c r="Q673" s="86">
        <f t="shared" si="165"/>
        <v>0</v>
      </c>
      <c r="R673" s="86">
        <f t="shared" si="166"/>
        <v>0</v>
      </c>
      <c r="S673" s="74">
        <f t="shared" si="167"/>
        <v>-1.0913936421275139E-11</v>
      </c>
      <c r="T673" s="112">
        <f t="shared" si="168"/>
        <v>-8.8420061127050596E-12</v>
      </c>
      <c r="U673" s="112">
        <f t="shared" si="169"/>
        <v>0</v>
      </c>
      <c r="V673" s="75">
        <f t="shared" si="170"/>
        <v>0</v>
      </c>
      <c r="W673" s="74"/>
      <c r="X673" s="75">
        <f t="shared" si="171"/>
        <v>0</v>
      </c>
      <c r="Y673" s="156">
        <f t="shared" si="172"/>
        <v>-3.6289065407398638E-14</v>
      </c>
      <c r="Z673" s="46"/>
      <c r="AA673" s="107">
        <f t="shared" si="154"/>
        <v>0</v>
      </c>
      <c r="AB673" s="46"/>
      <c r="AC673" s="46"/>
      <c r="AD673" s="46"/>
      <c r="AE673" s="46"/>
    </row>
    <row r="674" spans="1:31" x14ac:dyDescent="0.2">
      <c r="A674" s="73">
        <v>43</v>
      </c>
      <c r="B674" s="86">
        <f t="shared" si="173"/>
        <v>0</v>
      </c>
      <c r="C674" s="50">
        <f t="shared" si="155"/>
        <v>0</v>
      </c>
      <c r="D674" s="86">
        <f t="shared" si="156"/>
        <v>0</v>
      </c>
      <c r="E674" s="86">
        <f t="shared" si="157"/>
        <v>0</v>
      </c>
      <c r="F674" s="74">
        <f t="shared" si="158"/>
        <v>0</v>
      </c>
      <c r="G674" s="112">
        <f t="shared" si="159"/>
        <v>0</v>
      </c>
      <c r="H674" s="112">
        <f t="shared" si="160"/>
        <v>0</v>
      </c>
      <c r="I674" s="75">
        <f t="shared" si="161"/>
        <v>0</v>
      </c>
      <c r="J674" s="74"/>
      <c r="K674" s="75">
        <f t="shared" si="162"/>
        <v>0</v>
      </c>
      <c r="L674" s="156">
        <f t="shared" si="163"/>
        <v>0</v>
      </c>
      <c r="M674" s="157"/>
      <c r="N674" s="73">
        <v>43</v>
      </c>
      <c r="O674" s="86">
        <f t="shared" si="174"/>
        <v>-1.0913936421275139E-11</v>
      </c>
      <c r="P674" s="50">
        <f t="shared" si="164"/>
        <v>0</v>
      </c>
      <c r="Q674" s="86">
        <f t="shared" si="165"/>
        <v>0</v>
      </c>
      <c r="R674" s="86">
        <f t="shared" si="166"/>
        <v>0</v>
      </c>
      <c r="S674" s="74">
        <f t="shared" si="167"/>
        <v>-1.0913936421275139E-11</v>
      </c>
      <c r="T674" s="112">
        <f t="shared" si="168"/>
        <v>-8.797796082141533E-12</v>
      </c>
      <c r="U674" s="112">
        <f t="shared" si="169"/>
        <v>0</v>
      </c>
      <c r="V674" s="75">
        <f t="shared" si="170"/>
        <v>0</v>
      </c>
      <c r="W674" s="74"/>
      <c r="X674" s="75">
        <f t="shared" si="171"/>
        <v>0</v>
      </c>
      <c r="Y674" s="156">
        <f t="shared" si="172"/>
        <v>-3.6289065407398638E-14</v>
      </c>
      <c r="Z674" s="46"/>
      <c r="AA674" s="107">
        <f t="shared" si="154"/>
        <v>0</v>
      </c>
      <c r="AB674" s="46"/>
      <c r="AC674" s="46"/>
      <c r="AD674" s="46"/>
      <c r="AE674" s="46"/>
    </row>
    <row r="675" spans="1:31" x14ac:dyDescent="0.2">
      <c r="A675" s="73">
        <v>44</v>
      </c>
      <c r="B675" s="86">
        <f t="shared" si="173"/>
        <v>0</v>
      </c>
      <c r="C675" s="50">
        <f t="shared" si="155"/>
        <v>0</v>
      </c>
      <c r="D675" s="86">
        <f t="shared" si="156"/>
        <v>0</v>
      </c>
      <c r="E675" s="86">
        <f t="shared" si="157"/>
        <v>0</v>
      </c>
      <c r="F675" s="74">
        <f t="shared" si="158"/>
        <v>0</v>
      </c>
      <c r="G675" s="112">
        <f t="shared" si="159"/>
        <v>0</v>
      </c>
      <c r="H675" s="112">
        <f t="shared" si="160"/>
        <v>0</v>
      </c>
      <c r="I675" s="75">
        <f t="shared" si="161"/>
        <v>0</v>
      </c>
      <c r="J675" s="74"/>
      <c r="K675" s="75">
        <f t="shared" si="162"/>
        <v>0</v>
      </c>
      <c r="L675" s="156">
        <f t="shared" si="163"/>
        <v>0</v>
      </c>
      <c r="M675" s="157"/>
      <c r="N675" s="73">
        <v>44</v>
      </c>
      <c r="O675" s="86">
        <f t="shared" si="174"/>
        <v>-1.0913936421275139E-11</v>
      </c>
      <c r="P675" s="50">
        <f t="shared" si="164"/>
        <v>0</v>
      </c>
      <c r="Q675" s="86">
        <f t="shared" si="165"/>
        <v>0</v>
      </c>
      <c r="R675" s="86">
        <f t="shared" si="166"/>
        <v>0</v>
      </c>
      <c r="S675" s="74">
        <f t="shared" si="167"/>
        <v>-1.0913936421275139E-11</v>
      </c>
      <c r="T675" s="112">
        <f t="shared" si="168"/>
        <v>-8.7538071017308263E-12</v>
      </c>
      <c r="U675" s="112">
        <f t="shared" si="169"/>
        <v>0</v>
      </c>
      <c r="V675" s="75">
        <f t="shared" si="170"/>
        <v>0</v>
      </c>
      <c r="W675" s="74"/>
      <c r="X675" s="75">
        <f t="shared" si="171"/>
        <v>0</v>
      </c>
      <c r="Y675" s="156">
        <f t="shared" si="172"/>
        <v>-3.6289065407398638E-14</v>
      </c>
      <c r="Z675" s="46"/>
      <c r="AA675" s="107">
        <f t="shared" si="154"/>
        <v>0</v>
      </c>
      <c r="AB675" s="46"/>
      <c r="AC675" s="46"/>
      <c r="AD675" s="46"/>
      <c r="AE675" s="46"/>
    </row>
    <row r="676" spans="1:31" x14ac:dyDescent="0.2">
      <c r="A676" s="73">
        <v>45</v>
      </c>
      <c r="B676" s="86">
        <f t="shared" si="173"/>
        <v>0</v>
      </c>
      <c r="C676" s="50">
        <f t="shared" si="155"/>
        <v>0</v>
      </c>
      <c r="D676" s="86">
        <f t="shared" si="156"/>
        <v>0</v>
      </c>
      <c r="E676" s="86">
        <f t="shared" si="157"/>
        <v>0</v>
      </c>
      <c r="F676" s="74">
        <f t="shared" si="158"/>
        <v>0</v>
      </c>
      <c r="G676" s="112">
        <f t="shared" si="159"/>
        <v>0</v>
      </c>
      <c r="H676" s="112">
        <f t="shared" si="160"/>
        <v>0</v>
      </c>
      <c r="I676" s="75">
        <f t="shared" si="161"/>
        <v>0</v>
      </c>
      <c r="J676" s="74"/>
      <c r="K676" s="75">
        <f t="shared" si="162"/>
        <v>0</v>
      </c>
      <c r="L676" s="156">
        <f t="shared" si="163"/>
        <v>0</v>
      </c>
      <c r="M676" s="157"/>
      <c r="N676" s="73">
        <v>45</v>
      </c>
      <c r="O676" s="86">
        <f t="shared" si="174"/>
        <v>-1.0913936421275139E-11</v>
      </c>
      <c r="P676" s="50">
        <f t="shared" si="164"/>
        <v>0</v>
      </c>
      <c r="Q676" s="86">
        <f t="shared" si="165"/>
        <v>0</v>
      </c>
      <c r="R676" s="86">
        <f t="shared" si="166"/>
        <v>0</v>
      </c>
      <c r="S676" s="74">
        <f t="shared" si="167"/>
        <v>-1.0913936421275139E-11</v>
      </c>
      <c r="T676" s="112">
        <f t="shared" si="168"/>
        <v>-8.7100380662221726E-12</v>
      </c>
      <c r="U676" s="112">
        <f t="shared" si="169"/>
        <v>0</v>
      </c>
      <c r="V676" s="75">
        <f t="shared" si="170"/>
        <v>0</v>
      </c>
      <c r="W676" s="74"/>
      <c r="X676" s="75">
        <f t="shared" si="171"/>
        <v>0</v>
      </c>
      <c r="Y676" s="156">
        <f t="shared" si="172"/>
        <v>-3.6289065407398638E-14</v>
      </c>
      <c r="Z676" s="46"/>
      <c r="AA676" s="107">
        <f t="shared" si="154"/>
        <v>0</v>
      </c>
      <c r="AB676" s="46"/>
      <c r="AC676" s="46"/>
      <c r="AD676" s="46"/>
      <c r="AE676" s="46"/>
    </row>
    <row r="677" spans="1:31" x14ac:dyDescent="0.2">
      <c r="A677" s="73">
        <v>46</v>
      </c>
      <c r="B677" s="86">
        <f t="shared" si="173"/>
        <v>0</v>
      </c>
      <c r="C677" s="50">
        <f t="shared" si="155"/>
        <v>0</v>
      </c>
      <c r="D677" s="86">
        <f t="shared" si="156"/>
        <v>0</v>
      </c>
      <c r="E677" s="86">
        <f t="shared" si="157"/>
        <v>0</v>
      </c>
      <c r="F677" s="74">
        <f t="shared" si="158"/>
        <v>0</v>
      </c>
      <c r="G677" s="112">
        <f t="shared" si="159"/>
        <v>0</v>
      </c>
      <c r="H677" s="112">
        <f t="shared" si="160"/>
        <v>0</v>
      </c>
      <c r="I677" s="75">
        <f t="shared" si="161"/>
        <v>0</v>
      </c>
      <c r="J677" s="74"/>
      <c r="K677" s="75">
        <f t="shared" si="162"/>
        <v>0</v>
      </c>
      <c r="L677" s="156">
        <f t="shared" si="163"/>
        <v>0</v>
      </c>
      <c r="M677" s="157"/>
      <c r="N677" s="73">
        <v>46</v>
      </c>
      <c r="O677" s="86">
        <f t="shared" si="174"/>
        <v>-1.0913936421275139E-11</v>
      </c>
      <c r="P677" s="50">
        <f t="shared" si="164"/>
        <v>0</v>
      </c>
      <c r="Q677" s="86">
        <f t="shared" si="165"/>
        <v>0</v>
      </c>
      <c r="R677" s="86">
        <f t="shared" si="166"/>
        <v>0</v>
      </c>
      <c r="S677" s="74">
        <f t="shared" si="167"/>
        <v>-1.0913936421275139E-11</v>
      </c>
      <c r="T677" s="112">
        <f t="shared" si="168"/>
        <v>-8.6664878758910627E-12</v>
      </c>
      <c r="U677" s="112">
        <f t="shared" si="169"/>
        <v>0</v>
      </c>
      <c r="V677" s="75">
        <f t="shared" si="170"/>
        <v>0</v>
      </c>
      <c r="W677" s="74"/>
      <c r="X677" s="75">
        <f t="shared" si="171"/>
        <v>0</v>
      </c>
      <c r="Y677" s="156">
        <f t="shared" si="172"/>
        <v>-3.6289065407398638E-14</v>
      </c>
      <c r="Z677" s="46"/>
      <c r="AA677" s="107">
        <f t="shared" si="154"/>
        <v>0</v>
      </c>
      <c r="AB677" s="46"/>
      <c r="AC677" s="46"/>
      <c r="AD677" s="46"/>
      <c r="AE677" s="46"/>
    </row>
    <row r="678" spans="1:31" x14ac:dyDescent="0.2">
      <c r="A678" s="73">
        <v>47</v>
      </c>
      <c r="B678" s="86">
        <f t="shared" si="173"/>
        <v>0</v>
      </c>
      <c r="C678" s="50">
        <f t="shared" si="155"/>
        <v>0</v>
      </c>
      <c r="D678" s="86">
        <f t="shared" si="156"/>
        <v>0</v>
      </c>
      <c r="E678" s="86">
        <f t="shared" si="157"/>
        <v>0</v>
      </c>
      <c r="F678" s="74">
        <f t="shared" si="158"/>
        <v>0</v>
      </c>
      <c r="G678" s="112">
        <f t="shared" si="159"/>
        <v>0</v>
      </c>
      <c r="H678" s="112">
        <f t="shared" si="160"/>
        <v>0</v>
      </c>
      <c r="I678" s="75">
        <f t="shared" si="161"/>
        <v>0</v>
      </c>
      <c r="J678" s="74"/>
      <c r="K678" s="75">
        <f t="shared" si="162"/>
        <v>0</v>
      </c>
      <c r="L678" s="156">
        <f t="shared" si="163"/>
        <v>0</v>
      </c>
      <c r="M678" s="157"/>
      <c r="N678" s="73">
        <v>47</v>
      </c>
      <c r="O678" s="86">
        <f t="shared" si="174"/>
        <v>-1.0913936421275139E-11</v>
      </c>
      <c r="P678" s="50">
        <f t="shared" si="164"/>
        <v>0</v>
      </c>
      <c r="Q678" s="86">
        <f t="shared" si="165"/>
        <v>0</v>
      </c>
      <c r="R678" s="86">
        <f t="shared" si="166"/>
        <v>0</v>
      </c>
      <c r="S678" s="74">
        <f t="shared" si="167"/>
        <v>-1.0913936421275139E-11</v>
      </c>
      <c r="T678" s="112">
        <f t="shared" si="168"/>
        <v>-8.6231554365116076E-12</v>
      </c>
      <c r="U678" s="112">
        <f t="shared" si="169"/>
        <v>0</v>
      </c>
      <c r="V678" s="104">
        <f t="shared" si="170"/>
        <v>0</v>
      </c>
      <c r="W678" s="74"/>
      <c r="X678" s="75">
        <f t="shared" si="171"/>
        <v>0</v>
      </c>
      <c r="Y678" s="156">
        <f t="shared" si="172"/>
        <v>-3.6289065407398638E-14</v>
      </c>
      <c r="Z678" s="46"/>
      <c r="AA678" s="107">
        <f t="shared" si="154"/>
        <v>0</v>
      </c>
      <c r="AB678" s="46"/>
      <c r="AC678" s="46"/>
      <c r="AD678" s="46"/>
      <c r="AE678" s="46"/>
    </row>
    <row r="679" spans="1:31" x14ac:dyDescent="0.2">
      <c r="A679" s="73">
        <v>48</v>
      </c>
      <c r="B679" s="86">
        <f t="shared" si="173"/>
        <v>0</v>
      </c>
      <c r="C679" s="50">
        <f t="shared" si="155"/>
        <v>0</v>
      </c>
      <c r="D679" s="86">
        <f t="shared" si="156"/>
        <v>0</v>
      </c>
      <c r="E679" s="86">
        <f t="shared" si="157"/>
        <v>0</v>
      </c>
      <c r="F679" s="74">
        <f t="shared" si="158"/>
        <v>0</v>
      </c>
      <c r="G679" s="112">
        <f t="shared" si="159"/>
        <v>0</v>
      </c>
      <c r="H679" s="112">
        <f t="shared" si="160"/>
        <v>0</v>
      </c>
      <c r="I679" s="75">
        <f t="shared" si="161"/>
        <v>0</v>
      </c>
      <c r="J679" s="74"/>
      <c r="K679" s="75">
        <f t="shared" si="162"/>
        <v>0</v>
      </c>
      <c r="L679" s="156">
        <f t="shared" si="163"/>
        <v>0</v>
      </c>
      <c r="M679" s="157"/>
      <c r="N679" s="73">
        <v>48</v>
      </c>
      <c r="O679" s="86">
        <f t="shared" si="174"/>
        <v>-1.0913936421275139E-11</v>
      </c>
      <c r="P679" s="50">
        <f t="shared" si="164"/>
        <v>0</v>
      </c>
      <c r="Q679" s="86">
        <f t="shared" si="165"/>
        <v>0</v>
      </c>
      <c r="R679" s="86">
        <f t="shared" si="166"/>
        <v>0</v>
      </c>
      <c r="S679" s="74">
        <f t="shared" si="167"/>
        <v>-1.0913936421275139E-11</v>
      </c>
      <c r="T679" s="112">
        <f t="shared" si="168"/>
        <v>-8.5800396593290492E-12</v>
      </c>
      <c r="U679" s="112">
        <f t="shared" si="169"/>
        <v>0</v>
      </c>
      <c r="V679" s="75">
        <f t="shared" si="170"/>
        <v>0</v>
      </c>
      <c r="W679" s="74"/>
      <c r="X679" s="75">
        <f t="shared" si="171"/>
        <v>0</v>
      </c>
      <c r="Y679" s="156">
        <f t="shared" si="172"/>
        <v>-3.6289065407398638E-14</v>
      </c>
      <c r="Z679" s="46"/>
      <c r="AA679" s="107">
        <f t="shared" si="154"/>
        <v>0</v>
      </c>
      <c r="AB679" s="46"/>
      <c r="AC679" s="46"/>
      <c r="AD679" s="46"/>
      <c r="AE679" s="46"/>
    </row>
    <row r="680" spans="1:31" x14ac:dyDescent="0.2">
      <c r="A680" s="73">
        <v>49</v>
      </c>
      <c r="B680" s="86">
        <f t="shared" si="173"/>
        <v>0</v>
      </c>
      <c r="C680" s="50">
        <f t="shared" si="155"/>
        <v>0</v>
      </c>
      <c r="D680" s="86">
        <f t="shared" si="156"/>
        <v>0</v>
      </c>
      <c r="E680" s="86">
        <f t="shared" si="157"/>
        <v>0</v>
      </c>
      <c r="F680" s="74">
        <f t="shared" si="158"/>
        <v>0</v>
      </c>
      <c r="G680" s="112">
        <f t="shared" si="159"/>
        <v>0</v>
      </c>
      <c r="H680" s="112">
        <f t="shared" si="160"/>
        <v>0</v>
      </c>
      <c r="I680" s="75">
        <f t="shared" si="161"/>
        <v>0</v>
      </c>
      <c r="J680" s="74"/>
      <c r="K680" s="75">
        <f t="shared" si="162"/>
        <v>0</v>
      </c>
      <c r="L680" s="156">
        <f t="shared" si="163"/>
        <v>0</v>
      </c>
      <c r="M680" s="157"/>
      <c r="N680" s="73">
        <v>49</v>
      </c>
      <c r="O680" s="86">
        <f t="shared" si="174"/>
        <v>-1.0913936421275139E-11</v>
      </c>
      <c r="P680" s="50">
        <f t="shared" si="164"/>
        <v>0</v>
      </c>
      <c r="Q680" s="86">
        <f t="shared" si="165"/>
        <v>0</v>
      </c>
      <c r="R680" s="86">
        <f t="shared" si="166"/>
        <v>0</v>
      </c>
      <c r="S680" s="74">
        <f t="shared" si="167"/>
        <v>-1.0913936421275139E-11</v>
      </c>
      <c r="T680" s="112">
        <f t="shared" si="168"/>
        <v>-8.5371394610324021E-12</v>
      </c>
      <c r="U680" s="112">
        <f t="shared" si="169"/>
        <v>0</v>
      </c>
      <c r="V680" s="75">
        <f t="shared" si="170"/>
        <v>0</v>
      </c>
      <c r="W680" s="74"/>
      <c r="X680" s="75">
        <f t="shared" si="171"/>
        <v>0</v>
      </c>
      <c r="Y680" s="156">
        <f t="shared" si="172"/>
        <v>-3.6289065407398638E-14</v>
      </c>
      <c r="Z680" s="46"/>
      <c r="AA680" s="107">
        <f t="shared" si="154"/>
        <v>0</v>
      </c>
      <c r="AB680" s="46"/>
      <c r="AC680" s="46"/>
      <c r="AD680" s="46"/>
      <c r="AE680" s="46"/>
    </row>
    <row r="681" spans="1:31" x14ac:dyDescent="0.2">
      <c r="A681" s="73">
        <v>50</v>
      </c>
      <c r="B681" s="86">
        <f t="shared" si="173"/>
        <v>0</v>
      </c>
      <c r="C681" s="50">
        <f t="shared" si="155"/>
        <v>0</v>
      </c>
      <c r="D681" s="86">
        <f t="shared" si="156"/>
        <v>0</v>
      </c>
      <c r="E681" s="86">
        <f t="shared" si="157"/>
        <v>0</v>
      </c>
      <c r="F681" s="74">
        <f t="shared" si="158"/>
        <v>0</v>
      </c>
      <c r="G681" s="112">
        <f t="shared" si="159"/>
        <v>0</v>
      </c>
      <c r="H681" s="112">
        <f t="shared" si="160"/>
        <v>0</v>
      </c>
      <c r="I681" s="75">
        <f t="shared" si="161"/>
        <v>0</v>
      </c>
      <c r="J681" s="74"/>
      <c r="K681" s="75">
        <f t="shared" si="162"/>
        <v>0</v>
      </c>
      <c r="L681" s="156">
        <f t="shared" si="163"/>
        <v>0</v>
      </c>
      <c r="M681" s="157"/>
      <c r="N681" s="73">
        <v>50</v>
      </c>
      <c r="O681" s="86">
        <f t="shared" si="174"/>
        <v>-1.0913936421275139E-11</v>
      </c>
      <c r="P681" s="50">
        <f t="shared" si="164"/>
        <v>0</v>
      </c>
      <c r="Q681" s="86">
        <f t="shared" si="165"/>
        <v>0</v>
      </c>
      <c r="R681" s="86">
        <f t="shared" si="166"/>
        <v>0</v>
      </c>
      <c r="S681" s="74">
        <f t="shared" si="167"/>
        <v>-1.0913936421275139E-11</v>
      </c>
      <c r="T681" s="112">
        <f t="shared" si="168"/>
        <v>-8.4944537637272401E-12</v>
      </c>
      <c r="U681" s="112">
        <f t="shared" si="169"/>
        <v>0</v>
      </c>
      <c r="V681" s="75">
        <f t="shared" si="170"/>
        <v>0</v>
      </c>
      <c r="W681" s="74"/>
      <c r="X681" s="75">
        <f t="shared" si="171"/>
        <v>0</v>
      </c>
      <c r="Y681" s="156">
        <f t="shared" si="172"/>
        <v>-3.6289065407398638E-14</v>
      </c>
      <c r="Z681" s="46"/>
      <c r="AA681" s="107">
        <f t="shared" si="154"/>
        <v>0</v>
      </c>
      <c r="AB681" s="46"/>
      <c r="AC681" s="46"/>
      <c r="AD681" s="46"/>
      <c r="AE681" s="46"/>
    </row>
    <row r="682" spans="1:31" x14ac:dyDescent="0.2">
      <c r="A682" s="73">
        <v>51</v>
      </c>
      <c r="B682" s="86">
        <f t="shared" si="173"/>
        <v>0</v>
      </c>
      <c r="C682" s="50">
        <f t="shared" si="155"/>
        <v>0</v>
      </c>
      <c r="D682" s="86">
        <f t="shared" si="156"/>
        <v>0</v>
      </c>
      <c r="E682" s="86">
        <f t="shared" si="157"/>
        <v>0</v>
      </c>
      <c r="F682" s="74">
        <f t="shared" si="158"/>
        <v>0</v>
      </c>
      <c r="G682" s="112">
        <f t="shared" si="159"/>
        <v>0</v>
      </c>
      <c r="H682" s="112">
        <f t="shared" si="160"/>
        <v>0</v>
      </c>
      <c r="I682" s="75">
        <f t="shared" si="161"/>
        <v>0</v>
      </c>
      <c r="J682" s="74"/>
      <c r="K682" s="75">
        <f t="shared" si="162"/>
        <v>0</v>
      </c>
      <c r="L682" s="156">
        <f t="shared" si="163"/>
        <v>0</v>
      </c>
      <c r="M682" s="157"/>
      <c r="N682" s="73">
        <v>51</v>
      </c>
      <c r="O682" s="86">
        <f t="shared" si="174"/>
        <v>-1.0913936421275139E-11</v>
      </c>
      <c r="P682" s="50">
        <f t="shared" si="164"/>
        <v>0</v>
      </c>
      <c r="Q682" s="86">
        <f t="shared" si="165"/>
        <v>0</v>
      </c>
      <c r="R682" s="86">
        <f t="shared" si="166"/>
        <v>0</v>
      </c>
      <c r="S682" s="74">
        <f t="shared" si="167"/>
        <v>-1.0913936421275139E-11</v>
      </c>
      <c r="T682" s="112">
        <f t="shared" si="168"/>
        <v>-8.4519814949086037E-12</v>
      </c>
      <c r="U682" s="112">
        <f t="shared" si="169"/>
        <v>0</v>
      </c>
      <c r="V682" s="75">
        <f t="shared" si="170"/>
        <v>0</v>
      </c>
      <c r="W682" s="74"/>
      <c r="X682" s="75">
        <f t="shared" si="171"/>
        <v>0</v>
      </c>
      <c r="Y682" s="156">
        <f t="shared" si="172"/>
        <v>-3.6289065407398638E-14</v>
      </c>
      <c r="Z682" s="46"/>
      <c r="AA682" s="107">
        <f t="shared" si="154"/>
        <v>0</v>
      </c>
      <c r="AB682" s="46"/>
      <c r="AC682" s="46"/>
      <c r="AD682" s="46"/>
      <c r="AE682" s="46"/>
    </row>
    <row r="683" spans="1:31" x14ac:dyDescent="0.2">
      <c r="A683" s="73">
        <v>52</v>
      </c>
      <c r="B683" s="86">
        <f t="shared" si="173"/>
        <v>0</v>
      </c>
      <c r="C683" s="50">
        <f t="shared" si="155"/>
        <v>0</v>
      </c>
      <c r="D683" s="86">
        <f t="shared" si="156"/>
        <v>0</v>
      </c>
      <c r="E683" s="86">
        <f t="shared" si="157"/>
        <v>0</v>
      </c>
      <c r="F683" s="74">
        <f t="shared" si="158"/>
        <v>0</v>
      </c>
      <c r="G683" s="112">
        <f t="shared" si="159"/>
        <v>0</v>
      </c>
      <c r="H683" s="112">
        <f t="shared" si="160"/>
        <v>0</v>
      </c>
      <c r="I683" s="75">
        <f t="shared" si="161"/>
        <v>0</v>
      </c>
      <c r="J683" s="74"/>
      <c r="K683" s="75">
        <f t="shared" si="162"/>
        <v>0</v>
      </c>
      <c r="L683" s="156">
        <f t="shared" si="163"/>
        <v>0</v>
      </c>
      <c r="M683" s="157"/>
      <c r="N683" s="73">
        <v>52</v>
      </c>
      <c r="O683" s="86">
        <f t="shared" si="174"/>
        <v>-1.0913936421275139E-11</v>
      </c>
      <c r="P683" s="50">
        <f t="shared" si="164"/>
        <v>0</v>
      </c>
      <c r="Q683" s="86">
        <f t="shared" si="165"/>
        <v>0</v>
      </c>
      <c r="R683" s="86">
        <f t="shared" si="166"/>
        <v>0</v>
      </c>
      <c r="S683" s="74">
        <f t="shared" si="167"/>
        <v>-1.0913936421275139E-11</v>
      </c>
      <c r="T683" s="112">
        <f t="shared" si="168"/>
        <v>-8.4097215874340626E-12</v>
      </c>
      <c r="U683" s="112">
        <f t="shared" si="169"/>
        <v>0</v>
      </c>
      <c r="V683" s="75">
        <f t="shared" si="170"/>
        <v>0</v>
      </c>
      <c r="W683" s="74"/>
      <c r="X683" s="75">
        <f t="shared" si="171"/>
        <v>0</v>
      </c>
      <c r="Y683" s="156">
        <f t="shared" si="172"/>
        <v>-3.6289065407398638E-14</v>
      </c>
      <c r="Z683" s="46"/>
      <c r="AA683" s="107">
        <f t="shared" si="154"/>
        <v>0</v>
      </c>
      <c r="AB683" s="46"/>
      <c r="AC683" s="46"/>
      <c r="AD683" s="46"/>
      <c r="AE683" s="46"/>
    </row>
    <row r="684" spans="1:31" x14ac:dyDescent="0.2">
      <c r="A684" s="73">
        <v>53</v>
      </c>
      <c r="B684" s="86">
        <f t="shared" si="173"/>
        <v>0</v>
      </c>
      <c r="C684" s="50">
        <f t="shared" si="155"/>
        <v>0</v>
      </c>
      <c r="D684" s="86">
        <f t="shared" si="156"/>
        <v>0</v>
      </c>
      <c r="E684" s="86">
        <f t="shared" si="157"/>
        <v>0</v>
      </c>
      <c r="F684" s="74">
        <f t="shared" si="158"/>
        <v>0</v>
      </c>
      <c r="G684" s="112">
        <f t="shared" si="159"/>
        <v>0</v>
      </c>
      <c r="H684" s="112">
        <f t="shared" si="160"/>
        <v>0</v>
      </c>
      <c r="I684" s="75">
        <f t="shared" si="161"/>
        <v>0</v>
      </c>
      <c r="J684" s="74"/>
      <c r="K684" s="75">
        <f t="shared" si="162"/>
        <v>0</v>
      </c>
      <c r="L684" s="156">
        <f t="shared" si="163"/>
        <v>0</v>
      </c>
      <c r="M684" s="157"/>
      <c r="N684" s="73">
        <v>53</v>
      </c>
      <c r="O684" s="86">
        <f t="shared" si="174"/>
        <v>-1.0913936421275139E-11</v>
      </c>
      <c r="P684" s="50">
        <f t="shared" si="164"/>
        <v>0</v>
      </c>
      <c r="Q684" s="86">
        <f t="shared" si="165"/>
        <v>0</v>
      </c>
      <c r="R684" s="86">
        <f t="shared" si="166"/>
        <v>0</v>
      </c>
      <c r="S684" s="74">
        <f t="shared" si="167"/>
        <v>-1.0913936421275139E-11</v>
      </c>
      <c r="T684" s="112">
        <f t="shared" si="168"/>
        <v>-8.3676729794968908E-12</v>
      </c>
      <c r="U684" s="112">
        <f t="shared" si="169"/>
        <v>0</v>
      </c>
      <c r="V684" s="75">
        <f t="shared" si="170"/>
        <v>0</v>
      </c>
      <c r="W684" s="74"/>
      <c r="X684" s="75">
        <f t="shared" si="171"/>
        <v>0</v>
      </c>
      <c r="Y684" s="156">
        <f t="shared" si="172"/>
        <v>-3.6289065407398638E-14</v>
      </c>
      <c r="Z684" s="46"/>
      <c r="AA684" s="107">
        <f t="shared" si="154"/>
        <v>0</v>
      </c>
      <c r="AB684" s="46"/>
      <c r="AC684" s="46"/>
      <c r="AD684" s="46"/>
      <c r="AE684" s="46"/>
    </row>
    <row r="685" spans="1:31" x14ac:dyDescent="0.2">
      <c r="A685" s="73">
        <v>54</v>
      </c>
      <c r="B685" s="86">
        <f t="shared" si="173"/>
        <v>0</v>
      </c>
      <c r="C685" s="50">
        <f t="shared" si="155"/>
        <v>0</v>
      </c>
      <c r="D685" s="86">
        <f t="shared" si="156"/>
        <v>0</v>
      </c>
      <c r="E685" s="86">
        <f t="shared" si="157"/>
        <v>0</v>
      </c>
      <c r="F685" s="74">
        <f t="shared" si="158"/>
        <v>0</v>
      </c>
      <c r="G685" s="112">
        <f t="shared" si="159"/>
        <v>0</v>
      </c>
      <c r="H685" s="112">
        <f t="shared" si="160"/>
        <v>0</v>
      </c>
      <c r="I685" s="75">
        <f t="shared" si="161"/>
        <v>0</v>
      </c>
      <c r="J685" s="74"/>
      <c r="K685" s="75">
        <f t="shared" si="162"/>
        <v>0</v>
      </c>
      <c r="L685" s="156">
        <f t="shared" si="163"/>
        <v>0</v>
      </c>
      <c r="M685" s="157"/>
      <c r="N685" s="73">
        <v>54</v>
      </c>
      <c r="O685" s="86">
        <f t="shared" si="174"/>
        <v>-1.0913936421275139E-11</v>
      </c>
      <c r="P685" s="50">
        <f t="shared" si="164"/>
        <v>0</v>
      </c>
      <c r="Q685" s="86">
        <f t="shared" si="165"/>
        <v>0</v>
      </c>
      <c r="R685" s="86">
        <f t="shared" si="166"/>
        <v>0</v>
      </c>
      <c r="S685" s="74">
        <f t="shared" si="167"/>
        <v>-1.0913936421275139E-11</v>
      </c>
      <c r="T685" s="112">
        <f t="shared" si="168"/>
        <v>-8.3258346145994079E-12</v>
      </c>
      <c r="U685" s="112">
        <f t="shared" si="169"/>
        <v>0</v>
      </c>
      <c r="V685" s="75">
        <f t="shared" si="170"/>
        <v>0</v>
      </c>
      <c r="W685" s="74"/>
      <c r="X685" s="75">
        <f t="shared" si="171"/>
        <v>0</v>
      </c>
      <c r="Y685" s="156">
        <f t="shared" si="172"/>
        <v>-3.6289065407398638E-14</v>
      </c>
      <c r="Z685" s="46"/>
      <c r="AA685" s="107">
        <f t="shared" si="154"/>
        <v>0</v>
      </c>
      <c r="AB685" s="46"/>
      <c r="AC685" s="46"/>
      <c r="AD685" s="46"/>
      <c r="AE685" s="46"/>
    </row>
    <row r="686" spans="1:31" x14ac:dyDescent="0.2">
      <c r="A686" s="73">
        <v>55</v>
      </c>
      <c r="B686" s="86">
        <f t="shared" si="173"/>
        <v>0</v>
      </c>
      <c r="C686" s="50">
        <f t="shared" si="155"/>
        <v>0</v>
      </c>
      <c r="D686" s="86">
        <f t="shared" si="156"/>
        <v>0</v>
      </c>
      <c r="E686" s="86">
        <f t="shared" si="157"/>
        <v>0</v>
      </c>
      <c r="F686" s="74">
        <f t="shared" si="158"/>
        <v>0</v>
      </c>
      <c r="G686" s="112">
        <f t="shared" si="159"/>
        <v>0</v>
      </c>
      <c r="H686" s="112">
        <f t="shared" si="160"/>
        <v>0</v>
      </c>
      <c r="I686" s="75">
        <f t="shared" si="161"/>
        <v>0</v>
      </c>
      <c r="J686" s="74"/>
      <c r="K686" s="75">
        <f t="shared" si="162"/>
        <v>0</v>
      </c>
      <c r="L686" s="156">
        <f t="shared" si="163"/>
        <v>0</v>
      </c>
      <c r="M686" s="157"/>
      <c r="N686" s="73">
        <v>55</v>
      </c>
      <c r="O686" s="86">
        <f t="shared" si="174"/>
        <v>-1.0913936421275139E-11</v>
      </c>
      <c r="P686" s="50">
        <f t="shared" si="164"/>
        <v>0</v>
      </c>
      <c r="Q686" s="86">
        <f t="shared" si="165"/>
        <v>0</v>
      </c>
      <c r="R686" s="86">
        <f t="shared" si="166"/>
        <v>0</v>
      </c>
      <c r="S686" s="74">
        <f t="shared" si="167"/>
        <v>-1.0913936421275139E-11</v>
      </c>
      <c r="T686" s="112">
        <f t="shared" si="168"/>
        <v>-8.2842054415264092E-12</v>
      </c>
      <c r="U686" s="112">
        <f t="shared" si="169"/>
        <v>0</v>
      </c>
      <c r="V686" s="75">
        <f t="shared" si="170"/>
        <v>0</v>
      </c>
      <c r="W686" s="74"/>
      <c r="X686" s="75">
        <f t="shared" si="171"/>
        <v>0</v>
      </c>
      <c r="Y686" s="156">
        <f t="shared" si="172"/>
        <v>-3.6289065407398638E-14</v>
      </c>
      <c r="Z686" s="46"/>
      <c r="AA686" s="107">
        <f t="shared" si="154"/>
        <v>0</v>
      </c>
      <c r="AB686" s="46"/>
      <c r="AC686" s="46"/>
      <c r="AD686" s="46"/>
      <c r="AE686" s="46"/>
    </row>
    <row r="687" spans="1:31" x14ac:dyDescent="0.2">
      <c r="A687" s="73">
        <v>56</v>
      </c>
      <c r="B687" s="86">
        <f t="shared" si="173"/>
        <v>0</v>
      </c>
      <c r="C687" s="50">
        <f t="shared" si="155"/>
        <v>0</v>
      </c>
      <c r="D687" s="86">
        <f t="shared" si="156"/>
        <v>0</v>
      </c>
      <c r="E687" s="86">
        <f t="shared" si="157"/>
        <v>0</v>
      </c>
      <c r="F687" s="74">
        <f t="shared" si="158"/>
        <v>0</v>
      </c>
      <c r="G687" s="112">
        <f t="shared" si="159"/>
        <v>0</v>
      </c>
      <c r="H687" s="112">
        <f t="shared" si="160"/>
        <v>0</v>
      </c>
      <c r="I687" s="75">
        <f t="shared" si="161"/>
        <v>0</v>
      </c>
      <c r="J687" s="74"/>
      <c r="K687" s="75">
        <f t="shared" si="162"/>
        <v>0</v>
      </c>
      <c r="L687" s="156">
        <f t="shared" si="163"/>
        <v>0</v>
      </c>
      <c r="M687" s="157"/>
      <c r="N687" s="73">
        <v>56</v>
      </c>
      <c r="O687" s="86">
        <f t="shared" si="174"/>
        <v>-1.0913936421275139E-11</v>
      </c>
      <c r="P687" s="50">
        <f t="shared" si="164"/>
        <v>0</v>
      </c>
      <c r="Q687" s="86">
        <f t="shared" si="165"/>
        <v>0</v>
      </c>
      <c r="R687" s="86">
        <f t="shared" si="166"/>
        <v>0</v>
      </c>
      <c r="S687" s="74">
        <f t="shared" si="167"/>
        <v>-1.0913936421275139E-11</v>
      </c>
      <c r="T687" s="112">
        <f t="shared" si="168"/>
        <v>-8.2427844143187778E-12</v>
      </c>
      <c r="U687" s="112">
        <f t="shared" si="169"/>
        <v>0</v>
      </c>
      <c r="V687" s="75">
        <f t="shared" si="170"/>
        <v>0</v>
      </c>
      <c r="W687" s="74"/>
      <c r="X687" s="75">
        <f t="shared" si="171"/>
        <v>0</v>
      </c>
      <c r="Y687" s="156">
        <f t="shared" si="172"/>
        <v>-3.6289065407398638E-14</v>
      </c>
      <c r="Z687" s="46"/>
      <c r="AA687" s="107">
        <f t="shared" si="154"/>
        <v>0</v>
      </c>
      <c r="AB687" s="46"/>
      <c r="AC687" s="46"/>
      <c r="AD687" s="46"/>
      <c r="AE687" s="46"/>
    </row>
    <row r="688" spans="1:31" x14ac:dyDescent="0.2">
      <c r="A688" s="73">
        <v>57</v>
      </c>
      <c r="B688" s="86">
        <f t="shared" si="173"/>
        <v>0</v>
      </c>
      <c r="C688" s="50">
        <f t="shared" si="155"/>
        <v>0</v>
      </c>
      <c r="D688" s="86">
        <f t="shared" si="156"/>
        <v>0</v>
      </c>
      <c r="E688" s="86">
        <f t="shared" si="157"/>
        <v>0</v>
      </c>
      <c r="F688" s="74">
        <f t="shared" si="158"/>
        <v>0</v>
      </c>
      <c r="G688" s="112">
        <f t="shared" si="159"/>
        <v>0</v>
      </c>
      <c r="H688" s="112">
        <f t="shared" si="160"/>
        <v>0</v>
      </c>
      <c r="I688" s="75">
        <f t="shared" si="161"/>
        <v>0</v>
      </c>
      <c r="J688" s="74"/>
      <c r="K688" s="75">
        <f t="shared" si="162"/>
        <v>0</v>
      </c>
      <c r="L688" s="156">
        <f t="shared" si="163"/>
        <v>0</v>
      </c>
      <c r="M688" s="157"/>
      <c r="N688" s="73">
        <v>57</v>
      </c>
      <c r="O688" s="86">
        <f t="shared" si="174"/>
        <v>-1.0913936421275139E-11</v>
      </c>
      <c r="P688" s="50">
        <f t="shared" si="164"/>
        <v>0</v>
      </c>
      <c r="Q688" s="86">
        <f t="shared" si="165"/>
        <v>0</v>
      </c>
      <c r="R688" s="86">
        <f t="shared" si="166"/>
        <v>0</v>
      </c>
      <c r="S688" s="74">
        <f t="shared" si="167"/>
        <v>-1.0913936421275139E-11</v>
      </c>
      <c r="T688" s="112">
        <f t="shared" si="168"/>
        <v>-8.2015704922471851E-12</v>
      </c>
      <c r="U688" s="112">
        <f t="shared" si="169"/>
        <v>0</v>
      </c>
      <c r="V688" s="75">
        <f t="shared" si="170"/>
        <v>0</v>
      </c>
      <c r="W688" s="74"/>
      <c r="X688" s="75">
        <f t="shared" si="171"/>
        <v>0</v>
      </c>
      <c r="Y688" s="156">
        <f t="shared" si="172"/>
        <v>-3.6289065407398638E-14</v>
      </c>
      <c r="Z688" s="46"/>
      <c r="AA688" s="107">
        <f t="shared" si="154"/>
        <v>0</v>
      </c>
      <c r="AB688" s="46"/>
      <c r="AC688" s="46"/>
      <c r="AD688" s="46"/>
      <c r="AE688" s="46"/>
    </row>
    <row r="689" spans="1:31" x14ac:dyDescent="0.2">
      <c r="A689" s="73">
        <v>58</v>
      </c>
      <c r="B689" s="86">
        <f t="shared" si="173"/>
        <v>0</v>
      </c>
      <c r="C689" s="50">
        <f t="shared" si="155"/>
        <v>0</v>
      </c>
      <c r="D689" s="86">
        <f t="shared" si="156"/>
        <v>0</v>
      </c>
      <c r="E689" s="86">
        <f t="shared" si="157"/>
        <v>0</v>
      </c>
      <c r="F689" s="74">
        <f t="shared" si="158"/>
        <v>0</v>
      </c>
      <c r="G689" s="112">
        <f t="shared" si="159"/>
        <v>0</v>
      </c>
      <c r="H689" s="112">
        <f t="shared" si="160"/>
        <v>0</v>
      </c>
      <c r="I689" s="75">
        <f t="shared" si="161"/>
        <v>0</v>
      </c>
      <c r="J689" s="74"/>
      <c r="K689" s="75">
        <f t="shared" si="162"/>
        <v>0</v>
      </c>
      <c r="L689" s="156">
        <f t="shared" si="163"/>
        <v>0</v>
      </c>
      <c r="M689" s="157"/>
      <c r="N689" s="73">
        <v>58</v>
      </c>
      <c r="O689" s="86">
        <f t="shared" si="174"/>
        <v>-1.0913936421275139E-11</v>
      </c>
      <c r="P689" s="50">
        <f t="shared" si="164"/>
        <v>0</v>
      </c>
      <c r="Q689" s="86">
        <f t="shared" si="165"/>
        <v>0</v>
      </c>
      <c r="R689" s="86">
        <f t="shared" si="166"/>
        <v>0</v>
      </c>
      <c r="S689" s="74">
        <f t="shared" si="167"/>
        <v>-1.0913936421275139E-11</v>
      </c>
      <c r="T689" s="112">
        <f t="shared" si="168"/>
        <v>-8.1605626397859488E-12</v>
      </c>
      <c r="U689" s="112">
        <f t="shared" si="169"/>
        <v>0</v>
      </c>
      <c r="V689" s="75">
        <f t="shared" si="170"/>
        <v>0</v>
      </c>
      <c r="W689" s="74"/>
      <c r="X689" s="75">
        <f t="shared" si="171"/>
        <v>0</v>
      </c>
      <c r="Y689" s="156">
        <f t="shared" si="172"/>
        <v>-3.6289065407398638E-14</v>
      </c>
      <c r="Z689" s="46"/>
      <c r="AA689" s="107">
        <f t="shared" si="154"/>
        <v>0</v>
      </c>
      <c r="AB689" s="46"/>
      <c r="AC689" s="46"/>
      <c r="AD689" s="46"/>
      <c r="AE689" s="46"/>
    </row>
    <row r="690" spans="1:31" x14ac:dyDescent="0.2">
      <c r="A690" s="73">
        <v>59</v>
      </c>
      <c r="B690" s="86">
        <f t="shared" si="173"/>
        <v>0</v>
      </c>
      <c r="C690" s="50">
        <f t="shared" si="155"/>
        <v>0</v>
      </c>
      <c r="D690" s="86">
        <f t="shared" si="156"/>
        <v>0</v>
      </c>
      <c r="E690" s="86">
        <f t="shared" si="157"/>
        <v>0</v>
      </c>
      <c r="F690" s="74">
        <f t="shared" si="158"/>
        <v>0</v>
      </c>
      <c r="G690" s="112">
        <f t="shared" si="159"/>
        <v>0</v>
      </c>
      <c r="H690" s="112">
        <f t="shared" si="160"/>
        <v>0</v>
      </c>
      <c r="I690" s="75">
        <f t="shared" si="161"/>
        <v>0</v>
      </c>
      <c r="J690" s="74"/>
      <c r="K690" s="75">
        <f t="shared" si="162"/>
        <v>0</v>
      </c>
      <c r="L690" s="156">
        <f t="shared" si="163"/>
        <v>0</v>
      </c>
      <c r="M690" s="157"/>
      <c r="N690" s="73">
        <v>59</v>
      </c>
      <c r="O690" s="86">
        <f t="shared" si="174"/>
        <v>-1.0913936421275139E-11</v>
      </c>
      <c r="P690" s="50">
        <f t="shared" si="164"/>
        <v>0</v>
      </c>
      <c r="Q690" s="86">
        <f t="shared" si="165"/>
        <v>0</v>
      </c>
      <c r="R690" s="86">
        <f t="shared" si="166"/>
        <v>0</v>
      </c>
      <c r="S690" s="74">
        <f t="shared" si="167"/>
        <v>-1.0913936421275139E-11</v>
      </c>
      <c r="T690" s="112">
        <f t="shared" si="168"/>
        <v>-8.1197598265870183E-12</v>
      </c>
      <c r="U690" s="112">
        <f t="shared" si="169"/>
        <v>0</v>
      </c>
      <c r="V690" s="75">
        <f t="shared" si="170"/>
        <v>0</v>
      </c>
      <c r="W690" s="74"/>
      <c r="X690" s="75">
        <f t="shared" si="171"/>
        <v>0</v>
      </c>
      <c r="Y690" s="156">
        <f t="shared" si="172"/>
        <v>-3.6289065407398638E-14</v>
      </c>
      <c r="Z690" s="46"/>
      <c r="AA690" s="107">
        <f t="shared" si="154"/>
        <v>0</v>
      </c>
      <c r="AB690" s="46"/>
      <c r="AC690" s="46"/>
      <c r="AD690" s="46"/>
      <c r="AE690" s="46"/>
    </row>
    <row r="691" spans="1:31" x14ac:dyDescent="0.2">
      <c r="A691" s="73">
        <v>60</v>
      </c>
      <c r="B691" s="86">
        <f t="shared" si="173"/>
        <v>0</v>
      </c>
      <c r="C691" s="50">
        <f t="shared" si="155"/>
        <v>0</v>
      </c>
      <c r="D691" s="86">
        <f t="shared" si="156"/>
        <v>0</v>
      </c>
      <c r="E691" s="86">
        <f t="shared" si="157"/>
        <v>0</v>
      </c>
      <c r="F691" s="74">
        <f t="shared" si="158"/>
        <v>0</v>
      </c>
      <c r="G691" s="112">
        <f t="shared" si="159"/>
        <v>0</v>
      </c>
      <c r="H691" s="112">
        <f t="shared" si="160"/>
        <v>0</v>
      </c>
      <c r="I691" s="75">
        <f t="shared" si="161"/>
        <v>0</v>
      </c>
      <c r="J691" s="74"/>
      <c r="K691" s="75">
        <f t="shared" si="162"/>
        <v>0</v>
      </c>
      <c r="L691" s="156">
        <f t="shared" si="163"/>
        <v>0</v>
      </c>
      <c r="M691" s="157"/>
      <c r="N691" s="73">
        <v>60</v>
      </c>
      <c r="O691" s="86">
        <f t="shared" si="174"/>
        <v>-1.0913936421275139E-11</v>
      </c>
      <c r="P691" s="50">
        <f t="shared" si="164"/>
        <v>0</v>
      </c>
      <c r="Q691" s="86">
        <f t="shared" si="165"/>
        <v>0</v>
      </c>
      <c r="R691" s="86">
        <f t="shared" si="166"/>
        <v>0</v>
      </c>
      <c r="S691" s="74">
        <f t="shared" si="167"/>
        <v>-1.0913936421275139E-11</v>
      </c>
      <c r="T691" s="112">
        <f t="shared" si="168"/>
        <v>-8.079161027454084E-12</v>
      </c>
      <c r="U691" s="112">
        <f t="shared" si="169"/>
        <v>0</v>
      </c>
      <c r="V691" s="75">
        <f t="shared" si="170"/>
        <v>0</v>
      </c>
      <c r="W691" s="74"/>
      <c r="X691" s="75">
        <f t="shared" si="171"/>
        <v>0</v>
      </c>
      <c r="Y691" s="156">
        <f t="shared" si="172"/>
        <v>-3.6289065407398638E-14</v>
      </c>
      <c r="Z691" s="46"/>
      <c r="AA691" s="107">
        <f t="shared" si="154"/>
        <v>0</v>
      </c>
      <c r="AB691" s="46"/>
      <c r="AC691" s="46"/>
      <c r="AD691" s="46"/>
      <c r="AE691" s="46"/>
    </row>
    <row r="692" spans="1:31" x14ac:dyDescent="0.2">
      <c r="A692" s="73">
        <v>61</v>
      </c>
      <c r="B692" s="86">
        <f t="shared" si="173"/>
        <v>0</v>
      </c>
      <c r="C692" s="50">
        <f t="shared" si="155"/>
        <v>0</v>
      </c>
      <c r="D692" s="86">
        <f t="shared" si="156"/>
        <v>0</v>
      </c>
      <c r="E692" s="86">
        <f t="shared" si="157"/>
        <v>0</v>
      </c>
      <c r="F692" s="74">
        <f t="shared" si="158"/>
        <v>0</v>
      </c>
      <c r="G692" s="112">
        <f t="shared" si="159"/>
        <v>0</v>
      </c>
      <c r="H692" s="112">
        <f t="shared" si="160"/>
        <v>0</v>
      </c>
      <c r="I692" s="75">
        <f t="shared" si="161"/>
        <v>0</v>
      </c>
      <c r="J692" s="74"/>
      <c r="K692" s="75">
        <f t="shared" si="162"/>
        <v>0</v>
      </c>
      <c r="L692" s="156">
        <f t="shared" si="163"/>
        <v>0</v>
      </c>
      <c r="M692" s="157"/>
      <c r="N692" s="73">
        <v>61</v>
      </c>
      <c r="O692" s="86">
        <f t="shared" si="174"/>
        <v>-1.0913936421275139E-11</v>
      </c>
      <c r="P692" s="50">
        <f t="shared" si="164"/>
        <v>0</v>
      </c>
      <c r="Q692" s="86">
        <f t="shared" si="165"/>
        <v>0</v>
      </c>
      <c r="R692" s="86">
        <f t="shared" si="166"/>
        <v>0</v>
      </c>
      <c r="S692" s="74">
        <f t="shared" si="167"/>
        <v>-1.0913936421275139E-11</v>
      </c>
      <c r="T692" s="112">
        <f t="shared" si="168"/>
        <v>-8.0387652223168161E-12</v>
      </c>
      <c r="U692" s="112">
        <f t="shared" si="169"/>
        <v>0</v>
      </c>
      <c r="V692" s="75">
        <f t="shared" si="170"/>
        <v>0</v>
      </c>
      <c r="W692" s="74"/>
      <c r="X692" s="75">
        <f t="shared" si="171"/>
        <v>0</v>
      </c>
      <c r="Y692" s="156">
        <f t="shared" si="172"/>
        <v>-3.6289065407398638E-14</v>
      </c>
      <c r="Z692" s="46"/>
      <c r="AA692" s="107">
        <f t="shared" si="154"/>
        <v>0</v>
      </c>
      <c r="AB692" s="46"/>
      <c r="AC692" s="46"/>
      <c r="AD692" s="46"/>
      <c r="AE692" s="46"/>
    </row>
    <row r="693" spans="1:31" x14ac:dyDescent="0.2">
      <c r="A693" s="73">
        <v>62</v>
      </c>
      <c r="B693" s="86">
        <f t="shared" si="173"/>
        <v>0</v>
      </c>
      <c r="C693" s="50">
        <f t="shared" si="155"/>
        <v>0</v>
      </c>
      <c r="D693" s="86">
        <f t="shared" si="156"/>
        <v>0</v>
      </c>
      <c r="E693" s="86">
        <f t="shared" si="157"/>
        <v>0</v>
      </c>
      <c r="F693" s="74">
        <f t="shared" si="158"/>
        <v>0</v>
      </c>
      <c r="G693" s="112">
        <f t="shared" si="159"/>
        <v>0</v>
      </c>
      <c r="H693" s="112">
        <f t="shared" si="160"/>
        <v>0</v>
      </c>
      <c r="I693" s="75">
        <f t="shared" si="161"/>
        <v>0</v>
      </c>
      <c r="J693" s="74"/>
      <c r="K693" s="75">
        <f t="shared" si="162"/>
        <v>0</v>
      </c>
      <c r="L693" s="156">
        <f t="shared" si="163"/>
        <v>0</v>
      </c>
      <c r="M693" s="157"/>
      <c r="N693" s="73">
        <v>62</v>
      </c>
      <c r="O693" s="86">
        <f t="shared" si="174"/>
        <v>-1.0913936421275139E-11</v>
      </c>
      <c r="P693" s="50">
        <f t="shared" si="164"/>
        <v>0</v>
      </c>
      <c r="Q693" s="86">
        <f t="shared" si="165"/>
        <v>0</v>
      </c>
      <c r="R693" s="86">
        <f t="shared" si="166"/>
        <v>0</v>
      </c>
      <c r="S693" s="74">
        <f t="shared" si="167"/>
        <v>-1.0913936421275139E-11</v>
      </c>
      <c r="T693" s="112">
        <f t="shared" si="168"/>
        <v>-7.9985713962052305E-12</v>
      </c>
      <c r="U693" s="112">
        <f t="shared" si="169"/>
        <v>0</v>
      </c>
      <c r="V693" s="75">
        <f t="shared" si="170"/>
        <v>0</v>
      </c>
      <c r="W693" s="74"/>
      <c r="X693" s="75">
        <f t="shared" si="171"/>
        <v>0</v>
      </c>
      <c r="Y693" s="156">
        <f t="shared" si="172"/>
        <v>-3.6289065407398638E-14</v>
      </c>
      <c r="Z693" s="46"/>
      <c r="AA693" s="107">
        <f t="shared" si="154"/>
        <v>0</v>
      </c>
      <c r="AB693" s="46"/>
      <c r="AC693" s="46"/>
      <c r="AD693" s="46"/>
      <c r="AE693" s="46"/>
    </row>
    <row r="694" spans="1:31" x14ac:dyDescent="0.2">
      <c r="A694" s="73">
        <v>63</v>
      </c>
      <c r="B694" s="86">
        <f t="shared" si="173"/>
        <v>0</v>
      </c>
      <c r="C694" s="50">
        <f t="shared" si="155"/>
        <v>0</v>
      </c>
      <c r="D694" s="86">
        <f t="shared" si="156"/>
        <v>0</v>
      </c>
      <c r="E694" s="86">
        <f t="shared" si="157"/>
        <v>0</v>
      </c>
      <c r="F694" s="74">
        <f t="shared" si="158"/>
        <v>0</v>
      </c>
      <c r="G694" s="112">
        <f t="shared" si="159"/>
        <v>0</v>
      </c>
      <c r="H694" s="112">
        <f t="shared" si="160"/>
        <v>0</v>
      </c>
      <c r="I694" s="75">
        <f t="shared" si="161"/>
        <v>0</v>
      </c>
      <c r="J694" s="74"/>
      <c r="K694" s="75">
        <f t="shared" si="162"/>
        <v>0</v>
      </c>
      <c r="L694" s="156">
        <f t="shared" si="163"/>
        <v>0</v>
      </c>
      <c r="M694" s="157"/>
      <c r="N694" s="73">
        <v>63</v>
      </c>
      <c r="O694" s="86">
        <f t="shared" si="174"/>
        <v>-1.0913936421275139E-11</v>
      </c>
      <c r="P694" s="50">
        <f t="shared" si="164"/>
        <v>0</v>
      </c>
      <c r="Q694" s="86">
        <f t="shared" si="165"/>
        <v>0</v>
      </c>
      <c r="R694" s="86">
        <f t="shared" si="166"/>
        <v>0</v>
      </c>
      <c r="S694" s="74">
        <f t="shared" si="167"/>
        <v>-1.0913936421275139E-11</v>
      </c>
      <c r="T694" s="112">
        <f t="shared" si="168"/>
        <v>-7.9585785392242028E-12</v>
      </c>
      <c r="U694" s="112">
        <f t="shared" si="169"/>
        <v>0</v>
      </c>
      <c r="V694" s="75">
        <f t="shared" si="170"/>
        <v>0</v>
      </c>
      <c r="W694" s="74"/>
      <c r="X694" s="75">
        <f t="shared" si="171"/>
        <v>0</v>
      </c>
      <c r="Y694" s="156">
        <f t="shared" si="172"/>
        <v>-3.6289065407398638E-14</v>
      </c>
      <c r="Z694" s="46"/>
      <c r="AA694" s="107">
        <f t="shared" si="154"/>
        <v>0</v>
      </c>
      <c r="AB694" s="46"/>
      <c r="AC694" s="46"/>
      <c r="AD694" s="46"/>
      <c r="AE694" s="46"/>
    </row>
    <row r="695" spans="1:31" x14ac:dyDescent="0.2">
      <c r="A695" s="73">
        <v>64</v>
      </c>
      <c r="B695" s="86">
        <f t="shared" si="173"/>
        <v>0</v>
      </c>
      <c r="C695" s="50">
        <f t="shared" si="155"/>
        <v>0</v>
      </c>
      <c r="D695" s="86">
        <f t="shared" si="156"/>
        <v>0</v>
      </c>
      <c r="E695" s="86">
        <f t="shared" si="157"/>
        <v>0</v>
      </c>
      <c r="F695" s="74">
        <f t="shared" si="158"/>
        <v>0</v>
      </c>
      <c r="G695" s="112">
        <f t="shared" si="159"/>
        <v>0</v>
      </c>
      <c r="H695" s="112">
        <f t="shared" si="160"/>
        <v>0</v>
      </c>
      <c r="I695" s="75">
        <f t="shared" si="161"/>
        <v>0</v>
      </c>
      <c r="J695" s="74"/>
      <c r="K695" s="75">
        <f t="shared" si="162"/>
        <v>0</v>
      </c>
      <c r="L695" s="156">
        <f t="shared" si="163"/>
        <v>0</v>
      </c>
      <c r="M695" s="157"/>
      <c r="N695" s="73">
        <v>64</v>
      </c>
      <c r="O695" s="86">
        <f t="shared" si="174"/>
        <v>-1.0913936421275139E-11</v>
      </c>
      <c r="P695" s="50">
        <f t="shared" si="164"/>
        <v>0</v>
      </c>
      <c r="Q695" s="86">
        <f t="shared" si="165"/>
        <v>0</v>
      </c>
      <c r="R695" s="86">
        <f t="shared" si="166"/>
        <v>0</v>
      </c>
      <c r="S695" s="74">
        <f t="shared" si="167"/>
        <v>-1.0913936421275139E-11</v>
      </c>
      <c r="T695" s="112">
        <f t="shared" si="168"/>
        <v>-7.9187856465280826E-12</v>
      </c>
      <c r="U695" s="112">
        <f t="shared" si="169"/>
        <v>0</v>
      </c>
      <c r="V695" s="75">
        <f t="shared" si="170"/>
        <v>0</v>
      </c>
      <c r="W695" s="74"/>
      <c r="X695" s="75">
        <f t="shared" si="171"/>
        <v>0</v>
      </c>
      <c r="Y695" s="156">
        <f t="shared" si="172"/>
        <v>-3.6289065407398638E-14</v>
      </c>
      <c r="Z695" s="46"/>
      <c r="AA695" s="107">
        <f t="shared" ref="AA695:AA726" si="175">+V695-I695</f>
        <v>0</v>
      </c>
      <c r="AB695" s="46"/>
      <c r="AC695" s="46"/>
      <c r="AD695" s="46"/>
      <c r="AE695" s="46"/>
    </row>
    <row r="696" spans="1:31" x14ac:dyDescent="0.2">
      <c r="A696" s="73">
        <v>65</v>
      </c>
      <c r="B696" s="86">
        <f t="shared" si="173"/>
        <v>0</v>
      </c>
      <c r="C696" s="50">
        <f t="shared" ref="C696:C727" si="176">(IF(A696&lt;$B$613,PMT($B$614/12,$B$613,-$B$612,$B$617,$B$620),IF(A696=$B$613,PMT($B$614/12,$B$613,-$B$612,$B$617,$B$620)+$B$617,0)))</f>
        <v>0</v>
      </c>
      <c r="D696" s="86">
        <f t="shared" ref="D696:D727" si="177">IF(A696&lt;=$B$613,B696*$B$614/12,0)</f>
        <v>0</v>
      </c>
      <c r="E696" s="86">
        <f t="shared" ref="E696:E727" si="178">C696-D696</f>
        <v>0</v>
      </c>
      <c r="F696" s="74">
        <f t="shared" ref="F696:F727" si="179">(B696-E696)</f>
        <v>0</v>
      </c>
      <c r="G696" s="112">
        <f t="shared" ref="G696:G727" si="180">B696*(1-B$621)^($A696)</f>
        <v>0</v>
      </c>
      <c r="H696" s="112">
        <f t="shared" ref="H696:H727" si="181">IF(A696&lt;=$B$613,G696*$B$614/12,0)</f>
        <v>0</v>
      </c>
      <c r="I696" s="75">
        <f t="shared" ref="I696:I727" si="182">C696</f>
        <v>0</v>
      </c>
      <c r="J696" s="74"/>
      <c r="K696" s="75">
        <f t="shared" ref="K696:K727" si="183">C696</f>
        <v>0</v>
      </c>
      <c r="L696" s="156">
        <f t="shared" ref="L696:L727" si="184">F696/$B$612*100</f>
        <v>0</v>
      </c>
      <c r="M696" s="157"/>
      <c r="N696" s="73">
        <v>65</v>
      </c>
      <c r="O696" s="86">
        <f t="shared" si="174"/>
        <v>-1.0913936421275139E-11</v>
      </c>
      <c r="P696" s="50">
        <f t="shared" ref="P696:P727" si="185">(IF(N696&lt;$B$613,PMT($B$615/12,$B$613,-$B$612,$B$617,0),IF(N696=$B$613,PMT($B$615/12,$B$613,-$B$612,$B$617,0)+$B$617,0)))</f>
        <v>0</v>
      </c>
      <c r="Q696" s="86">
        <f t="shared" ref="Q696:Q727" si="186">IF(N696&lt;=$B$613,O696*$B$615/12,0)</f>
        <v>0</v>
      </c>
      <c r="R696" s="86">
        <f t="shared" ref="R696:R727" si="187">P696-Q696</f>
        <v>0</v>
      </c>
      <c r="S696" s="74">
        <f t="shared" ref="S696:S727" si="188">(O696-R696)</f>
        <v>-1.0913936421275139E-11</v>
      </c>
      <c r="T696" s="112">
        <f t="shared" ref="T696:T727" si="189">O696*(1-B$621)^($N696)</f>
        <v>-7.8791917182954417E-12</v>
      </c>
      <c r="U696" s="112">
        <f t="shared" ref="U696:U727" si="190">IF(N696&lt;=$B$613,T696*$B$615/12,0)</f>
        <v>0</v>
      </c>
      <c r="V696" s="75">
        <f t="shared" ref="V696:V727" si="191">P696</f>
        <v>0</v>
      </c>
      <c r="W696" s="74"/>
      <c r="X696" s="75">
        <f t="shared" ref="X696:X727" si="192">P696</f>
        <v>0</v>
      </c>
      <c r="Y696" s="156">
        <f t="shared" ref="Y696:Y727" si="193">S696/$B$612*100</f>
        <v>-3.6289065407398638E-14</v>
      </c>
      <c r="Z696" s="46"/>
      <c r="AA696" s="107">
        <f t="shared" si="175"/>
        <v>0</v>
      </c>
      <c r="AB696" s="46"/>
      <c r="AC696" s="46"/>
      <c r="AD696" s="46"/>
      <c r="AE696" s="46"/>
    </row>
    <row r="697" spans="1:31" x14ac:dyDescent="0.2">
      <c r="A697" s="73">
        <v>66</v>
      </c>
      <c r="B697" s="86">
        <f t="shared" ref="B697:B728" si="194">+F696</f>
        <v>0</v>
      </c>
      <c r="C697" s="50">
        <f t="shared" si="176"/>
        <v>0</v>
      </c>
      <c r="D697" s="86">
        <f t="shared" si="177"/>
        <v>0</v>
      </c>
      <c r="E697" s="86">
        <f t="shared" si="178"/>
        <v>0</v>
      </c>
      <c r="F697" s="74">
        <f t="shared" si="179"/>
        <v>0</v>
      </c>
      <c r="G697" s="112">
        <f t="shared" si="180"/>
        <v>0</v>
      </c>
      <c r="H697" s="112">
        <f t="shared" si="181"/>
        <v>0</v>
      </c>
      <c r="I697" s="75">
        <f t="shared" si="182"/>
        <v>0</v>
      </c>
      <c r="J697" s="74"/>
      <c r="K697" s="75">
        <f t="shared" si="183"/>
        <v>0</v>
      </c>
      <c r="L697" s="156">
        <f t="shared" si="184"/>
        <v>0</v>
      </c>
      <c r="M697" s="157"/>
      <c r="N697" s="73">
        <v>66</v>
      </c>
      <c r="O697" s="86">
        <f t="shared" ref="O697:O728" si="195">+S696</f>
        <v>-1.0913936421275139E-11</v>
      </c>
      <c r="P697" s="50">
        <f t="shared" si="185"/>
        <v>0</v>
      </c>
      <c r="Q697" s="86">
        <f t="shared" si="186"/>
        <v>0</v>
      </c>
      <c r="R697" s="86">
        <f t="shared" si="187"/>
        <v>0</v>
      </c>
      <c r="S697" s="74">
        <f t="shared" si="188"/>
        <v>-1.0913936421275139E-11</v>
      </c>
      <c r="T697" s="112">
        <f t="shared" si="189"/>
        <v>-7.8397957597039649E-12</v>
      </c>
      <c r="U697" s="112">
        <f t="shared" si="190"/>
        <v>0</v>
      </c>
      <c r="V697" s="75">
        <f t="shared" si="191"/>
        <v>0</v>
      </c>
      <c r="W697" s="74"/>
      <c r="X697" s="75">
        <f t="shared" si="192"/>
        <v>0</v>
      </c>
      <c r="Y697" s="156">
        <f t="shared" si="193"/>
        <v>-3.6289065407398638E-14</v>
      </c>
      <c r="Z697" s="46"/>
      <c r="AA697" s="107">
        <f t="shared" si="175"/>
        <v>0</v>
      </c>
      <c r="AB697" s="46"/>
      <c r="AC697" s="46"/>
      <c r="AD697" s="46"/>
      <c r="AE697" s="46"/>
    </row>
    <row r="698" spans="1:31" x14ac:dyDescent="0.2">
      <c r="A698" s="73">
        <v>67</v>
      </c>
      <c r="B698" s="86">
        <f t="shared" si="194"/>
        <v>0</v>
      </c>
      <c r="C698" s="50">
        <f t="shared" si="176"/>
        <v>0</v>
      </c>
      <c r="D698" s="86">
        <f t="shared" si="177"/>
        <v>0</v>
      </c>
      <c r="E698" s="86">
        <f t="shared" si="178"/>
        <v>0</v>
      </c>
      <c r="F698" s="74">
        <f t="shared" si="179"/>
        <v>0</v>
      </c>
      <c r="G698" s="112">
        <f t="shared" si="180"/>
        <v>0</v>
      </c>
      <c r="H698" s="112">
        <f t="shared" si="181"/>
        <v>0</v>
      </c>
      <c r="I698" s="75">
        <f t="shared" si="182"/>
        <v>0</v>
      </c>
      <c r="J698" s="74"/>
      <c r="K698" s="75">
        <f t="shared" si="183"/>
        <v>0</v>
      </c>
      <c r="L698" s="156">
        <f t="shared" si="184"/>
        <v>0</v>
      </c>
      <c r="M698" s="157"/>
      <c r="N698" s="73">
        <v>67</v>
      </c>
      <c r="O698" s="86">
        <f t="shared" si="195"/>
        <v>-1.0913936421275139E-11</v>
      </c>
      <c r="P698" s="50">
        <f t="shared" si="185"/>
        <v>0</v>
      </c>
      <c r="Q698" s="86">
        <f t="shared" si="186"/>
        <v>0</v>
      </c>
      <c r="R698" s="86">
        <f t="shared" si="187"/>
        <v>0</v>
      </c>
      <c r="S698" s="74">
        <f t="shared" si="188"/>
        <v>-1.0913936421275139E-11</v>
      </c>
      <c r="T698" s="112">
        <f t="shared" si="189"/>
        <v>-7.8005967809054454E-12</v>
      </c>
      <c r="U698" s="112">
        <f t="shared" si="190"/>
        <v>0</v>
      </c>
      <c r="V698" s="75">
        <f t="shared" si="191"/>
        <v>0</v>
      </c>
      <c r="W698" s="74"/>
      <c r="X698" s="75">
        <f t="shared" si="192"/>
        <v>0</v>
      </c>
      <c r="Y698" s="156">
        <f t="shared" si="193"/>
        <v>-3.6289065407398638E-14</v>
      </c>
      <c r="Z698" s="46"/>
      <c r="AA698" s="107">
        <f t="shared" si="175"/>
        <v>0</v>
      </c>
      <c r="AB698" s="46"/>
      <c r="AC698" s="46"/>
      <c r="AD698" s="46"/>
      <c r="AE698" s="46"/>
    </row>
    <row r="699" spans="1:31" x14ac:dyDescent="0.2">
      <c r="A699" s="73">
        <v>68</v>
      </c>
      <c r="B699" s="86">
        <f t="shared" si="194"/>
        <v>0</v>
      </c>
      <c r="C699" s="50">
        <f t="shared" si="176"/>
        <v>0</v>
      </c>
      <c r="D699" s="86">
        <f t="shared" si="177"/>
        <v>0</v>
      </c>
      <c r="E699" s="86">
        <f t="shared" si="178"/>
        <v>0</v>
      </c>
      <c r="F699" s="74">
        <f t="shared" si="179"/>
        <v>0</v>
      </c>
      <c r="G699" s="112">
        <f t="shared" si="180"/>
        <v>0</v>
      </c>
      <c r="H699" s="112">
        <f t="shared" si="181"/>
        <v>0</v>
      </c>
      <c r="I699" s="75">
        <f t="shared" si="182"/>
        <v>0</v>
      </c>
      <c r="J699" s="74"/>
      <c r="K699" s="75">
        <f t="shared" si="183"/>
        <v>0</v>
      </c>
      <c r="L699" s="156">
        <f t="shared" si="184"/>
        <v>0</v>
      </c>
      <c r="M699" s="157"/>
      <c r="N699" s="73">
        <v>68</v>
      </c>
      <c r="O699" s="86">
        <f t="shared" si="195"/>
        <v>-1.0913936421275139E-11</v>
      </c>
      <c r="P699" s="50">
        <f t="shared" si="185"/>
        <v>0</v>
      </c>
      <c r="Q699" s="86">
        <f t="shared" si="186"/>
        <v>0</v>
      </c>
      <c r="R699" s="86">
        <f t="shared" si="187"/>
        <v>0</v>
      </c>
      <c r="S699" s="74">
        <f t="shared" si="188"/>
        <v>-1.0913936421275139E-11</v>
      </c>
      <c r="T699" s="112">
        <f t="shared" si="189"/>
        <v>-7.7615937970009194E-12</v>
      </c>
      <c r="U699" s="112">
        <f t="shared" si="190"/>
        <v>0</v>
      </c>
      <c r="V699" s="75">
        <f t="shared" si="191"/>
        <v>0</v>
      </c>
      <c r="W699" s="74"/>
      <c r="X699" s="75">
        <f t="shared" si="192"/>
        <v>0</v>
      </c>
      <c r="Y699" s="156">
        <f t="shared" si="193"/>
        <v>-3.6289065407398638E-14</v>
      </c>
      <c r="Z699" s="46"/>
      <c r="AA699" s="107">
        <f t="shared" si="175"/>
        <v>0</v>
      </c>
      <c r="AB699" s="46"/>
      <c r="AC699" s="46"/>
      <c r="AD699" s="46"/>
      <c r="AE699" s="46"/>
    </row>
    <row r="700" spans="1:31" x14ac:dyDescent="0.2">
      <c r="A700" s="73">
        <v>69</v>
      </c>
      <c r="B700" s="86">
        <f t="shared" si="194"/>
        <v>0</v>
      </c>
      <c r="C700" s="50">
        <f t="shared" si="176"/>
        <v>0</v>
      </c>
      <c r="D700" s="86">
        <f t="shared" si="177"/>
        <v>0</v>
      </c>
      <c r="E700" s="86">
        <f t="shared" si="178"/>
        <v>0</v>
      </c>
      <c r="F700" s="74">
        <f t="shared" si="179"/>
        <v>0</v>
      </c>
      <c r="G700" s="112">
        <f t="shared" si="180"/>
        <v>0</v>
      </c>
      <c r="H700" s="112">
        <f t="shared" si="181"/>
        <v>0</v>
      </c>
      <c r="I700" s="75">
        <f t="shared" si="182"/>
        <v>0</v>
      </c>
      <c r="J700" s="74"/>
      <c r="K700" s="75">
        <f t="shared" si="183"/>
        <v>0</v>
      </c>
      <c r="L700" s="156">
        <f t="shared" si="184"/>
        <v>0</v>
      </c>
      <c r="M700" s="157"/>
      <c r="N700" s="73">
        <v>69</v>
      </c>
      <c r="O700" s="86">
        <f t="shared" si="195"/>
        <v>-1.0913936421275139E-11</v>
      </c>
      <c r="P700" s="50">
        <f t="shared" si="185"/>
        <v>0</v>
      </c>
      <c r="Q700" s="86">
        <f t="shared" si="186"/>
        <v>0</v>
      </c>
      <c r="R700" s="86">
        <f t="shared" si="187"/>
        <v>0</v>
      </c>
      <c r="S700" s="74">
        <f t="shared" si="188"/>
        <v>-1.0913936421275139E-11</v>
      </c>
      <c r="T700" s="112">
        <f t="shared" si="189"/>
        <v>-7.7227858280159135E-12</v>
      </c>
      <c r="U700" s="112">
        <f t="shared" si="190"/>
        <v>0</v>
      </c>
      <c r="V700" s="75">
        <f t="shared" si="191"/>
        <v>0</v>
      </c>
      <c r="W700" s="74"/>
      <c r="X700" s="75">
        <f t="shared" si="192"/>
        <v>0</v>
      </c>
      <c r="Y700" s="156">
        <f t="shared" si="193"/>
        <v>-3.6289065407398638E-14</v>
      </c>
      <c r="Z700" s="46"/>
      <c r="AA700" s="107">
        <f t="shared" si="175"/>
        <v>0</v>
      </c>
      <c r="AB700" s="46"/>
      <c r="AC700" s="46"/>
      <c r="AD700" s="46"/>
      <c r="AE700" s="46"/>
    </row>
    <row r="701" spans="1:31" x14ac:dyDescent="0.2">
      <c r="A701" s="73">
        <v>70</v>
      </c>
      <c r="B701" s="86">
        <f t="shared" si="194"/>
        <v>0</v>
      </c>
      <c r="C701" s="50">
        <f t="shared" si="176"/>
        <v>0</v>
      </c>
      <c r="D701" s="86">
        <f t="shared" si="177"/>
        <v>0</v>
      </c>
      <c r="E701" s="86">
        <f t="shared" si="178"/>
        <v>0</v>
      </c>
      <c r="F701" s="74">
        <f t="shared" si="179"/>
        <v>0</v>
      </c>
      <c r="G701" s="112">
        <f t="shared" si="180"/>
        <v>0</v>
      </c>
      <c r="H701" s="112">
        <f t="shared" si="181"/>
        <v>0</v>
      </c>
      <c r="I701" s="75">
        <f t="shared" si="182"/>
        <v>0</v>
      </c>
      <c r="J701" s="74"/>
      <c r="K701" s="75">
        <f t="shared" si="183"/>
        <v>0</v>
      </c>
      <c r="L701" s="156">
        <f t="shared" si="184"/>
        <v>0</v>
      </c>
      <c r="M701" s="157"/>
      <c r="N701" s="73">
        <v>70</v>
      </c>
      <c r="O701" s="86">
        <f t="shared" si="195"/>
        <v>-1.0913936421275139E-11</v>
      </c>
      <c r="P701" s="50">
        <f t="shared" si="185"/>
        <v>0</v>
      </c>
      <c r="Q701" s="86">
        <f t="shared" si="186"/>
        <v>0</v>
      </c>
      <c r="R701" s="86">
        <f t="shared" si="187"/>
        <v>0</v>
      </c>
      <c r="S701" s="74">
        <f t="shared" si="188"/>
        <v>-1.0913936421275139E-11</v>
      </c>
      <c r="T701" s="112">
        <f t="shared" si="189"/>
        <v>-7.6841718988758347E-12</v>
      </c>
      <c r="U701" s="112">
        <f t="shared" si="190"/>
        <v>0</v>
      </c>
      <c r="V701" s="75">
        <f t="shared" si="191"/>
        <v>0</v>
      </c>
      <c r="W701" s="74"/>
      <c r="X701" s="75">
        <f t="shared" si="192"/>
        <v>0</v>
      </c>
      <c r="Y701" s="156">
        <f t="shared" si="193"/>
        <v>-3.6289065407398638E-14</v>
      </c>
      <c r="Z701" s="46"/>
      <c r="AA701" s="107">
        <f t="shared" si="175"/>
        <v>0</v>
      </c>
      <c r="AB701" s="46"/>
      <c r="AC701" s="46"/>
      <c r="AD701" s="46"/>
      <c r="AE701" s="46"/>
    </row>
    <row r="702" spans="1:31" x14ac:dyDescent="0.2">
      <c r="A702" s="73">
        <v>71</v>
      </c>
      <c r="B702" s="86">
        <f t="shared" si="194"/>
        <v>0</v>
      </c>
      <c r="C702" s="50">
        <f t="shared" si="176"/>
        <v>0</v>
      </c>
      <c r="D702" s="86">
        <f t="shared" si="177"/>
        <v>0</v>
      </c>
      <c r="E702" s="86">
        <f t="shared" si="178"/>
        <v>0</v>
      </c>
      <c r="F702" s="74">
        <f t="shared" si="179"/>
        <v>0</v>
      </c>
      <c r="G702" s="112">
        <f t="shared" si="180"/>
        <v>0</v>
      </c>
      <c r="H702" s="112">
        <f t="shared" si="181"/>
        <v>0</v>
      </c>
      <c r="I702" s="75">
        <f t="shared" si="182"/>
        <v>0</v>
      </c>
      <c r="J702" s="74"/>
      <c r="K702" s="75">
        <f t="shared" si="183"/>
        <v>0</v>
      </c>
      <c r="L702" s="156">
        <f t="shared" si="184"/>
        <v>0</v>
      </c>
      <c r="M702" s="157"/>
      <c r="N702" s="73">
        <v>71</v>
      </c>
      <c r="O702" s="86">
        <f t="shared" si="195"/>
        <v>-1.0913936421275139E-11</v>
      </c>
      <c r="P702" s="50">
        <f t="shared" si="185"/>
        <v>0</v>
      </c>
      <c r="Q702" s="86">
        <f t="shared" si="186"/>
        <v>0</v>
      </c>
      <c r="R702" s="86">
        <f t="shared" si="187"/>
        <v>0</v>
      </c>
      <c r="S702" s="74">
        <f t="shared" si="188"/>
        <v>-1.0913936421275139E-11</v>
      </c>
      <c r="T702" s="112">
        <f t="shared" si="189"/>
        <v>-7.6457510393814554E-12</v>
      </c>
      <c r="U702" s="112">
        <f t="shared" si="190"/>
        <v>0</v>
      </c>
      <c r="V702" s="75">
        <f t="shared" si="191"/>
        <v>0</v>
      </c>
      <c r="W702" s="74"/>
      <c r="X702" s="75">
        <f t="shared" si="192"/>
        <v>0</v>
      </c>
      <c r="Y702" s="156">
        <f t="shared" si="193"/>
        <v>-3.6289065407398638E-14</v>
      </c>
      <c r="Z702" s="46"/>
      <c r="AA702" s="107">
        <f t="shared" si="175"/>
        <v>0</v>
      </c>
      <c r="AB702" s="46"/>
      <c r="AC702" s="46"/>
      <c r="AD702" s="46"/>
      <c r="AE702" s="46"/>
    </row>
    <row r="703" spans="1:31" x14ac:dyDescent="0.2">
      <c r="A703" s="73">
        <v>72</v>
      </c>
      <c r="B703" s="86">
        <f t="shared" si="194"/>
        <v>0</v>
      </c>
      <c r="C703" s="50">
        <f t="shared" si="176"/>
        <v>0</v>
      </c>
      <c r="D703" s="86">
        <f t="shared" si="177"/>
        <v>0</v>
      </c>
      <c r="E703" s="86">
        <f t="shared" si="178"/>
        <v>0</v>
      </c>
      <c r="F703" s="74">
        <f t="shared" si="179"/>
        <v>0</v>
      </c>
      <c r="G703" s="112">
        <f t="shared" si="180"/>
        <v>0</v>
      </c>
      <c r="H703" s="112">
        <f t="shared" si="181"/>
        <v>0</v>
      </c>
      <c r="I703" s="75">
        <f t="shared" si="182"/>
        <v>0</v>
      </c>
      <c r="J703" s="74"/>
      <c r="K703" s="75">
        <f t="shared" si="183"/>
        <v>0</v>
      </c>
      <c r="L703" s="156">
        <f t="shared" si="184"/>
        <v>0</v>
      </c>
      <c r="M703" s="157"/>
      <c r="N703" s="73">
        <v>72</v>
      </c>
      <c r="O703" s="86">
        <f t="shared" si="195"/>
        <v>-1.0913936421275139E-11</v>
      </c>
      <c r="P703" s="50">
        <f t="shared" si="185"/>
        <v>0</v>
      </c>
      <c r="Q703" s="86">
        <f t="shared" si="186"/>
        <v>0</v>
      </c>
      <c r="R703" s="86">
        <f t="shared" si="187"/>
        <v>0</v>
      </c>
      <c r="S703" s="74">
        <f t="shared" si="188"/>
        <v>-1.0913936421275139E-11</v>
      </c>
      <c r="T703" s="112">
        <f t="shared" si="189"/>
        <v>-7.6075222841845486E-12</v>
      </c>
      <c r="U703" s="112">
        <f t="shared" si="190"/>
        <v>0</v>
      </c>
      <c r="V703" s="75">
        <f t="shared" si="191"/>
        <v>0</v>
      </c>
      <c r="W703" s="74"/>
      <c r="X703" s="75">
        <f t="shared" si="192"/>
        <v>0</v>
      </c>
      <c r="Y703" s="156">
        <f t="shared" si="193"/>
        <v>-3.6289065407398638E-14</v>
      </c>
      <c r="Z703" s="46"/>
      <c r="AA703" s="107">
        <f t="shared" si="175"/>
        <v>0</v>
      </c>
      <c r="AB703" s="46"/>
      <c r="AC703" s="46"/>
      <c r="AD703" s="46"/>
      <c r="AE703" s="46"/>
    </row>
    <row r="704" spans="1:31" x14ac:dyDescent="0.2">
      <c r="A704" s="73">
        <v>73</v>
      </c>
      <c r="B704" s="86">
        <f t="shared" si="194"/>
        <v>0</v>
      </c>
      <c r="C704" s="50">
        <f t="shared" si="176"/>
        <v>0</v>
      </c>
      <c r="D704" s="86">
        <f t="shared" si="177"/>
        <v>0</v>
      </c>
      <c r="E704" s="86">
        <f t="shared" si="178"/>
        <v>0</v>
      </c>
      <c r="F704" s="74">
        <f t="shared" si="179"/>
        <v>0</v>
      </c>
      <c r="G704" s="112">
        <f t="shared" si="180"/>
        <v>0</v>
      </c>
      <c r="H704" s="112">
        <f t="shared" si="181"/>
        <v>0</v>
      </c>
      <c r="I704" s="75">
        <f t="shared" si="182"/>
        <v>0</v>
      </c>
      <c r="J704" s="74"/>
      <c r="K704" s="75">
        <f t="shared" si="183"/>
        <v>0</v>
      </c>
      <c r="L704" s="156">
        <f t="shared" si="184"/>
        <v>0</v>
      </c>
      <c r="M704" s="157"/>
      <c r="N704" s="73">
        <v>73</v>
      </c>
      <c r="O704" s="86">
        <f t="shared" si="195"/>
        <v>-1.0913936421275139E-11</v>
      </c>
      <c r="P704" s="50">
        <f t="shared" si="185"/>
        <v>0</v>
      </c>
      <c r="Q704" s="86">
        <f t="shared" si="186"/>
        <v>0</v>
      </c>
      <c r="R704" s="86">
        <f t="shared" si="187"/>
        <v>0</v>
      </c>
      <c r="S704" s="74">
        <f t="shared" si="188"/>
        <v>-1.0913936421275139E-11</v>
      </c>
      <c r="T704" s="112">
        <f t="shared" si="189"/>
        <v>-7.5694846727636236E-12</v>
      </c>
      <c r="U704" s="112">
        <f t="shared" si="190"/>
        <v>0</v>
      </c>
      <c r="V704" s="75">
        <f t="shared" si="191"/>
        <v>0</v>
      </c>
      <c r="W704" s="74"/>
      <c r="X704" s="75">
        <f t="shared" si="192"/>
        <v>0</v>
      </c>
      <c r="Y704" s="156">
        <f t="shared" si="193"/>
        <v>-3.6289065407398638E-14</v>
      </c>
      <c r="Z704" s="46"/>
      <c r="AA704" s="107">
        <f t="shared" si="175"/>
        <v>0</v>
      </c>
      <c r="AB704" s="46"/>
      <c r="AC704" s="46"/>
      <c r="AD704" s="46"/>
      <c r="AE704" s="46"/>
    </row>
    <row r="705" spans="1:31" x14ac:dyDescent="0.2">
      <c r="A705" s="73">
        <v>74</v>
      </c>
      <c r="B705" s="86">
        <f t="shared" si="194"/>
        <v>0</v>
      </c>
      <c r="C705" s="50">
        <f t="shared" si="176"/>
        <v>0</v>
      </c>
      <c r="D705" s="86">
        <f t="shared" si="177"/>
        <v>0</v>
      </c>
      <c r="E705" s="86">
        <f t="shared" si="178"/>
        <v>0</v>
      </c>
      <c r="F705" s="74">
        <f t="shared" si="179"/>
        <v>0</v>
      </c>
      <c r="G705" s="112">
        <f t="shared" si="180"/>
        <v>0</v>
      </c>
      <c r="H705" s="112">
        <f t="shared" si="181"/>
        <v>0</v>
      </c>
      <c r="I705" s="75">
        <f t="shared" si="182"/>
        <v>0</v>
      </c>
      <c r="J705" s="74"/>
      <c r="K705" s="75">
        <f t="shared" si="183"/>
        <v>0</v>
      </c>
      <c r="L705" s="156">
        <f t="shared" si="184"/>
        <v>0</v>
      </c>
      <c r="M705" s="157"/>
      <c r="N705" s="73">
        <v>74</v>
      </c>
      <c r="O705" s="86">
        <f t="shared" si="195"/>
        <v>-1.0913936421275139E-11</v>
      </c>
      <c r="P705" s="50">
        <f t="shared" si="185"/>
        <v>0</v>
      </c>
      <c r="Q705" s="86">
        <f t="shared" si="186"/>
        <v>0</v>
      </c>
      <c r="R705" s="86">
        <f t="shared" si="187"/>
        <v>0</v>
      </c>
      <c r="S705" s="74">
        <f t="shared" si="188"/>
        <v>-1.0913936421275139E-11</v>
      </c>
      <c r="T705" s="112">
        <f t="shared" si="189"/>
        <v>-7.5316372493998082E-12</v>
      </c>
      <c r="U705" s="112">
        <f t="shared" si="190"/>
        <v>0</v>
      </c>
      <c r="V705" s="75">
        <f t="shared" si="191"/>
        <v>0</v>
      </c>
      <c r="W705" s="74"/>
      <c r="X705" s="75">
        <f t="shared" si="192"/>
        <v>0</v>
      </c>
      <c r="Y705" s="156">
        <f t="shared" si="193"/>
        <v>-3.6289065407398638E-14</v>
      </c>
      <c r="Z705" s="46"/>
      <c r="AA705" s="107">
        <f t="shared" si="175"/>
        <v>0</v>
      </c>
      <c r="AB705" s="46"/>
      <c r="AC705" s="46"/>
      <c r="AD705" s="46"/>
      <c r="AE705" s="46"/>
    </row>
    <row r="706" spans="1:31" x14ac:dyDescent="0.2">
      <c r="A706" s="73">
        <v>75</v>
      </c>
      <c r="B706" s="86">
        <f t="shared" si="194"/>
        <v>0</v>
      </c>
      <c r="C706" s="50">
        <f t="shared" si="176"/>
        <v>0</v>
      </c>
      <c r="D706" s="86">
        <f t="shared" si="177"/>
        <v>0</v>
      </c>
      <c r="E706" s="86">
        <f t="shared" si="178"/>
        <v>0</v>
      </c>
      <c r="F706" s="74">
        <f t="shared" si="179"/>
        <v>0</v>
      </c>
      <c r="G706" s="112">
        <f t="shared" si="180"/>
        <v>0</v>
      </c>
      <c r="H706" s="112">
        <f t="shared" si="181"/>
        <v>0</v>
      </c>
      <c r="I706" s="75">
        <f t="shared" si="182"/>
        <v>0</v>
      </c>
      <c r="J706" s="74"/>
      <c r="K706" s="75">
        <f t="shared" si="183"/>
        <v>0</v>
      </c>
      <c r="L706" s="156">
        <f t="shared" si="184"/>
        <v>0</v>
      </c>
      <c r="M706" s="157"/>
      <c r="N706" s="73">
        <v>75</v>
      </c>
      <c r="O706" s="86">
        <f t="shared" si="195"/>
        <v>-1.0913936421275139E-11</v>
      </c>
      <c r="P706" s="50">
        <f t="shared" si="185"/>
        <v>0</v>
      </c>
      <c r="Q706" s="86">
        <f t="shared" si="186"/>
        <v>0</v>
      </c>
      <c r="R706" s="86">
        <f t="shared" si="187"/>
        <v>0</v>
      </c>
      <c r="S706" s="74">
        <f t="shared" si="188"/>
        <v>-1.0913936421275139E-11</v>
      </c>
      <c r="T706" s="112">
        <f t="shared" si="189"/>
        <v>-7.4939790631528077E-12</v>
      </c>
      <c r="U706" s="112">
        <f t="shared" si="190"/>
        <v>0</v>
      </c>
      <c r="V706" s="75">
        <f t="shared" si="191"/>
        <v>0</v>
      </c>
      <c r="W706" s="74"/>
      <c r="X706" s="75">
        <f t="shared" si="192"/>
        <v>0</v>
      </c>
      <c r="Y706" s="156">
        <f t="shared" si="193"/>
        <v>-3.6289065407398638E-14</v>
      </c>
      <c r="Z706" s="46"/>
      <c r="AA706" s="107">
        <f t="shared" si="175"/>
        <v>0</v>
      </c>
      <c r="AB706" s="46"/>
      <c r="AC706" s="46"/>
      <c r="AD706" s="46"/>
      <c r="AE706" s="46"/>
    </row>
    <row r="707" spans="1:31" x14ac:dyDescent="0.2">
      <c r="A707" s="73">
        <v>76</v>
      </c>
      <c r="B707" s="86">
        <f t="shared" si="194"/>
        <v>0</v>
      </c>
      <c r="C707" s="50">
        <f t="shared" si="176"/>
        <v>0</v>
      </c>
      <c r="D707" s="86">
        <f t="shared" si="177"/>
        <v>0</v>
      </c>
      <c r="E707" s="86">
        <f t="shared" si="178"/>
        <v>0</v>
      </c>
      <c r="F707" s="74">
        <f t="shared" si="179"/>
        <v>0</v>
      </c>
      <c r="G707" s="112">
        <f t="shared" si="180"/>
        <v>0</v>
      </c>
      <c r="H707" s="112">
        <f t="shared" si="181"/>
        <v>0</v>
      </c>
      <c r="I707" s="75">
        <f t="shared" si="182"/>
        <v>0</v>
      </c>
      <c r="J707" s="74"/>
      <c r="K707" s="75">
        <f t="shared" si="183"/>
        <v>0</v>
      </c>
      <c r="L707" s="156">
        <f t="shared" si="184"/>
        <v>0</v>
      </c>
      <c r="M707" s="157"/>
      <c r="N707" s="73">
        <v>76</v>
      </c>
      <c r="O707" s="86">
        <f t="shared" si="195"/>
        <v>-1.0913936421275139E-11</v>
      </c>
      <c r="P707" s="50">
        <f t="shared" si="185"/>
        <v>0</v>
      </c>
      <c r="Q707" s="86">
        <f t="shared" si="186"/>
        <v>0</v>
      </c>
      <c r="R707" s="86">
        <f t="shared" si="187"/>
        <v>0</v>
      </c>
      <c r="S707" s="74">
        <f t="shared" si="188"/>
        <v>-1.0913936421275139E-11</v>
      </c>
      <c r="T707" s="112">
        <f t="shared" si="189"/>
        <v>-7.4565091678370437E-12</v>
      </c>
      <c r="U707" s="112">
        <f t="shared" si="190"/>
        <v>0</v>
      </c>
      <c r="V707" s="75">
        <f t="shared" si="191"/>
        <v>0</v>
      </c>
      <c r="W707" s="74"/>
      <c r="X707" s="75">
        <f t="shared" si="192"/>
        <v>0</v>
      </c>
      <c r="Y707" s="156">
        <f t="shared" si="193"/>
        <v>-3.6289065407398638E-14</v>
      </c>
      <c r="Z707" s="46"/>
      <c r="AA707" s="107">
        <f t="shared" si="175"/>
        <v>0</v>
      </c>
      <c r="AB707" s="46"/>
      <c r="AC707" s="46"/>
      <c r="AD707" s="46"/>
      <c r="AE707" s="46"/>
    </row>
    <row r="708" spans="1:31" x14ac:dyDescent="0.2">
      <c r="A708" s="73">
        <v>77</v>
      </c>
      <c r="B708" s="86">
        <f t="shared" si="194"/>
        <v>0</v>
      </c>
      <c r="C708" s="50">
        <f t="shared" si="176"/>
        <v>0</v>
      </c>
      <c r="D708" s="86">
        <f t="shared" si="177"/>
        <v>0</v>
      </c>
      <c r="E708" s="86">
        <f t="shared" si="178"/>
        <v>0</v>
      </c>
      <c r="F708" s="74">
        <f t="shared" si="179"/>
        <v>0</v>
      </c>
      <c r="G708" s="112">
        <f t="shared" si="180"/>
        <v>0</v>
      </c>
      <c r="H708" s="112">
        <f t="shared" si="181"/>
        <v>0</v>
      </c>
      <c r="I708" s="75">
        <f t="shared" si="182"/>
        <v>0</v>
      </c>
      <c r="J708" s="74"/>
      <c r="K708" s="75">
        <f t="shared" si="183"/>
        <v>0</v>
      </c>
      <c r="L708" s="156">
        <f t="shared" si="184"/>
        <v>0</v>
      </c>
      <c r="M708" s="157"/>
      <c r="N708" s="73">
        <v>77</v>
      </c>
      <c r="O708" s="86">
        <f t="shared" si="195"/>
        <v>-1.0913936421275139E-11</v>
      </c>
      <c r="P708" s="50">
        <f t="shared" si="185"/>
        <v>0</v>
      </c>
      <c r="Q708" s="86">
        <f t="shared" si="186"/>
        <v>0</v>
      </c>
      <c r="R708" s="86">
        <f t="shared" si="187"/>
        <v>0</v>
      </c>
      <c r="S708" s="74">
        <f t="shared" si="188"/>
        <v>-1.0913936421275139E-11</v>
      </c>
      <c r="T708" s="112">
        <f t="shared" si="189"/>
        <v>-7.4192266219978584E-12</v>
      </c>
      <c r="U708" s="112">
        <f t="shared" si="190"/>
        <v>0</v>
      </c>
      <c r="V708" s="75">
        <f t="shared" si="191"/>
        <v>0</v>
      </c>
      <c r="W708" s="74"/>
      <c r="X708" s="75">
        <f t="shared" si="192"/>
        <v>0</v>
      </c>
      <c r="Y708" s="156">
        <f t="shared" si="193"/>
        <v>-3.6289065407398638E-14</v>
      </c>
      <c r="Z708" s="46"/>
      <c r="AA708" s="107">
        <f t="shared" si="175"/>
        <v>0</v>
      </c>
      <c r="AB708" s="46"/>
      <c r="AC708" s="46"/>
      <c r="AD708" s="46"/>
      <c r="AE708" s="46"/>
    </row>
    <row r="709" spans="1:31" x14ac:dyDescent="0.2">
      <c r="A709" s="73">
        <v>78</v>
      </c>
      <c r="B709" s="86">
        <f t="shared" si="194"/>
        <v>0</v>
      </c>
      <c r="C709" s="50">
        <f t="shared" si="176"/>
        <v>0</v>
      </c>
      <c r="D709" s="86">
        <f t="shared" si="177"/>
        <v>0</v>
      </c>
      <c r="E709" s="86">
        <f t="shared" si="178"/>
        <v>0</v>
      </c>
      <c r="F709" s="74">
        <f t="shared" si="179"/>
        <v>0</v>
      </c>
      <c r="G709" s="112">
        <f t="shared" si="180"/>
        <v>0</v>
      </c>
      <c r="H709" s="112">
        <f t="shared" si="181"/>
        <v>0</v>
      </c>
      <c r="I709" s="75">
        <f t="shared" si="182"/>
        <v>0</v>
      </c>
      <c r="J709" s="74"/>
      <c r="K709" s="75">
        <f t="shared" si="183"/>
        <v>0</v>
      </c>
      <c r="L709" s="156">
        <f t="shared" si="184"/>
        <v>0</v>
      </c>
      <c r="M709" s="157"/>
      <c r="N709" s="73">
        <v>78</v>
      </c>
      <c r="O709" s="86">
        <f t="shared" si="195"/>
        <v>-1.0913936421275139E-11</v>
      </c>
      <c r="P709" s="50">
        <f t="shared" si="185"/>
        <v>0</v>
      </c>
      <c r="Q709" s="86">
        <f t="shared" si="186"/>
        <v>0</v>
      </c>
      <c r="R709" s="86">
        <f t="shared" si="187"/>
        <v>0</v>
      </c>
      <c r="S709" s="74">
        <f t="shared" si="188"/>
        <v>-1.0913936421275139E-11</v>
      </c>
      <c r="T709" s="112">
        <f t="shared" si="189"/>
        <v>-7.3821304888878706E-12</v>
      </c>
      <c r="U709" s="112">
        <f t="shared" si="190"/>
        <v>0</v>
      </c>
      <c r="V709" s="75">
        <f t="shared" si="191"/>
        <v>0</v>
      </c>
      <c r="W709" s="74"/>
      <c r="X709" s="75">
        <f t="shared" si="192"/>
        <v>0</v>
      </c>
      <c r="Y709" s="156">
        <f t="shared" si="193"/>
        <v>-3.6289065407398638E-14</v>
      </c>
      <c r="Z709" s="46"/>
      <c r="AA709" s="107">
        <f t="shared" si="175"/>
        <v>0</v>
      </c>
      <c r="AB709" s="46"/>
      <c r="AC709" s="46"/>
      <c r="AD709" s="46"/>
      <c r="AE709" s="46"/>
    </row>
    <row r="710" spans="1:31" x14ac:dyDescent="0.2">
      <c r="A710" s="73">
        <v>79</v>
      </c>
      <c r="B710" s="86">
        <f t="shared" si="194"/>
        <v>0</v>
      </c>
      <c r="C710" s="50">
        <f t="shared" si="176"/>
        <v>0</v>
      </c>
      <c r="D710" s="86">
        <f t="shared" si="177"/>
        <v>0</v>
      </c>
      <c r="E710" s="86">
        <f t="shared" si="178"/>
        <v>0</v>
      </c>
      <c r="F710" s="74">
        <f t="shared" si="179"/>
        <v>0</v>
      </c>
      <c r="G710" s="112">
        <f t="shared" si="180"/>
        <v>0</v>
      </c>
      <c r="H710" s="112">
        <f t="shared" si="181"/>
        <v>0</v>
      </c>
      <c r="I710" s="75">
        <f t="shared" si="182"/>
        <v>0</v>
      </c>
      <c r="J710" s="74"/>
      <c r="K710" s="75">
        <f t="shared" si="183"/>
        <v>0</v>
      </c>
      <c r="L710" s="156">
        <f t="shared" si="184"/>
        <v>0</v>
      </c>
      <c r="M710" s="157"/>
      <c r="N710" s="73">
        <v>79</v>
      </c>
      <c r="O710" s="86">
        <f t="shared" si="195"/>
        <v>-1.0913936421275139E-11</v>
      </c>
      <c r="P710" s="50">
        <f t="shared" si="185"/>
        <v>0</v>
      </c>
      <c r="Q710" s="86">
        <f t="shared" si="186"/>
        <v>0</v>
      </c>
      <c r="R710" s="86">
        <f t="shared" si="187"/>
        <v>0</v>
      </c>
      <c r="S710" s="74">
        <f t="shared" si="188"/>
        <v>-1.0913936421275139E-11</v>
      </c>
      <c r="T710" s="112">
        <f t="shared" si="189"/>
        <v>-7.3452198364434314E-12</v>
      </c>
      <c r="U710" s="112">
        <f t="shared" si="190"/>
        <v>0</v>
      </c>
      <c r="V710" s="75">
        <f t="shared" si="191"/>
        <v>0</v>
      </c>
      <c r="W710" s="74"/>
      <c r="X710" s="75">
        <f t="shared" si="192"/>
        <v>0</v>
      </c>
      <c r="Y710" s="156">
        <f t="shared" si="193"/>
        <v>-3.6289065407398638E-14</v>
      </c>
      <c r="Z710" s="46"/>
      <c r="AA710" s="107">
        <f t="shared" si="175"/>
        <v>0</v>
      </c>
      <c r="AB710" s="46"/>
      <c r="AC710" s="46"/>
      <c r="AD710" s="46"/>
      <c r="AE710" s="46"/>
    </row>
    <row r="711" spans="1:31" x14ac:dyDescent="0.2">
      <c r="A711" s="73">
        <v>80</v>
      </c>
      <c r="B711" s="86">
        <f t="shared" si="194"/>
        <v>0</v>
      </c>
      <c r="C711" s="50">
        <f t="shared" si="176"/>
        <v>0</v>
      </c>
      <c r="D711" s="86">
        <f t="shared" si="177"/>
        <v>0</v>
      </c>
      <c r="E711" s="86">
        <f t="shared" si="178"/>
        <v>0</v>
      </c>
      <c r="F711" s="74">
        <f t="shared" si="179"/>
        <v>0</v>
      </c>
      <c r="G711" s="112">
        <f t="shared" si="180"/>
        <v>0</v>
      </c>
      <c r="H711" s="112">
        <f t="shared" si="181"/>
        <v>0</v>
      </c>
      <c r="I711" s="75">
        <f t="shared" si="182"/>
        <v>0</v>
      </c>
      <c r="J711" s="74"/>
      <c r="K711" s="75">
        <f t="shared" si="183"/>
        <v>0</v>
      </c>
      <c r="L711" s="156">
        <f t="shared" si="184"/>
        <v>0</v>
      </c>
      <c r="M711" s="157"/>
      <c r="N711" s="73">
        <v>80</v>
      </c>
      <c r="O711" s="86">
        <f t="shared" si="195"/>
        <v>-1.0913936421275139E-11</v>
      </c>
      <c r="P711" s="50">
        <f t="shared" si="185"/>
        <v>0</v>
      </c>
      <c r="Q711" s="86">
        <f t="shared" si="186"/>
        <v>0</v>
      </c>
      <c r="R711" s="86">
        <f t="shared" si="187"/>
        <v>0</v>
      </c>
      <c r="S711" s="74">
        <f t="shared" si="188"/>
        <v>-1.0913936421275139E-11</v>
      </c>
      <c r="T711" s="112">
        <f t="shared" si="189"/>
        <v>-7.3084937372612132E-12</v>
      </c>
      <c r="U711" s="112">
        <f t="shared" si="190"/>
        <v>0</v>
      </c>
      <c r="V711" s="75">
        <f t="shared" si="191"/>
        <v>0</v>
      </c>
      <c r="W711" s="74"/>
      <c r="X711" s="75">
        <f t="shared" si="192"/>
        <v>0</v>
      </c>
      <c r="Y711" s="156">
        <f t="shared" si="193"/>
        <v>-3.6289065407398638E-14</v>
      </c>
      <c r="Z711" s="46"/>
      <c r="AA711" s="107">
        <f t="shared" si="175"/>
        <v>0</v>
      </c>
      <c r="AB711" s="46"/>
      <c r="AC711" s="46"/>
      <c r="AD711" s="46"/>
      <c r="AE711" s="46"/>
    </row>
    <row r="712" spans="1:31" x14ac:dyDescent="0.2">
      <c r="A712" s="73">
        <v>81</v>
      </c>
      <c r="B712" s="86">
        <f t="shared" si="194"/>
        <v>0</v>
      </c>
      <c r="C712" s="50">
        <f t="shared" si="176"/>
        <v>0</v>
      </c>
      <c r="D712" s="86">
        <f t="shared" si="177"/>
        <v>0</v>
      </c>
      <c r="E712" s="86">
        <f t="shared" si="178"/>
        <v>0</v>
      </c>
      <c r="F712" s="74">
        <f t="shared" si="179"/>
        <v>0</v>
      </c>
      <c r="G712" s="112">
        <f t="shared" si="180"/>
        <v>0</v>
      </c>
      <c r="H712" s="112">
        <f t="shared" si="181"/>
        <v>0</v>
      </c>
      <c r="I712" s="75">
        <f t="shared" si="182"/>
        <v>0</v>
      </c>
      <c r="J712" s="74"/>
      <c r="K712" s="75">
        <f t="shared" si="183"/>
        <v>0</v>
      </c>
      <c r="L712" s="156">
        <f t="shared" si="184"/>
        <v>0</v>
      </c>
      <c r="M712" s="157"/>
      <c r="N712" s="73">
        <v>81</v>
      </c>
      <c r="O712" s="86">
        <f t="shared" si="195"/>
        <v>-1.0913936421275139E-11</v>
      </c>
      <c r="P712" s="50">
        <f t="shared" si="185"/>
        <v>0</v>
      </c>
      <c r="Q712" s="86">
        <f t="shared" si="186"/>
        <v>0</v>
      </c>
      <c r="R712" s="86">
        <f t="shared" si="187"/>
        <v>0</v>
      </c>
      <c r="S712" s="74">
        <f t="shared" si="188"/>
        <v>-1.0913936421275139E-11</v>
      </c>
      <c r="T712" s="112">
        <f t="shared" si="189"/>
        <v>-7.2719512685749068E-12</v>
      </c>
      <c r="U712" s="112">
        <f t="shared" si="190"/>
        <v>0</v>
      </c>
      <c r="V712" s="75">
        <f t="shared" si="191"/>
        <v>0</v>
      </c>
      <c r="W712" s="74"/>
      <c r="X712" s="75">
        <f t="shared" si="192"/>
        <v>0</v>
      </c>
      <c r="Y712" s="156">
        <f t="shared" si="193"/>
        <v>-3.6289065407398638E-14</v>
      </c>
      <c r="Z712" s="46"/>
      <c r="AA712" s="107">
        <f t="shared" si="175"/>
        <v>0</v>
      </c>
      <c r="AB712" s="46"/>
      <c r="AC712" s="46"/>
      <c r="AD712" s="46"/>
      <c r="AE712" s="46"/>
    </row>
    <row r="713" spans="1:31" x14ac:dyDescent="0.2">
      <c r="A713" s="73">
        <v>82</v>
      </c>
      <c r="B713" s="86">
        <f t="shared" si="194"/>
        <v>0</v>
      </c>
      <c r="C713" s="50">
        <f t="shared" si="176"/>
        <v>0</v>
      </c>
      <c r="D713" s="86">
        <f t="shared" si="177"/>
        <v>0</v>
      </c>
      <c r="E713" s="86">
        <f t="shared" si="178"/>
        <v>0</v>
      </c>
      <c r="F713" s="74">
        <f t="shared" si="179"/>
        <v>0</v>
      </c>
      <c r="G713" s="112">
        <f t="shared" si="180"/>
        <v>0</v>
      </c>
      <c r="H713" s="112">
        <f t="shared" si="181"/>
        <v>0</v>
      </c>
      <c r="I713" s="75">
        <f t="shared" si="182"/>
        <v>0</v>
      </c>
      <c r="J713" s="74"/>
      <c r="K713" s="75">
        <f t="shared" si="183"/>
        <v>0</v>
      </c>
      <c r="L713" s="156">
        <f t="shared" si="184"/>
        <v>0</v>
      </c>
      <c r="M713" s="157"/>
      <c r="N713" s="73">
        <v>82</v>
      </c>
      <c r="O713" s="86">
        <f t="shared" si="195"/>
        <v>-1.0913936421275139E-11</v>
      </c>
      <c r="P713" s="50">
        <f t="shared" si="185"/>
        <v>0</v>
      </c>
      <c r="Q713" s="86">
        <f t="shared" si="186"/>
        <v>0</v>
      </c>
      <c r="R713" s="86">
        <f t="shared" si="187"/>
        <v>0</v>
      </c>
      <c r="S713" s="74">
        <f t="shared" si="188"/>
        <v>-1.0913936421275139E-11</v>
      </c>
      <c r="T713" s="112">
        <f t="shared" si="189"/>
        <v>-7.2355915122320338E-12</v>
      </c>
      <c r="U713" s="112">
        <f t="shared" si="190"/>
        <v>0</v>
      </c>
      <c r="V713" s="75">
        <f t="shared" si="191"/>
        <v>0</v>
      </c>
      <c r="W713" s="74"/>
      <c r="X713" s="75">
        <f t="shared" si="192"/>
        <v>0</v>
      </c>
      <c r="Y713" s="156">
        <f t="shared" si="193"/>
        <v>-3.6289065407398638E-14</v>
      </c>
      <c r="Z713" s="46"/>
      <c r="AA713" s="107">
        <f t="shared" si="175"/>
        <v>0</v>
      </c>
      <c r="AB713" s="46"/>
      <c r="AC713" s="46"/>
      <c r="AD713" s="46"/>
      <c r="AE713" s="46"/>
    </row>
    <row r="714" spans="1:31" x14ac:dyDescent="0.2">
      <c r="A714" s="73">
        <v>83</v>
      </c>
      <c r="B714" s="86">
        <f t="shared" si="194"/>
        <v>0</v>
      </c>
      <c r="C714" s="50">
        <f t="shared" si="176"/>
        <v>0</v>
      </c>
      <c r="D714" s="86">
        <f t="shared" si="177"/>
        <v>0</v>
      </c>
      <c r="E714" s="86">
        <f t="shared" si="178"/>
        <v>0</v>
      </c>
      <c r="F714" s="74">
        <f t="shared" si="179"/>
        <v>0</v>
      </c>
      <c r="G714" s="112">
        <f t="shared" si="180"/>
        <v>0</v>
      </c>
      <c r="H714" s="112">
        <f t="shared" si="181"/>
        <v>0</v>
      </c>
      <c r="I714" s="75">
        <f t="shared" si="182"/>
        <v>0</v>
      </c>
      <c r="J714" s="74"/>
      <c r="K714" s="75">
        <f t="shared" si="183"/>
        <v>0</v>
      </c>
      <c r="L714" s="156">
        <f t="shared" si="184"/>
        <v>0</v>
      </c>
      <c r="M714" s="157"/>
      <c r="N714" s="73">
        <v>83</v>
      </c>
      <c r="O714" s="86">
        <f t="shared" si="195"/>
        <v>-1.0913936421275139E-11</v>
      </c>
      <c r="P714" s="50">
        <f t="shared" si="185"/>
        <v>0</v>
      </c>
      <c r="Q714" s="86">
        <f t="shared" si="186"/>
        <v>0</v>
      </c>
      <c r="R714" s="86">
        <f t="shared" si="187"/>
        <v>0</v>
      </c>
      <c r="S714" s="74">
        <f t="shared" si="188"/>
        <v>-1.0913936421275139E-11</v>
      </c>
      <c r="T714" s="112">
        <f t="shared" si="189"/>
        <v>-7.1994135546708732E-12</v>
      </c>
      <c r="U714" s="112">
        <f t="shared" si="190"/>
        <v>0</v>
      </c>
      <c r="V714" s="75">
        <f t="shared" si="191"/>
        <v>0</v>
      </c>
      <c r="W714" s="74"/>
      <c r="X714" s="75">
        <f t="shared" si="192"/>
        <v>0</v>
      </c>
      <c r="Y714" s="156">
        <f t="shared" si="193"/>
        <v>-3.6289065407398638E-14</v>
      </c>
      <c r="Z714" s="46"/>
      <c r="AA714" s="107">
        <f t="shared" si="175"/>
        <v>0</v>
      </c>
      <c r="AB714" s="46"/>
      <c r="AC714" s="46"/>
      <c r="AD714" s="46"/>
      <c r="AE714" s="46"/>
    </row>
    <row r="715" spans="1:31" x14ac:dyDescent="0.2">
      <c r="A715" s="73">
        <v>84</v>
      </c>
      <c r="B715" s="86">
        <f t="shared" si="194"/>
        <v>0</v>
      </c>
      <c r="C715" s="50">
        <f t="shared" si="176"/>
        <v>0</v>
      </c>
      <c r="D715" s="86">
        <f t="shared" si="177"/>
        <v>0</v>
      </c>
      <c r="E715" s="86">
        <f t="shared" si="178"/>
        <v>0</v>
      </c>
      <c r="F715" s="74">
        <f t="shared" si="179"/>
        <v>0</v>
      </c>
      <c r="G715" s="112">
        <f t="shared" si="180"/>
        <v>0</v>
      </c>
      <c r="H715" s="112">
        <f t="shared" si="181"/>
        <v>0</v>
      </c>
      <c r="I715" s="75">
        <f t="shared" si="182"/>
        <v>0</v>
      </c>
      <c r="J715" s="74"/>
      <c r="K715" s="75">
        <f t="shared" si="183"/>
        <v>0</v>
      </c>
      <c r="L715" s="156">
        <f t="shared" si="184"/>
        <v>0</v>
      </c>
      <c r="M715" s="157"/>
      <c r="N715" s="73">
        <v>84</v>
      </c>
      <c r="O715" s="86">
        <f t="shared" si="195"/>
        <v>-1.0913936421275139E-11</v>
      </c>
      <c r="P715" s="50">
        <f t="shared" si="185"/>
        <v>0</v>
      </c>
      <c r="Q715" s="86">
        <f t="shared" si="186"/>
        <v>0</v>
      </c>
      <c r="R715" s="86">
        <f t="shared" si="187"/>
        <v>0</v>
      </c>
      <c r="S715" s="74">
        <f t="shared" si="188"/>
        <v>-1.0913936421275139E-11</v>
      </c>
      <c r="T715" s="112">
        <f t="shared" si="189"/>
        <v>-7.1634164868975178E-12</v>
      </c>
      <c r="U715" s="112">
        <f t="shared" si="190"/>
        <v>0</v>
      </c>
      <c r="V715" s="75">
        <f t="shared" si="191"/>
        <v>0</v>
      </c>
      <c r="W715" s="74"/>
      <c r="X715" s="75">
        <f t="shared" si="192"/>
        <v>0</v>
      </c>
      <c r="Y715" s="156">
        <f t="shared" si="193"/>
        <v>-3.6289065407398638E-14</v>
      </c>
      <c r="Z715" s="46"/>
      <c r="AA715" s="107">
        <f t="shared" si="175"/>
        <v>0</v>
      </c>
      <c r="AB715" s="46"/>
      <c r="AC715" s="46"/>
      <c r="AD715" s="46"/>
      <c r="AE715" s="46"/>
    </row>
    <row r="716" spans="1:31" x14ac:dyDescent="0.2">
      <c r="A716" s="73">
        <v>85</v>
      </c>
      <c r="B716" s="86">
        <f t="shared" si="194"/>
        <v>0</v>
      </c>
      <c r="C716" s="50">
        <f t="shared" si="176"/>
        <v>0</v>
      </c>
      <c r="D716" s="86">
        <f t="shared" si="177"/>
        <v>0</v>
      </c>
      <c r="E716" s="86">
        <f t="shared" si="178"/>
        <v>0</v>
      </c>
      <c r="F716" s="74">
        <f t="shared" si="179"/>
        <v>0</v>
      </c>
      <c r="G716" s="112">
        <f t="shared" si="180"/>
        <v>0</v>
      </c>
      <c r="H716" s="112">
        <f t="shared" si="181"/>
        <v>0</v>
      </c>
      <c r="I716" s="75">
        <f t="shared" si="182"/>
        <v>0</v>
      </c>
      <c r="J716" s="74"/>
      <c r="K716" s="75">
        <f t="shared" si="183"/>
        <v>0</v>
      </c>
      <c r="L716" s="156">
        <f t="shared" si="184"/>
        <v>0</v>
      </c>
      <c r="M716" s="157"/>
      <c r="N716" s="73">
        <v>85</v>
      </c>
      <c r="O716" s="86">
        <f t="shared" si="195"/>
        <v>-1.0913936421275139E-11</v>
      </c>
      <c r="P716" s="50">
        <f t="shared" si="185"/>
        <v>0</v>
      </c>
      <c r="Q716" s="86">
        <f t="shared" si="186"/>
        <v>0</v>
      </c>
      <c r="R716" s="86">
        <f t="shared" si="187"/>
        <v>0</v>
      </c>
      <c r="S716" s="74">
        <f t="shared" si="188"/>
        <v>-1.0913936421275139E-11</v>
      </c>
      <c r="T716" s="112">
        <f t="shared" si="189"/>
        <v>-7.1275994044630313E-12</v>
      </c>
      <c r="U716" s="112">
        <f t="shared" si="190"/>
        <v>0</v>
      </c>
      <c r="V716" s="75">
        <f t="shared" si="191"/>
        <v>0</v>
      </c>
      <c r="W716" s="74"/>
      <c r="X716" s="75">
        <f t="shared" si="192"/>
        <v>0</v>
      </c>
      <c r="Y716" s="156">
        <f t="shared" si="193"/>
        <v>-3.6289065407398638E-14</v>
      </c>
      <c r="Z716" s="46"/>
      <c r="AA716" s="107">
        <f t="shared" si="175"/>
        <v>0</v>
      </c>
      <c r="AB716" s="46"/>
      <c r="AC716" s="46"/>
      <c r="AD716" s="46"/>
      <c r="AE716" s="46"/>
    </row>
    <row r="717" spans="1:31" x14ac:dyDescent="0.2">
      <c r="A717" s="73">
        <v>86</v>
      </c>
      <c r="B717" s="86">
        <f t="shared" si="194"/>
        <v>0</v>
      </c>
      <c r="C717" s="50">
        <f t="shared" si="176"/>
        <v>0</v>
      </c>
      <c r="D717" s="86">
        <f t="shared" si="177"/>
        <v>0</v>
      </c>
      <c r="E717" s="86">
        <f t="shared" si="178"/>
        <v>0</v>
      </c>
      <c r="F717" s="74">
        <f t="shared" si="179"/>
        <v>0</v>
      </c>
      <c r="G717" s="112">
        <f t="shared" si="180"/>
        <v>0</v>
      </c>
      <c r="H717" s="112">
        <f t="shared" si="181"/>
        <v>0</v>
      </c>
      <c r="I717" s="75">
        <f t="shared" si="182"/>
        <v>0</v>
      </c>
      <c r="J717" s="74"/>
      <c r="K717" s="75">
        <f t="shared" si="183"/>
        <v>0</v>
      </c>
      <c r="L717" s="156">
        <f t="shared" si="184"/>
        <v>0</v>
      </c>
      <c r="M717" s="157"/>
      <c r="N717" s="73">
        <v>86</v>
      </c>
      <c r="O717" s="86">
        <f t="shared" si="195"/>
        <v>-1.0913936421275139E-11</v>
      </c>
      <c r="P717" s="50">
        <f t="shared" si="185"/>
        <v>0</v>
      </c>
      <c r="Q717" s="86">
        <f t="shared" si="186"/>
        <v>0</v>
      </c>
      <c r="R717" s="86">
        <f t="shared" si="187"/>
        <v>0</v>
      </c>
      <c r="S717" s="74">
        <f t="shared" si="188"/>
        <v>-1.0913936421275139E-11</v>
      </c>
      <c r="T717" s="112">
        <f t="shared" si="189"/>
        <v>-7.0919614074407162E-12</v>
      </c>
      <c r="U717" s="112">
        <f t="shared" si="190"/>
        <v>0</v>
      </c>
      <c r="V717" s="75">
        <f t="shared" si="191"/>
        <v>0</v>
      </c>
      <c r="W717" s="74"/>
      <c r="X717" s="75">
        <f t="shared" si="192"/>
        <v>0</v>
      </c>
      <c r="Y717" s="156">
        <f t="shared" si="193"/>
        <v>-3.6289065407398638E-14</v>
      </c>
      <c r="Z717" s="46"/>
      <c r="AA717" s="107">
        <f t="shared" si="175"/>
        <v>0</v>
      </c>
      <c r="AB717" s="46"/>
      <c r="AC717" s="46"/>
      <c r="AD717" s="46"/>
      <c r="AE717" s="46"/>
    </row>
    <row r="718" spans="1:31" x14ac:dyDescent="0.2">
      <c r="A718" s="73">
        <v>87</v>
      </c>
      <c r="B718" s="86">
        <f t="shared" si="194"/>
        <v>0</v>
      </c>
      <c r="C718" s="50">
        <f t="shared" si="176"/>
        <v>0</v>
      </c>
      <c r="D718" s="86">
        <f t="shared" si="177"/>
        <v>0</v>
      </c>
      <c r="E718" s="86">
        <f t="shared" si="178"/>
        <v>0</v>
      </c>
      <c r="F718" s="74">
        <f t="shared" si="179"/>
        <v>0</v>
      </c>
      <c r="G718" s="112">
        <f t="shared" si="180"/>
        <v>0</v>
      </c>
      <c r="H718" s="112">
        <f t="shared" si="181"/>
        <v>0</v>
      </c>
      <c r="I718" s="75">
        <f t="shared" si="182"/>
        <v>0</v>
      </c>
      <c r="J718" s="74"/>
      <c r="K718" s="75">
        <f t="shared" si="183"/>
        <v>0</v>
      </c>
      <c r="L718" s="156">
        <f t="shared" si="184"/>
        <v>0</v>
      </c>
      <c r="M718" s="157"/>
      <c r="N718" s="73">
        <v>87</v>
      </c>
      <c r="O718" s="86">
        <f t="shared" si="195"/>
        <v>-1.0913936421275139E-11</v>
      </c>
      <c r="P718" s="50">
        <f t="shared" si="185"/>
        <v>0</v>
      </c>
      <c r="Q718" s="86">
        <f t="shared" si="186"/>
        <v>0</v>
      </c>
      <c r="R718" s="86">
        <f t="shared" si="187"/>
        <v>0</v>
      </c>
      <c r="S718" s="74">
        <f t="shared" si="188"/>
        <v>-1.0913936421275139E-11</v>
      </c>
      <c r="T718" s="112">
        <f t="shared" si="189"/>
        <v>-7.0565016004035125E-12</v>
      </c>
      <c r="U718" s="112">
        <f t="shared" si="190"/>
        <v>0</v>
      </c>
      <c r="V718" s="75">
        <f t="shared" si="191"/>
        <v>0</v>
      </c>
      <c r="W718" s="74"/>
      <c r="X718" s="75">
        <f t="shared" si="192"/>
        <v>0</v>
      </c>
      <c r="Y718" s="156">
        <f t="shared" si="193"/>
        <v>-3.6289065407398638E-14</v>
      </c>
      <c r="Z718" s="46"/>
      <c r="AA718" s="107">
        <f t="shared" si="175"/>
        <v>0</v>
      </c>
      <c r="AB718" s="46"/>
      <c r="AC718" s="46"/>
      <c r="AD718" s="46"/>
      <c r="AE718" s="46"/>
    </row>
    <row r="719" spans="1:31" x14ac:dyDescent="0.2">
      <c r="A719" s="73">
        <v>88</v>
      </c>
      <c r="B719" s="86">
        <f t="shared" si="194"/>
        <v>0</v>
      </c>
      <c r="C719" s="50">
        <f t="shared" si="176"/>
        <v>0</v>
      </c>
      <c r="D719" s="86">
        <f t="shared" si="177"/>
        <v>0</v>
      </c>
      <c r="E719" s="86">
        <f t="shared" si="178"/>
        <v>0</v>
      </c>
      <c r="F719" s="74">
        <f t="shared" si="179"/>
        <v>0</v>
      </c>
      <c r="G719" s="112">
        <f t="shared" si="180"/>
        <v>0</v>
      </c>
      <c r="H719" s="112">
        <f t="shared" si="181"/>
        <v>0</v>
      </c>
      <c r="I719" s="75">
        <f t="shared" si="182"/>
        <v>0</v>
      </c>
      <c r="J719" s="74"/>
      <c r="K719" s="75">
        <f t="shared" si="183"/>
        <v>0</v>
      </c>
      <c r="L719" s="156">
        <f t="shared" si="184"/>
        <v>0</v>
      </c>
      <c r="M719" s="157"/>
      <c r="N719" s="73">
        <v>88</v>
      </c>
      <c r="O719" s="86">
        <f t="shared" si="195"/>
        <v>-1.0913936421275139E-11</v>
      </c>
      <c r="P719" s="50">
        <f t="shared" si="185"/>
        <v>0</v>
      </c>
      <c r="Q719" s="86">
        <f t="shared" si="186"/>
        <v>0</v>
      </c>
      <c r="R719" s="86">
        <f t="shared" si="187"/>
        <v>0</v>
      </c>
      <c r="S719" s="74">
        <f t="shared" si="188"/>
        <v>-1.0913936421275139E-11</v>
      </c>
      <c r="T719" s="112">
        <f t="shared" si="189"/>
        <v>-7.0212190924014944E-12</v>
      </c>
      <c r="U719" s="112">
        <f t="shared" si="190"/>
        <v>0</v>
      </c>
      <c r="V719" s="75">
        <f t="shared" si="191"/>
        <v>0</v>
      </c>
      <c r="W719" s="74"/>
      <c r="X719" s="75">
        <f t="shared" si="192"/>
        <v>0</v>
      </c>
      <c r="Y719" s="156">
        <f t="shared" si="193"/>
        <v>-3.6289065407398638E-14</v>
      </c>
      <c r="Z719" s="46"/>
      <c r="AA719" s="107">
        <f t="shared" si="175"/>
        <v>0</v>
      </c>
      <c r="AB719" s="46"/>
      <c r="AC719" s="46"/>
      <c r="AD719" s="46"/>
      <c r="AE719" s="46"/>
    </row>
    <row r="720" spans="1:31" x14ac:dyDescent="0.2">
      <c r="A720" s="73">
        <v>89</v>
      </c>
      <c r="B720" s="86">
        <f t="shared" si="194"/>
        <v>0</v>
      </c>
      <c r="C720" s="50">
        <f t="shared" si="176"/>
        <v>0</v>
      </c>
      <c r="D720" s="86">
        <f t="shared" si="177"/>
        <v>0</v>
      </c>
      <c r="E720" s="86">
        <f t="shared" si="178"/>
        <v>0</v>
      </c>
      <c r="F720" s="74">
        <f t="shared" si="179"/>
        <v>0</v>
      </c>
      <c r="G720" s="112">
        <f t="shared" si="180"/>
        <v>0</v>
      </c>
      <c r="H720" s="112">
        <f t="shared" si="181"/>
        <v>0</v>
      </c>
      <c r="I720" s="75">
        <f t="shared" si="182"/>
        <v>0</v>
      </c>
      <c r="J720" s="74"/>
      <c r="K720" s="75">
        <f t="shared" si="183"/>
        <v>0</v>
      </c>
      <c r="L720" s="156">
        <f t="shared" si="184"/>
        <v>0</v>
      </c>
      <c r="M720" s="157"/>
      <c r="N720" s="73">
        <v>89</v>
      </c>
      <c r="O720" s="86">
        <f t="shared" si="195"/>
        <v>-1.0913936421275139E-11</v>
      </c>
      <c r="P720" s="50">
        <f t="shared" si="185"/>
        <v>0</v>
      </c>
      <c r="Q720" s="86">
        <f t="shared" si="186"/>
        <v>0</v>
      </c>
      <c r="R720" s="86">
        <f t="shared" si="187"/>
        <v>0</v>
      </c>
      <c r="S720" s="74">
        <f t="shared" si="188"/>
        <v>-1.0913936421275139E-11</v>
      </c>
      <c r="T720" s="112">
        <f t="shared" si="189"/>
        <v>-6.9861129969394868E-12</v>
      </c>
      <c r="U720" s="112">
        <f t="shared" si="190"/>
        <v>0</v>
      </c>
      <c r="V720" s="75">
        <f t="shared" si="191"/>
        <v>0</v>
      </c>
      <c r="W720" s="74"/>
      <c r="X720" s="75">
        <f t="shared" si="192"/>
        <v>0</v>
      </c>
      <c r="Y720" s="156">
        <f t="shared" si="193"/>
        <v>-3.6289065407398638E-14</v>
      </c>
      <c r="Z720" s="46"/>
      <c r="AA720" s="107">
        <f t="shared" si="175"/>
        <v>0</v>
      </c>
      <c r="AB720" s="46"/>
      <c r="AC720" s="46"/>
      <c r="AD720" s="46"/>
      <c r="AE720" s="46"/>
    </row>
    <row r="721" spans="1:31" x14ac:dyDescent="0.2">
      <c r="A721" s="73">
        <v>90</v>
      </c>
      <c r="B721" s="86">
        <f t="shared" si="194"/>
        <v>0</v>
      </c>
      <c r="C721" s="50">
        <f t="shared" si="176"/>
        <v>0</v>
      </c>
      <c r="D721" s="86">
        <f t="shared" si="177"/>
        <v>0</v>
      </c>
      <c r="E721" s="86">
        <f t="shared" si="178"/>
        <v>0</v>
      </c>
      <c r="F721" s="74">
        <f t="shared" si="179"/>
        <v>0</v>
      </c>
      <c r="G721" s="112">
        <f t="shared" si="180"/>
        <v>0</v>
      </c>
      <c r="H721" s="112">
        <f t="shared" si="181"/>
        <v>0</v>
      </c>
      <c r="I721" s="75">
        <f t="shared" si="182"/>
        <v>0</v>
      </c>
      <c r="J721" s="74"/>
      <c r="K721" s="75">
        <f t="shared" si="183"/>
        <v>0</v>
      </c>
      <c r="L721" s="156">
        <f t="shared" si="184"/>
        <v>0</v>
      </c>
      <c r="M721" s="157"/>
      <c r="N721" s="73">
        <v>90</v>
      </c>
      <c r="O721" s="86">
        <f t="shared" si="195"/>
        <v>-1.0913936421275139E-11</v>
      </c>
      <c r="P721" s="50">
        <f t="shared" si="185"/>
        <v>0</v>
      </c>
      <c r="Q721" s="86">
        <f t="shared" si="186"/>
        <v>0</v>
      </c>
      <c r="R721" s="86">
        <f t="shared" si="187"/>
        <v>0</v>
      </c>
      <c r="S721" s="74">
        <f t="shared" si="188"/>
        <v>-1.0913936421275139E-11</v>
      </c>
      <c r="T721" s="112">
        <f t="shared" si="189"/>
        <v>-6.9511824319547901E-12</v>
      </c>
      <c r="U721" s="112">
        <f t="shared" si="190"/>
        <v>0</v>
      </c>
      <c r="V721" s="75">
        <f t="shared" si="191"/>
        <v>0</v>
      </c>
      <c r="W721" s="74"/>
      <c r="X721" s="75">
        <f t="shared" si="192"/>
        <v>0</v>
      </c>
      <c r="Y721" s="156">
        <f t="shared" si="193"/>
        <v>-3.6289065407398638E-14</v>
      </c>
      <c r="Z721" s="46"/>
      <c r="AA721" s="107">
        <f t="shared" si="175"/>
        <v>0</v>
      </c>
      <c r="AB721" s="46"/>
      <c r="AC721" s="46"/>
      <c r="AD721" s="46"/>
      <c r="AE721" s="46"/>
    </row>
    <row r="722" spans="1:31" x14ac:dyDescent="0.2">
      <c r="A722" s="73">
        <v>91</v>
      </c>
      <c r="B722" s="86">
        <f t="shared" si="194"/>
        <v>0</v>
      </c>
      <c r="C722" s="50">
        <f t="shared" si="176"/>
        <v>0</v>
      </c>
      <c r="D722" s="86">
        <f t="shared" si="177"/>
        <v>0</v>
      </c>
      <c r="E722" s="86">
        <f t="shared" si="178"/>
        <v>0</v>
      </c>
      <c r="F722" s="74">
        <f t="shared" si="179"/>
        <v>0</v>
      </c>
      <c r="G722" s="112">
        <f t="shared" si="180"/>
        <v>0</v>
      </c>
      <c r="H722" s="112">
        <f t="shared" si="181"/>
        <v>0</v>
      </c>
      <c r="I722" s="75">
        <f t="shared" si="182"/>
        <v>0</v>
      </c>
      <c r="J722" s="74"/>
      <c r="K722" s="75">
        <f t="shared" si="183"/>
        <v>0</v>
      </c>
      <c r="L722" s="156">
        <f t="shared" si="184"/>
        <v>0</v>
      </c>
      <c r="M722" s="157"/>
      <c r="N722" s="73">
        <v>91</v>
      </c>
      <c r="O722" s="86">
        <f t="shared" si="195"/>
        <v>-1.0913936421275139E-11</v>
      </c>
      <c r="P722" s="50">
        <f t="shared" si="185"/>
        <v>0</v>
      </c>
      <c r="Q722" s="86">
        <f t="shared" si="186"/>
        <v>0</v>
      </c>
      <c r="R722" s="86">
        <f t="shared" si="187"/>
        <v>0</v>
      </c>
      <c r="S722" s="74">
        <f t="shared" si="188"/>
        <v>-1.0913936421275139E-11</v>
      </c>
      <c r="T722" s="112">
        <f t="shared" si="189"/>
        <v>-6.9164265197950151E-12</v>
      </c>
      <c r="U722" s="112">
        <f t="shared" si="190"/>
        <v>0</v>
      </c>
      <c r="V722" s="75">
        <f t="shared" si="191"/>
        <v>0</v>
      </c>
      <c r="W722" s="74"/>
      <c r="X722" s="75">
        <f t="shared" si="192"/>
        <v>0</v>
      </c>
      <c r="Y722" s="156">
        <f t="shared" si="193"/>
        <v>-3.6289065407398638E-14</v>
      </c>
      <c r="Z722" s="46"/>
      <c r="AA722" s="107">
        <f t="shared" si="175"/>
        <v>0</v>
      </c>
      <c r="AB722" s="46"/>
      <c r="AC722" s="46"/>
      <c r="AD722" s="46"/>
      <c r="AE722" s="46"/>
    </row>
    <row r="723" spans="1:31" x14ac:dyDescent="0.2">
      <c r="A723" s="73">
        <v>92</v>
      </c>
      <c r="B723" s="86">
        <f t="shared" si="194"/>
        <v>0</v>
      </c>
      <c r="C723" s="50">
        <f t="shared" si="176"/>
        <v>0</v>
      </c>
      <c r="D723" s="86">
        <f t="shared" si="177"/>
        <v>0</v>
      </c>
      <c r="E723" s="86">
        <f t="shared" si="178"/>
        <v>0</v>
      </c>
      <c r="F723" s="74">
        <f t="shared" si="179"/>
        <v>0</v>
      </c>
      <c r="G723" s="112">
        <f t="shared" si="180"/>
        <v>0</v>
      </c>
      <c r="H723" s="112">
        <f t="shared" si="181"/>
        <v>0</v>
      </c>
      <c r="I723" s="75">
        <f t="shared" si="182"/>
        <v>0</v>
      </c>
      <c r="J723" s="74"/>
      <c r="K723" s="75">
        <f t="shared" si="183"/>
        <v>0</v>
      </c>
      <c r="L723" s="156">
        <f t="shared" si="184"/>
        <v>0</v>
      </c>
      <c r="M723" s="157"/>
      <c r="N723" s="73">
        <v>92</v>
      </c>
      <c r="O723" s="86">
        <f t="shared" si="195"/>
        <v>-1.0913936421275139E-11</v>
      </c>
      <c r="P723" s="50">
        <f t="shared" si="185"/>
        <v>0</v>
      </c>
      <c r="Q723" s="86">
        <f t="shared" si="186"/>
        <v>0</v>
      </c>
      <c r="R723" s="86">
        <f t="shared" si="187"/>
        <v>0</v>
      </c>
      <c r="S723" s="74">
        <f t="shared" si="188"/>
        <v>-1.0913936421275139E-11</v>
      </c>
      <c r="T723" s="112">
        <f t="shared" si="189"/>
        <v>-6.881844387196042E-12</v>
      </c>
      <c r="U723" s="112">
        <f t="shared" si="190"/>
        <v>0</v>
      </c>
      <c r="V723" s="75">
        <f t="shared" si="191"/>
        <v>0</v>
      </c>
      <c r="W723" s="74"/>
      <c r="X723" s="75">
        <f t="shared" si="192"/>
        <v>0</v>
      </c>
      <c r="Y723" s="156">
        <f t="shared" si="193"/>
        <v>-3.6289065407398638E-14</v>
      </c>
      <c r="Z723" s="46"/>
      <c r="AA723" s="107">
        <f t="shared" si="175"/>
        <v>0</v>
      </c>
      <c r="AB723" s="46"/>
      <c r="AC723" s="46"/>
      <c r="AD723" s="46"/>
      <c r="AE723" s="46"/>
    </row>
    <row r="724" spans="1:31" x14ac:dyDescent="0.2">
      <c r="A724" s="73">
        <v>93</v>
      </c>
      <c r="B724" s="86">
        <f t="shared" si="194"/>
        <v>0</v>
      </c>
      <c r="C724" s="50">
        <f t="shared" si="176"/>
        <v>0</v>
      </c>
      <c r="D724" s="86">
        <f t="shared" si="177"/>
        <v>0</v>
      </c>
      <c r="E724" s="86">
        <f t="shared" si="178"/>
        <v>0</v>
      </c>
      <c r="F724" s="74">
        <f t="shared" si="179"/>
        <v>0</v>
      </c>
      <c r="G724" s="112">
        <f t="shared" si="180"/>
        <v>0</v>
      </c>
      <c r="H724" s="112">
        <f t="shared" si="181"/>
        <v>0</v>
      </c>
      <c r="I724" s="75">
        <f t="shared" si="182"/>
        <v>0</v>
      </c>
      <c r="J724" s="74"/>
      <c r="K724" s="75">
        <f t="shared" si="183"/>
        <v>0</v>
      </c>
      <c r="L724" s="156">
        <f t="shared" si="184"/>
        <v>0</v>
      </c>
      <c r="M724" s="157"/>
      <c r="N724" s="73">
        <v>93</v>
      </c>
      <c r="O724" s="86">
        <f t="shared" si="195"/>
        <v>-1.0913936421275139E-11</v>
      </c>
      <c r="P724" s="50">
        <f t="shared" si="185"/>
        <v>0</v>
      </c>
      <c r="Q724" s="86">
        <f t="shared" si="186"/>
        <v>0</v>
      </c>
      <c r="R724" s="86">
        <f t="shared" si="187"/>
        <v>0</v>
      </c>
      <c r="S724" s="74">
        <f t="shared" si="188"/>
        <v>-1.0913936421275139E-11</v>
      </c>
      <c r="T724" s="112">
        <f t="shared" si="189"/>
        <v>-6.8474351652600624E-12</v>
      </c>
      <c r="U724" s="112">
        <f t="shared" si="190"/>
        <v>0</v>
      </c>
      <c r="V724" s="75">
        <f t="shared" si="191"/>
        <v>0</v>
      </c>
      <c r="W724" s="74"/>
      <c r="X724" s="75">
        <f t="shared" si="192"/>
        <v>0</v>
      </c>
      <c r="Y724" s="156">
        <f t="shared" si="193"/>
        <v>-3.6289065407398638E-14</v>
      </c>
      <c r="Z724" s="46"/>
      <c r="AA724" s="107">
        <f t="shared" si="175"/>
        <v>0</v>
      </c>
      <c r="AB724" s="46"/>
      <c r="AC724" s="46"/>
      <c r="AD724" s="46"/>
      <c r="AE724" s="46"/>
    </row>
    <row r="725" spans="1:31" x14ac:dyDescent="0.2">
      <c r="A725" s="73">
        <v>94</v>
      </c>
      <c r="B725" s="86">
        <f t="shared" si="194"/>
        <v>0</v>
      </c>
      <c r="C725" s="50">
        <f t="shared" si="176"/>
        <v>0</v>
      </c>
      <c r="D725" s="86">
        <f t="shared" si="177"/>
        <v>0</v>
      </c>
      <c r="E725" s="86">
        <f t="shared" si="178"/>
        <v>0</v>
      </c>
      <c r="F725" s="74">
        <f t="shared" si="179"/>
        <v>0</v>
      </c>
      <c r="G725" s="112">
        <f t="shared" si="180"/>
        <v>0</v>
      </c>
      <c r="H725" s="112">
        <f t="shared" si="181"/>
        <v>0</v>
      </c>
      <c r="I725" s="75">
        <f t="shared" si="182"/>
        <v>0</v>
      </c>
      <c r="J725" s="74"/>
      <c r="K725" s="75">
        <f t="shared" si="183"/>
        <v>0</v>
      </c>
      <c r="L725" s="156">
        <f t="shared" si="184"/>
        <v>0</v>
      </c>
      <c r="M725" s="157"/>
      <c r="N725" s="73">
        <v>94</v>
      </c>
      <c r="O725" s="86">
        <f t="shared" si="195"/>
        <v>-1.0913936421275139E-11</v>
      </c>
      <c r="P725" s="50">
        <f t="shared" si="185"/>
        <v>0</v>
      </c>
      <c r="Q725" s="86">
        <f t="shared" si="186"/>
        <v>0</v>
      </c>
      <c r="R725" s="86">
        <f t="shared" si="187"/>
        <v>0</v>
      </c>
      <c r="S725" s="74">
        <f t="shared" si="188"/>
        <v>-1.0913936421275139E-11</v>
      </c>
      <c r="T725" s="112">
        <f t="shared" si="189"/>
        <v>-6.813197989433761E-12</v>
      </c>
      <c r="U725" s="112">
        <f t="shared" si="190"/>
        <v>0</v>
      </c>
      <c r="V725" s="75">
        <f t="shared" si="191"/>
        <v>0</v>
      </c>
      <c r="W725" s="74"/>
      <c r="X725" s="75">
        <f t="shared" si="192"/>
        <v>0</v>
      </c>
      <c r="Y725" s="156">
        <f t="shared" si="193"/>
        <v>-3.6289065407398638E-14</v>
      </c>
      <c r="Z725" s="46"/>
      <c r="AA725" s="107">
        <f t="shared" si="175"/>
        <v>0</v>
      </c>
      <c r="AB725" s="46"/>
      <c r="AC725" s="46"/>
      <c r="AD725" s="46"/>
      <c r="AE725" s="46"/>
    </row>
    <row r="726" spans="1:31" x14ac:dyDescent="0.2">
      <c r="A726" s="73">
        <v>95</v>
      </c>
      <c r="B726" s="86">
        <f t="shared" si="194"/>
        <v>0</v>
      </c>
      <c r="C726" s="50">
        <f t="shared" si="176"/>
        <v>0</v>
      </c>
      <c r="D726" s="86">
        <f t="shared" si="177"/>
        <v>0</v>
      </c>
      <c r="E726" s="86">
        <f t="shared" si="178"/>
        <v>0</v>
      </c>
      <c r="F726" s="74">
        <f t="shared" si="179"/>
        <v>0</v>
      </c>
      <c r="G726" s="112">
        <f t="shared" si="180"/>
        <v>0</v>
      </c>
      <c r="H726" s="112">
        <f t="shared" si="181"/>
        <v>0</v>
      </c>
      <c r="I726" s="75">
        <f t="shared" si="182"/>
        <v>0</v>
      </c>
      <c r="J726" s="74"/>
      <c r="K726" s="75">
        <f t="shared" si="183"/>
        <v>0</v>
      </c>
      <c r="L726" s="156">
        <f t="shared" si="184"/>
        <v>0</v>
      </c>
      <c r="M726" s="157"/>
      <c r="N726" s="73">
        <v>95</v>
      </c>
      <c r="O726" s="86">
        <f t="shared" si="195"/>
        <v>-1.0913936421275139E-11</v>
      </c>
      <c r="P726" s="50">
        <f t="shared" si="185"/>
        <v>0</v>
      </c>
      <c r="Q726" s="86">
        <f t="shared" si="186"/>
        <v>0</v>
      </c>
      <c r="R726" s="86">
        <f t="shared" si="187"/>
        <v>0</v>
      </c>
      <c r="S726" s="74">
        <f t="shared" si="188"/>
        <v>-1.0913936421275139E-11</v>
      </c>
      <c r="T726" s="112">
        <f t="shared" si="189"/>
        <v>-6.7791319994865918E-12</v>
      </c>
      <c r="U726" s="112">
        <f t="shared" si="190"/>
        <v>0</v>
      </c>
      <c r="V726" s="75">
        <f t="shared" si="191"/>
        <v>0</v>
      </c>
      <c r="W726" s="74"/>
      <c r="X726" s="75">
        <f t="shared" si="192"/>
        <v>0</v>
      </c>
      <c r="Y726" s="156">
        <f t="shared" si="193"/>
        <v>-3.6289065407398638E-14</v>
      </c>
      <c r="Z726" s="46"/>
      <c r="AA726" s="107">
        <f t="shared" si="175"/>
        <v>0</v>
      </c>
      <c r="AB726" s="46"/>
      <c r="AC726" s="46"/>
      <c r="AD726" s="46"/>
      <c r="AE726" s="46"/>
    </row>
    <row r="727" spans="1:31" x14ac:dyDescent="0.2">
      <c r="A727" s="73">
        <v>96</v>
      </c>
      <c r="B727" s="86">
        <f t="shared" si="194"/>
        <v>0</v>
      </c>
      <c r="C727" s="50">
        <f t="shared" si="176"/>
        <v>0</v>
      </c>
      <c r="D727" s="86">
        <f t="shared" si="177"/>
        <v>0</v>
      </c>
      <c r="E727" s="86">
        <f t="shared" si="178"/>
        <v>0</v>
      </c>
      <c r="F727" s="74">
        <f t="shared" si="179"/>
        <v>0</v>
      </c>
      <c r="G727" s="112">
        <f t="shared" si="180"/>
        <v>0</v>
      </c>
      <c r="H727" s="112">
        <f t="shared" si="181"/>
        <v>0</v>
      </c>
      <c r="I727" s="75">
        <f t="shared" si="182"/>
        <v>0</v>
      </c>
      <c r="J727" s="74"/>
      <c r="K727" s="75">
        <f t="shared" si="183"/>
        <v>0</v>
      </c>
      <c r="L727" s="156">
        <f t="shared" si="184"/>
        <v>0</v>
      </c>
      <c r="M727" s="157"/>
      <c r="N727" s="73">
        <v>96</v>
      </c>
      <c r="O727" s="86">
        <f t="shared" si="195"/>
        <v>-1.0913936421275139E-11</v>
      </c>
      <c r="P727" s="50">
        <f t="shared" si="185"/>
        <v>0</v>
      </c>
      <c r="Q727" s="86">
        <f t="shared" si="186"/>
        <v>0</v>
      </c>
      <c r="R727" s="86">
        <f t="shared" si="187"/>
        <v>0</v>
      </c>
      <c r="S727" s="74">
        <f t="shared" si="188"/>
        <v>-1.0913936421275139E-11</v>
      </c>
      <c r="T727" s="112">
        <f t="shared" si="189"/>
        <v>-6.7452363394891589E-12</v>
      </c>
      <c r="U727" s="112">
        <f t="shared" si="190"/>
        <v>0</v>
      </c>
      <c r="V727" s="75">
        <f t="shared" si="191"/>
        <v>0</v>
      </c>
      <c r="W727" s="74"/>
      <c r="X727" s="75">
        <f t="shared" si="192"/>
        <v>0</v>
      </c>
      <c r="Y727" s="156">
        <f t="shared" si="193"/>
        <v>-3.6289065407398638E-14</v>
      </c>
      <c r="Z727" s="46"/>
      <c r="AA727" s="107">
        <f t="shared" ref="AA727:AA758" si="196">+V727-I727</f>
        <v>0</v>
      </c>
      <c r="AB727" s="46"/>
      <c r="AC727" s="46"/>
      <c r="AD727" s="46"/>
      <c r="AE727" s="46"/>
    </row>
    <row r="728" spans="1:31" x14ac:dyDescent="0.2">
      <c r="A728" s="73">
        <v>97</v>
      </c>
      <c r="B728" s="86">
        <f t="shared" si="194"/>
        <v>0</v>
      </c>
      <c r="C728" s="50">
        <f t="shared" ref="C728:C759" si="197">(IF(A728&lt;$B$613,PMT($B$614/12,$B$613,-$B$612,$B$617,$B$620),IF(A728=$B$613,PMT($B$614/12,$B$613,-$B$612,$B$617,$B$620)+$B$617,0)))</f>
        <v>0</v>
      </c>
      <c r="D728" s="86">
        <f t="shared" ref="D728:D759" si="198">IF(A728&lt;=$B$613,B728*$B$614/12,0)</f>
        <v>0</v>
      </c>
      <c r="E728" s="86">
        <f t="shared" ref="E728:E759" si="199">C728-D728</f>
        <v>0</v>
      </c>
      <c r="F728" s="74">
        <f t="shared" ref="F728:F759" si="200">(B728-E728)</f>
        <v>0</v>
      </c>
      <c r="G728" s="112">
        <f t="shared" ref="G728:G759" si="201">B728*(1-B$621)^($A728)</f>
        <v>0</v>
      </c>
      <c r="H728" s="112">
        <f t="shared" ref="H728:H759" si="202">IF(A728&lt;=$B$613,G728*$B$614/12,0)</f>
        <v>0</v>
      </c>
      <c r="I728" s="75">
        <f t="shared" ref="I728:I759" si="203">C728</f>
        <v>0</v>
      </c>
      <c r="J728" s="74"/>
      <c r="K728" s="75">
        <f t="shared" ref="K728:K759" si="204">C728</f>
        <v>0</v>
      </c>
      <c r="L728" s="156">
        <f t="shared" ref="L728:L759" si="205">F728/$B$612*100</f>
        <v>0</v>
      </c>
      <c r="M728" s="157"/>
      <c r="N728" s="73">
        <v>97</v>
      </c>
      <c r="O728" s="86">
        <f t="shared" si="195"/>
        <v>-1.0913936421275139E-11</v>
      </c>
      <c r="P728" s="50">
        <f t="shared" ref="P728:P759" si="206">(IF(N728&lt;$B$613,PMT($B$615/12,$B$613,-$B$612,$B$617,0),IF(N728=$B$613,PMT($B$615/12,$B$613,-$B$612,$B$617,0)+$B$617,0)))</f>
        <v>0</v>
      </c>
      <c r="Q728" s="86">
        <f t="shared" ref="Q728:Q759" si="207">IF(N728&lt;=$B$613,O728*$B$615/12,0)</f>
        <v>0</v>
      </c>
      <c r="R728" s="86">
        <f t="shared" ref="R728:R759" si="208">P728-Q728</f>
        <v>0</v>
      </c>
      <c r="S728" s="74">
        <f t="shared" ref="S728:S759" si="209">(O728-R728)</f>
        <v>-1.0913936421275139E-11</v>
      </c>
      <c r="T728" s="112">
        <f t="shared" ref="T728:T759" si="210">O728*(1-B$621)^($N728)</f>
        <v>-6.7115101577917138E-12</v>
      </c>
      <c r="U728" s="112">
        <f t="shared" ref="U728:U759" si="211">IF(N728&lt;=$B$613,T728*$B$615/12,0)</f>
        <v>0</v>
      </c>
      <c r="V728" s="75">
        <f t="shared" ref="V728:V759" si="212">P728</f>
        <v>0</v>
      </c>
      <c r="W728" s="74"/>
      <c r="X728" s="75">
        <f t="shared" ref="X728:X759" si="213">P728</f>
        <v>0</v>
      </c>
      <c r="Y728" s="156">
        <f t="shared" ref="Y728:Y759" si="214">S728/$B$612*100</f>
        <v>-3.6289065407398638E-14</v>
      </c>
      <c r="Z728" s="46"/>
      <c r="AA728" s="107">
        <f t="shared" si="196"/>
        <v>0</v>
      </c>
      <c r="AB728" s="46"/>
      <c r="AC728" s="46"/>
      <c r="AD728" s="46"/>
      <c r="AE728" s="46"/>
    </row>
    <row r="729" spans="1:31" x14ac:dyDescent="0.2">
      <c r="A729" s="73">
        <v>98</v>
      </c>
      <c r="B729" s="86">
        <f t="shared" ref="B729:B760" si="215">+F728</f>
        <v>0</v>
      </c>
      <c r="C729" s="50">
        <f t="shared" si="197"/>
        <v>0</v>
      </c>
      <c r="D729" s="86">
        <f t="shared" si="198"/>
        <v>0</v>
      </c>
      <c r="E729" s="86">
        <f t="shared" si="199"/>
        <v>0</v>
      </c>
      <c r="F729" s="74">
        <f t="shared" si="200"/>
        <v>0</v>
      </c>
      <c r="G729" s="112">
        <f t="shared" si="201"/>
        <v>0</v>
      </c>
      <c r="H729" s="112">
        <f t="shared" si="202"/>
        <v>0</v>
      </c>
      <c r="I729" s="75">
        <f t="shared" si="203"/>
        <v>0</v>
      </c>
      <c r="J729" s="74"/>
      <c r="K729" s="75">
        <f t="shared" si="204"/>
        <v>0</v>
      </c>
      <c r="L729" s="156">
        <f t="shared" si="205"/>
        <v>0</v>
      </c>
      <c r="M729" s="157"/>
      <c r="N729" s="73">
        <v>98</v>
      </c>
      <c r="O729" s="86">
        <f t="shared" ref="O729:O760" si="216">+S728</f>
        <v>-1.0913936421275139E-11</v>
      </c>
      <c r="P729" s="50">
        <f t="shared" si="206"/>
        <v>0</v>
      </c>
      <c r="Q729" s="86">
        <f t="shared" si="207"/>
        <v>0</v>
      </c>
      <c r="R729" s="86">
        <f t="shared" si="208"/>
        <v>0</v>
      </c>
      <c r="S729" s="74">
        <f t="shared" si="209"/>
        <v>-1.0913936421275139E-11</v>
      </c>
      <c r="T729" s="112">
        <f t="shared" si="210"/>
        <v>-6.6779526070027541E-12</v>
      </c>
      <c r="U729" s="112">
        <f t="shared" si="211"/>
        <v>0</v>
      </c>
      <c r="V729" s="75">
        <f t="shared" si="212"/>
        <v>0</v>
      </c>
      <c r="W729" s="74"/>
      <c r="X729" s="75">
        <f t="shared" si="213"/>
        <v>0</v>
      </c>
      <c r="Y729" s="156">
        <f t="shared" si="214"/>
        <v>-3.6289065407398638E-14</v>
      </c>
      <c r="Z729" s="46"/>
      <c r="AA729" s="107">
        <f t="shared" si="196"/>
        <v>0</v>
      </c>
      <c r="AB729" s="46"/>
      <c r="AC729" s="46"/>
      <c r="AD729" s="46"/>
      <c r="AE729" s="46"/>
    </row>
    <row r="730" spans="1:31" x14ac:dyDescent="0.2">
      <c r="A730" s="73">
        <v>99</v>
      </c>
      <c r="B730" s="86">
        <f t="shared" si="215"/>
        <v>0</v>
      </c>
      <c r="C730" s="50">
        <f t="shared" si="197"/>
        <v>0</v>
      </c>
      <c r="D730" s="86">
        <f t="shared" si="198"/>
        <v>0</v>
      </c>
      <c r="E730" s="86">
        <f t="shared" si="199"/>
        <v>0</v>
      </c>
      <c r="F730" s="74">
        <f t="shared" si="200"/>
        <v>0</v>
      </c>
      <c r="G730" s="112">
        <f t="shared" si="201"/>
        <v>0</v>
      </c>
      <c r="H730" s="112">
        <f t="shared" si="202"/>
        <v>0</v>
      </c>
      <c r="I730" s="75">
        <f t="shared" si="203"/>
        <v>0</v>
      </c>
      <c r="J730" s="74"/>
      <c r="K730" s="75">
        <f t="shared" si="204"/>
        <v>0</v>
      </c>
      <c r="L730" s="156">
        <f t="shared" si="205"/>
        <v>0</v>
      </c>
      <c r="M730" s="157"/>
      <c r="N730" s="73">
        <v>99</v>
      </c>
      <c r="O730" s="86">
        <f t="shared" si="216"/>
        <v>-1.0913936421275139E-11</v>
      </c>
      <c r="P730" s="50">
        <f t="shared" si="206"/>
        <v>0</v>
      </c>
      <c r="Q730" s="86">
        <f t="shared" si="207"/>
        <v>0</v>
      </c>
      <c r="R730" s="86">
        <f t="shared" si="208"/>
        <v>0</v>
      </c>
      <c r="S730" s="74">
        <f t="shared" si="209"/>
        <v>-1.0913936421275139E-11</v>
      </c>
      <c r="T730" s="112">
        <f t="shared" si="210"/>
        <v>-6.6445628439677415E-12</v>
      </c>
      <c r="U730" s="112">
        <f t="shared" si="211"/>
        <v>0</v>
      </c>
      <c r="V730" s="75">
        <f t="shared" si="212"/>
        <v>0</v>
      </c>
      <c r="W730" s="74"/>
      <c r="X730" s="75">
        <f t="shared" si="213"/>
        <v>0</v>
      </c>
      <c r="Y730" s="156">
        <f t="shared" si="214"/>
        <v>-3.6289065407398638E-14</v>
      </c>
      <c r="Z730" s="46"/>
      <c r="AA730" s="107">
        <f t="shared" si="196"/>
        <v>0</v>
      </c>
      <c r="AB730" s="46"/>
      <c r="AC730" s="46"/>
      <c r="AD730" s="46"/>
      <c r="AE730" s="46"/>
    </row>
    <row r="731" spans="1:31" x14ac:dyDescent="0.2">
      <c r="A731" s="73">
        <v>100</v>
      </c>
      <c r="B731" s="86">
        <f t="shared" si="215"/>
        <v>0</v>
      </c>
      <c r="C731" s="50">
        <f t="shared" si="197"/>
        <v>0</v>
      </c>
      <c r="D731" s="86">
        <f t="shared" si="198"/>
        <v>0</v>
      </c>
      <c r="E731" s="86">
        <f t="shared" si="199"/>
        <v>0</v>
      </c>
      <c r="F731" s="74">
        <f t="shared" si="200"/>
        <v>0</v>
      </c>
      <c r="G731" s="112">
        <f t="shared" si="201"/>
        <v>0</v>
      </c>
      <c r="H731" s="112">
        <f t="shared" si="202"/>
        <v>0</v>
      </c>
      <c r="I731" s="75">
        <f t="shared" si="203"/>
        <v>0</v>
      </c>
      <c r="J731" s="74"/>
      <c r="K731" s="75">
        <f t="shared" si="204"/>
        <v>0</v>
      </c>
      <c r="L731" s="156">
        <f t="shared" si="205"/>
        <v>0</v>
      </c>
      <c r="M731" s="157"/>
      <c r="N731" s="73">
        <v>100</v>
      </c>
      <c r="O731" s="86">
        <f t="shared" si="216"/>
        <v>-1.0913936421275139E-11</v>
      </c>
      <c r="P731" s="50">
        <f t="shared" si="206"/>
        <v>0</v>
      </c>
      <c r="Q731" s="86">
        <f t="shared" si="207"/>
        <v>0</v>
      </c>
      <c r="R731" s="86">
        <f t="shared" si="208"/>
        <v>0</v>
      </c>
      <c r="S731" s="74">
        <f t="shared" si="209"/>
        <v>-1.0913936421275139E-11</v>
      </c>
      <c r="T731" s="112">
        <f t="shared" si="210"/>
        <v>-6.6113400297479028E-12</v>
      </c>
      <c r="U731" s="112">
        <f t="shared" si="211"/>
        <v>0</v>
      </c>
      <c r="V731" s="75">
        <f t="shared" si="212"/>
        <v>0</v>
      </c>
      <c r="W731" s="74"/>
      <c r="X731" s="75">
        <f t="shared" si="213"/>
        <v>0</v>
      </c>
      <c r="Y731" s="156">
        <f t="shared" si="214"/>
        <v>-3.6289065407398638E-14</v>
      </c>
      <c r="Z731" s="46"/>
      <c r="AA731" s="107">
        <f t="shared" si="196"/>
        <v>0</v>
      </c>
      <c r="AB731" s="46"/>
      <c r="AC731" s="46"/>
      <c r="AD731" s="46"/>
      <c r="AE731" s="46"/>
    </row>
    <row r="732" spans="1:31" x14ac:dyDescent="0.2">
      <c r="A732" s="73">
        <v>101</v>
      </c>
      <c r="B732" s="86">
        <f t="shared" si="215"/>
        <v>0</v>
      </c>
      <c r="C732" s="50">
        <f t="shared" si="197"/>
        <v>0</v>
      </c>
      <c r="D732" s="86">
        <f t="shared" si="198"/>
        <v>0</v>
      </c>
      <c r="E732" s="86">
        <f t="shared" si="199"/>
        <v>0</v>
      </c>
      <c r="F732" s="74">
        <f t="shared" si="200"/>
        <v>0</v>
      </c>
      <c r="G732" s="112">
        <f t="shared" si="201"/>
        <v>0</v>
      </c>
      <c r="H732" s="112">
        <f t="shared" si="202"/>
        <v>0</v>
      </c>
      <c r="I732" s="75">
        <f t="shared" si="203"/>
        <v>0</v>
      </c>
      <c r="J732" s="74"/>
      <c r="K732" s="75">
        <f t="shared" si="204"/>
        <v>0</v>
      </c>
      <c r="L732" s="156">
        <f t="shared" si="205"/>
        <v>0</v>
      </c>
      <c r="M732" s="157"/>
      <c r="N732" s="73">
        <v>101</v>
      </c>
      <c r="O732" s="86">
        <f t="shared" si="216"/>
        <v>-1.0913936421275139E-11</v>
      </c>
      <c r="P732" s="50">
        <f t="shared" si="206"/>
        <v>0</v>
      </c>
      <c r="Q732" s="86">
        <f t="shared" si="207"/>
        <v>0</v>
      </c>
      <c r="R732" s="86">
        <f t="shared" si="208"/>
        <v>0</v>
      </c>
      <c r="S732" s="74">
        <f t="shared" si="209"/>
        <v>-1.0913936421275139E-11</v>
      </c>
      <c r="T732" s="112">
        <f t="shared" si="210"/>
        <v>-6.578283329599163E-12</v>
      </c>
      <c r="U732" s="112">
        <f t="shared" si="211"/>
        <v>0</v>
      </c>
      <c r="V732" s="75">
        <f t="shared" si="212"/>
        <v>0</v>
      </c>
      <c r="W732" s="74"/>
      <c r="X732" s="75">
        <f t="shared" si="213"/>
        <v>0</v>
      </c>
      <c r="Y732" s="156">
        <f t="shared" si="214"/>
        <v>-3.6289065407398638E-14</v>
      </c>
      <c r="Z732" s="46"/>
      <c r="AA732" s="107">
        <f t="shared" si="196"/>
        <v>0</v>
      </c>
      <c r="AB732" s="46"/>
      <c r="AC732" s="46"/>
      <c r="AD732" s="46"/>
      <c r="AE732" s="46"/>
    </row>
    <row r="733" spans="1:31" x14ac:dyDescent="0.2">
      <c r="A733" s="73">
        <v>102</v>
      </c>
      <c r="B733" s="86">
        <f t="shared" si="215"/>
        <v>0</v>
      </c>
      <c r="C733" s="50">
        <f t="shared" si="197"/>
        <v>0</v>
      </c>
      <c r="D733" s="86">
        <f t="shared" si="198"/>
        <v>0</v>
      </c>
      <c r="E733" s="86">
        <f t="shared" si="199"/>
        <v>0</v>
      </c>
      <c r="F733" s="74">
        <f t="shared" si="200"/>
        <v>0</v>
      </c>
      <c r="G733" s="112">
        <f t="shared" si="201"/>
        <v>0</v>
      </c>
      <c r="H733" s="112">
        <f t="shared" si="202"/>
        <v>0</v>
      </c>
      <c r="I733" s="75">
        <f t="shared" si="203"/>
        <v>0</v>
      </c>
      <c r="J733" s="74"/>
      <c r="K733" s="75">
        <f t="shared" si="204"/>
        <v>0</v>
      </c>
      <c r="L733" s="156">
        <f t="shared" si="205"/>
        <v>0</v>
      </c>
      <c r="M733" s="157"/>
      <c r="N733" s="73">
        <v>102</v>
      </c>
      <c r="O733" s="86">
        <f t="shared" si="216"/>
        <v>-1.0913936421275139E-11</v>
      </c>
      <c r="P733" s="50">
        <f t="shared" si="206"/>
        <v>0</v>
      </c>
      <c r="Q733" s="86">
        <f t="shared" si="207"/>
        <v>0</v>
      </c>
      <c r="R733" s="86">
        <f t="shared" si="208"/>
        <v>0</v>
      </c>
      <c r="S733" s="74">
        <f t="shared" si="209"/>
        <v>-1.0913936421275139E-11</v>
      </c>
      <c r="T733" s="112">
        <f t="shared" si="210"/>
        <v>-6.5453919129511678E-12</v>
      </c>
      <c r="U733" s="112">
        <f t="shared" si="211"/>
        <v>0</v>
      </c>
      <c r="V733" s="75">
        <f t="shared" si="212"/>
        <v>0</v>
      </c>
      <c r="W733" s="74"/>
      <c r="X733" s="75">
        <f t="shared" si="213"/>
        <v>0</v>
      </c>
      <c r="Y733" s="156">
        <f t="shared" si="214"/>
        <v>-3.6289065407398638E-14</v>
      </c>
      <c r="Z733" s="46"/>
      <c r="AA733" s="107">
        <f t="shared" si="196"/>
        <v>0</v>
      </c>
      <c r="AB733" s="46"/>
      <c r="AC733" s="46"/>
      <c r="AD733" s="46"/>
      <c r="AE733" s="46"/>
    </row>
    <row r="734" spans="1:31" x14ac:dyDescent="0.2">
      <c r="A734" s="73">
        <v>103</v>
      </c>
      <c r="B734" s="86">
        <f t="shared" si="215"/>
        <v>0</v>
      </c>
      <c r="C734" s="50">
        <f t="shared" si="197"/>
        <v>0</v>
      </c>
      <c r="D734" s="86">
        <f t="shared" si="198"/>
        <v>0</v>
      </c>
      <c r="E734" s="86">
        <f t="shared" si="199"/>
        <v>0</v>
      </c>
      <c r="F734" s="74">
        <f t="shared" si="200"/>
        <v>0</v>
      </c>
      <c r="G734" s="112">
        <f t="shared" si="201"/>
        <v>0</v>
      </c>
      <c r="H734" s="112">
        <f t="shared" si="202"/>
        <v>0</v>
      </c>
      <c r="I734" s="75">
        <f t="shared" si="203"/>
        <v>0</v>
      </c>
      <c r="J734" s="74"/>
      <c r="K734" s="75">
        <f t="shared" si="204"/>
        <v>0</v>
      </c>
      <c r="L734" s="156">
        <f t="shared" si="205"/>
        <v>0</v>
      </c>
      <c r="M734" s="157"/>
      <c r="N734" s="73">
        <v>103</v>
      </c>
      <c r="O734" s="86">
        <f t="shared" si="216"/>
        <v>-1.0913936421275139E-11</v>
      </c>
      <c r="P734" s="50">
        <f t="shared" si="206"/>
        <v>0</v>
      </c>
      <c r="Q734" s="86">
        <f t="shared" si="207"/>
        <v>0</v>
      </c>
      <c r="R734" s="86">
        <f t="shared" si="208"/>
        <v>0</v>
      </c>
      <c r="S734" s="74">
        <f t="shared" si="209"/>
        <v>-1.0913936421275139E-11</v>
      </c>
      <c r="T734" s="112">
        <f t="shared" si="210"/>
        <v>-6.5126649533864119E-12</v>
      </c>
      <c r="U734" s="112">
        <f t="shared" si="211"/>
        <v>0</v>
      </c>
      <c r="V734" s="75">
        <f t="shared" si="212"/>
        <v>0</v>
      </c>
      <c r="W734" s="74"/>
      <c r="X734" s="75">
        <f t="shared" si="213"/>
        <v>0</v>
      </c>
      <c r="Y734" s="156">
        <f t="shared" si="214"/>
        <v>-3.6289065407398638E-14</v>
      </c>
      <c r="Z734" s="46"/>
      <c r="AA734" s="107">
        <f t="shared" si="196"/>
        <v>0</v>
      </c>
      <c r="AB734" s="46"/>
      <c r="AC734" s="46"/>
      <c r="AD734" s="46"/>
      <c r="AE734" s="46"/>
    </row>
    <row r="735" spans="1:31" x14ac:dyDescent="0.2">
      <c r="A735" s="73">
        <v>104</v>
      </c>
      <c r="B735" s="86">
        <f t="shared" si="215"/>
        <v>0</v>
      </c>
      <c r="C735" s="50">
        <f t="shared" si="197"/>
        <v>0</v>
      </c>
      <c r="D735" s="86">
        <f t="shared" si="198"/>
        <v>0</v>
      </c>
      <c r="E735" s="86">
        <f t="shared" si="199"/>
        <v>0</v>
      </c>
      <c r="F735" s="74">
        <f t="shared" si="200"/>
        <v>0</v>
      </c>
      <c r="G735" s="112">
        <f t="shared" si="201"/>
        <v>0</v>
      </c>
      <c r="H735" s="112">
        <f t="shared" si="202"/>
        <v>0</v>
      </c>
      <c r="I735" s="75">
        <f t="shared" si="203"/>
        <v>0</v>
      </c>
      <c r="J735" s="74"/>
      <c r="K735" s="75">
        <f t="shared" si="204"/>
        <v>0</v>
      </c>
      <c r="L735" s="156">
        <f t="shared" si="205"/>
        <v>0</v>
      </c>
      <c r="M735" s="157"/>
      <c r="N735" s="73">
        <v>104</v>
      </c>
      <c r="O735" s="86">
        <f t="shared" si="216"/>
        <v>-1.0913936421275139E-11</v>
      </c>
      <c r="P735" s="50">
        <f t="shared" si="206"/>
        <v>0</v>
      </c>
      <c r="Q735" s="86">
        <f t="shared" si="207"/>
        <v>0</v>
      </c>
      <c r="R735" s="86">
        <f t="shared" si="208"/>
        <v>0</v>
      </c>
      <c r="S735" s="74">
        <f t="shared" si="209"/>
        <v>-1.0913936421275139E-11</v>
      </c>
      <c r="T735" s="112">
        <f t="shared" si="210"/>
        <v>-6.4801016286194786E-12</v>
      </c>
      <c r="U735" s="112">
        <f t="shared" si="211"/>
        <v>0</v>
      </c>
      <c r="V735" s="75">
        <f t="shared" si="212"/>
        <v>0</v>
      </c>
      <c r="W735" s="74"/>
      <c r="X735" s="75">
        <f t="shared" si="213"/>
        <v>0</v>
      </c>
      <c r="Y735" s="156">
        <f t="shared" si="214"/>
        <v>-3.6289065407398638E-14</v>
      </c>
      <c r="Z735" s="46"/>
      <c r="AA735" s="107">
        <f t="shared" si="196"/>
        <v>0</v>
      </c>
      <c r="AB735" s="46"/>
      <c r="AC735" s="46"/>
      <c r="AD735" s="46"/>
      <c r="AE735" s="46"/>
    </row>
    <row r="736" spans="1:31" x14ac:dyDescent="0.2">
      <c r="A736" s="73">
        <v>105</v>
      </c>
      <c r="B736" s="86">
        <f t="shared" si="215"/>
        <v>0</v>
      </c>
      <c r="C736" s="50">
        <f t="shared" si="197"/>
        <v>0</v>
      </c>
      <c r="D736" s="86">
        <f t="shared" si="198"/>
        <v>0</v>
      </c>
      <c r="E736" s="86">
        <f t="shared" si="199"/>
        <v>0</v>
      </c>
      <c r="F736" s="74">
        <f t="shared" si="200"/>
        <v>0</v>
      </c>
      <c r="G736" s="112">
        <f t="shared" si="201"/>
        <v>0</v>
      </c>
      <c r="H736" s="112">
        <f t="shared" si="202"/>
        <v>0</v>
      </c>
      <c r="I736" s="75">
        <f t="shared" si="203"/>
        <v>0</v>
      </c>
      <c r="J736" s="74"/>
      <c r="K736" s="75">
        <f t="shared" si="204"/>
        <v>0</v>
      </c>
      <c r="L736" s="156">
        <f t="shared" si="205"/>
        <v>0</v>
      </c>
      <c r="M736" s="157"/>
      <c r="N736" s="73">
        <v>105</v>
      </c>
      <c r="O736" s="86">
        <f t="shared" si="216"/>
        <v>-1.0913936421275139E-11</v>
      </c>
      <c r="P736" s="50">
        <f t="shared" si="206"/>
        <v>0</v>
      </c>
      <c r="Q736" s="86">
        <f t="shared" si="207"/>
        <v>0</v>
      </c>
      <c r="R736" s="86">
        <f t="shared" si="208"/>
        <v>0</v>
      </c>
      <c r="S736" s="74">
        <f t="shared" si="209"/>
        <v>-1.0913936421275139E-11</v>
      </c>
      <c r="T736" s="112">
        <f t="shared" si="210"/>
        <v>-6.4477011204763814E-12</v>
      </c>
      <c r="U736" s="112">
        <f t="shared" si="211"/>
        <v>0</v>
      </c>
      <c r="V736" s="75">
        <f t="shared" si="212"/>
        <v>0</v>
      </c>
      <c r="W736" s="74"/>
      <c r="X736" s="75">
        <f t="shared" si="213"/>
        <v>0</v>
      </c>
      <c r="Y736" s="156">
        <f t="shared" si="214"/>
        <v>-3.6289065407398638E-14</v>
      </c>
      <c r="Z736" s="46"/>
      <c r="AA736" s="107">
        <f t="shared" si="196"/>
        <v>0</v>
      </c>
      <c r="AB736" s="46"/>
      <c r="AC736" s="46"/>
      <c r="AD736" s="46"/>
      <c r="AE736" s="46"/>
    </row>
    <row r="737" spans="1:31" x14ac:dyDescent="0.2">
      <c r="A737" s="73">
        <v>106</v>
      </c>
      <c r="B737" s="86">
        <f t="shared" si="215"/>
        <v>0</v>
      </c>
      <c r="C737" s="50">
        <f t="shared" si="197"/>
        <v>0</v>
      </c>
      <c r="D737" s="86">
        <f t="shared" si="198"/>
        <v>0</v>
      </c>
      <c r="E737" s="86">
        <f t="shared" si="199"/>
        <v>0</v>
      </c>
      <c r="F737" s="74">
        <f t="shared" si="200"/>
        <v>0</v>
      </c>
      <c r="G737" s="112">
        <f t="shared" si="201"/>
        <v>0</v>
      </c>
      <c r="H737" s="112">
        <f t="shared" si="202"/>
        <v>0</v>
      </c>
      <c r="I737" s="75">
        <f t="shared" si="203"/>
        <v>0</v>
      </c>
      <c r="J737" s="74"/>
      <c r="K737" s="75">
        <f t="shared" si="204"/>
        <v>0</v>
      </c>
      <c r="L737" s="156">
        <f t="shared" si="205"/>
        <v>0</v>
      </c>
      <c r="M737" s="157"/>
      <c r="N737" s="73">
        <v>106</v>
      </c>
      <c r="O737" s="86">
        <f t="shared" si="216"/>
        <v>-1.0913936421275139E-11</v>
      </c>
      <c r="P737" s="50">
        <f t="shared" si="206"/>
        <v>0</v>
      </c>
      <c r="Q737" s="86">
        <f t="shared" si="207"/>
        <v>0</v>
      </c>
      <c r="R737" s="86">
        <f t="shared" si="208"/>
        <v>0</v>
      </c>
      <c r="S737" s="74">
        <f t="shared" si="209"/>
        <v>-1.0913936421275139E-11</v>
      </c>
      <c r="T737" s="112">
        <f t="shared" si="210"/>
        <v>-6.415462614874E-12</v>
      </c>
      <c r="U737" s="112">
        <f t="shared" si="211"/>
        <v>0</v>
      </c>
      <c r="V737" s="75">
        <f t="shared" si="212"/>
        <v>0</v>
      </c>
      <c r="W737" s="74"/>
      <c r="X737" s="75">
        <f t="shared" si="213"/>
        <v>0</v>
      </c>
      <c r="Y737" s="156">
        <f t="shared" si="214"/>
        <v>-3.6289065407398638E-14</v>
      </c>
      <c r="Z737" s="46"/>
      <c r="AA737" s="107">
        <f t="shared" si="196"/>
        <v>0</v>
      </c>
      <c r="AB737" s="46"/>
      <c r="AC737" s="46"/>
      <c r="AD737" s="46"/>
      <c r="AE737" s="46"/>
    </row>
    <row r="738" spans="1:31" x14ac:dyDescent="0.2">
      <c r="A738" s="73">
        <v>107</v>
      </c>
      <c r="B738" s="86">
        <f t="shared" si="215"/>
        <v>0</v>
      </c>
      <c r="C738" s="50">
        <f t="shared" si="197"/>
        <v>0</v>
      </c>
      <c r="D738" s="86">
        <f t="shared" si="198"/>
        <v>0</v>
      </c>
      <c r="E738" s="86">
        <f t="shared" si="199"/>
        <v>0</v>
      </c>
      <c r="F738" s="74">
        <f t="shared" si="200"/>
        <v>0</v>
      </c>
      <c r="G738" s="112">
        <f t="shared" si="201"/>
        <v>0</v>
      </c>
      <c r="H738" s="112">
        <f t="shared" si="202"/>
        <v>0</v>
      </c>
      <c r="I738" s="75">
        <f t="shared" si="203"/>
        <v>0</v>
      </c>
      <c r="J738" s="74"/>
      <c r="K738" s="75">
        <f t="shared" si="204"/>
        <v>0</v>
      </c>
      <c r="L738" s="156">
        <f t="shared" si="205"/>
        <v>0</v>
      </c>
      <c r="M738" s="157"/>
      <c r="N738" s="73">
        <v>107</v>
      </c>
      <c r="O738" s="86">
        <f t="shared" si="216"/>
        <v>-1.0913936421275139E-11</v>
      </c>
      <c r="P738" s="50">
        <f t="shared" si="206"/>
        <v>0</v>
      </c>
      <c r="Q738" s="86">
        <f t="shared" si="207"/>
        <v>0</v>
      </c>
      <c r="R738" s="86">
        <f t="shared" si="208"/>
        <v>0</v>
      </c>
      <c r="S738" s="74">
        <f t="shared" si="209"/>
        <v>-1.0913936421275139E-11</v>
      </c>
      <c r="T738" s="112">
        <f t="shared" si="210"/>
        <v>-6.38338530179963E-12</v>
      </c>
      <c r="U738" s="112">
        <f t="shared" si="211"/>
        <v>0</v>
      </c>
      <c r="V738" s="75">
        <f t="shared" si="212"/>
        <v>0</v>
      </c>
      <c r="W738" s="74"/>
      <c r="X738" s="75">
        <f t="shared" si="213"/>
        <v>0</v>
      </c>
      <c r="Y738" s="156">
        <f t="shared" si="214"/>
        <v>-3.6289065407398638E-14</v>
      </c>
      <c r="Z738" s="46"/>
      <c r="AA738" s="107">
        <f t="shared" si="196"/>
        <v>0</v>
      </c>
      <c r="AB738" s="46"/>
      <c r="AC738" s="46"/>
      <c r="AD738" s="46"/>
      <c r="AE738" s="46"/>
    </row>
    <row r="739" spans="1:31" x14ac:dyDescent="0.2">
      <c r="A739" s="73">
        <v>108</v>
      </c>
      <c r="B739" s="86">
        <f t="shared" si="215"/>
        <v>0</v>
      </c>
      <c r="C739" s="50">
        <f t="shared" si="197"/>
        <v>0</v>
      </c>
      <c r="D739" s="86">
        <f t="shared" si="198"/>
        <v>0</v>
      </c>
      <c r="E739" s="86">
        <f t="shared" si="199"/>
        <v>0</v>
      </c>
      <c r="F739" s="74">
        <f t="shared" si="200"/>
        <v>0</v>
      </c>
      <c r="G739" s="112">
        <f t="shared" si="201"/>
        <v>0</v>
      </c>
      <c r="H739" s="112">
        <f t="shared" si="202"/>
        <v>0</v>
      </c>
      <c r="I739" s="75">
        <f t="shared" si="203"/>
        <v>0</v>
      </c>
      <c r="J739" s="74"/>
      <c r="K739" s="75">
        <f t="shared" si="204"/>
        <v>0</v>
      </c>
      <c r="L739" s="156">
        <f t="shared" si="205"/>
        <v>0</v>
      </c>
      <c r="M739" s="157"/>
      <c r="N739" s="73">
        <v>108</v>
      </c>
      <c r="O739" s="86">
        <f t="shared" si="216"/>
        <v>-1.0913936421275139E-11</v>
      </c>
      <c r="P739" s="50">
        <f t="shared" si="206"/>
        <v>0</v>
      </c>
      <c r="Q739" s="86">
        <f t="shared" si="207"/>
        <v>0</v>
      </c>
      <c r="R739" s="86">
        <f t="shared" si="208"/>
        <v>0</v>
      </c>
      <c r="S739" s="74">
        <f t="shared" si="209"/>
        <v>-1.0913936421275139E-11</v>
      </c>
      <c r="T739" s="112">
        <f t="shared" si="210"/>
        <v>-6.3514683752906325E-12</v>
      </c>
      <c r="U739" s="112">
        <f t="shared" si="211"/>
        <v>0</v>
      </c>
      <c r="V739" s="75">
        <f t="shared" si="212"/>
        <v>0</v>
      </c>
      <c r="W739" s="74"/>
      <c r="X739" s="75">
        <f t="shared" si="213"/>
        <v>0</v>
      </c>
      <c r="Y739" s="156">
        <f t="shared" si="214"/>
        <v>-3.6289065407398638E-14</v>
      </c>
      <c r="Z739" s="46"/>
      <c r="AA739" s="107">
        <f t="shared" si="196"/>
        <v>0</v>
      </c>
      <c r="AB739" s="46"/>
      <c r="AC739" s="46"/>
      <c r="AD739" s="46"/>
      <c r="AE739" s="46"/>
    </row>
    <row r="740" spans="1:31" x14ac:dyDescent="0.2">
      <c r="A740" s="73">
        <v>109</v>
      </c>
      <c r="B740" s="86">
        <f t="shared" si="215"/>
        <v>0</v>
      </c>
      <c r="C740" s="50">
        <f t="shared" si="197"/>
        <v>0</v>
      </c>
      <c r="D740" s="86">
        <f t="shared" si="198"/>
        <v>0</v>
      </c>
      <c r="E740" s="86">
        <f t="shared" si="199"/>
        <v>0</v>
      </c>
      <c r="F740" s="74">
        <f t="shared" si="200"/>
        <v>0</v>
      </c>
      <c r="G740" s="112">
        <f t="shared" si="201"/>
        <v>0</v>
      </c>
      <c r="H740" s="112">
        <f t="shared" si="202"/>
        <v>0</v>
      </c>
      <c r="I740" s="75">
        <f t="shared" si="203"/>
        <v>0</v>
      </c>
      <c r="J740" s="74"/>
      <c r="K740" s="75">
        <f t="shared" si="204"/>
        <v>0</v>
      </c>
      <c r="L740" s="156">
        <f t="shared" si="205"/>
        <v>0</v>
      </c>
      <c r="M740" s="157"/>
      <c r="N740" s="73">
        <v>109</v>
      </c>
      <c r="O740" s="86">
        <f t="shared" si="216"/>
        <v>-1.0913936421275139E-11</v>
      </c>
      <c r="P740" s="50">
        <f t="shared" si="206"/>
        <v>0</v>
      </c>
      <c r="Q740" s="86">
        <f t="shared" si="207"/>
        <v>0</v>
      </c>
      <c r="R740" s="86">
        <f t="shared" si="208"/>
        <v>0</v>
      </c>
      <c r="S740" s="74">
        <f t="shared" si="209"/>
        <v>-1.0913936421275139E-11</v>
      </c>
      <c r="T740" s="112">
        <f t="shared" si="210"/>
        <v>-6.3197110334141791E-12</v>
      </c>
      <c r="U740" s="112">
        <f t="shared" si="211"/>
        <v>0</v>
      </c>
      <c r="V740" s="75">
        <f t="shared" si="212"/>
        <v>0</v>
      </c>
      <c r="W740" s="74"/>
      <c r="X740" s="75">
        <f t="shared" si="213"/>
        <v>0</v>
      </c>
      <c r="Y740" s="156">
        <f t="shared" si="214"/>
        <v>-3.6289065407398638E-14</v>
      </c>
      <c r="Z740" s="46"/>
      <c r="AA740" s="107">
        <f t="shared" si="196"/>
        <v>0</v>
      </c>
    </row>
    <row r="741" spans="1:31" x14ac:dyDescent="0.2">
      <c r="A741" s="73">
        <v>110</v>
      </c>
      <c r="B741" s="86">
        <f t="shared" si="215"/>
        <v>0</v>
      </c>
      <c r="C741" s="50">
        <f t="shared" si="197"/>
        <v>0</v>
      </c>
      <c r="D741" s="86">
        <f t="shared" si="198"/>
        <v>0</v>
      </c>
      <c r="E741" s="86">
        <f t="shared" si="199"/>
        <v>0</v>
      </c>
      <c r="F741" s="74">
        <f t="shared" si="200"/>
        <v>0</v>
      </c>
      <c r="G741" s="112">
        <f t="shared" si="201"/>
        <v>0</v>
      </c>
      <c r="H741" s="112">
        <f t="shared" si="202"/>
        <v>0</v>
      </c>
      <c r="I741" s="75">
        <f t="shared" si="203"/>
        <v>0</v>
      </c>
      <c r="J741" s="74"/>
      <c r="K741" s="75">
        <f t="shared" si="204"/>
        <v>0</v>
      </c>
      <c r="L741" s="156">
        <f t="shared" si="205"/>
        <v>0</v>
      </c>
      <c r="M741" s="157"/>
      <c r="N741" s="73">
        <v>110</v>
      </c>
      <c r="O741" s="86">
        <f t="shared" si="216"/>
        <v>-1.0913936421275139E-11</v>
      </c>
      <c r="P741" s="50">
        <f t="shared" si="206"/>
        <v>0</v>
      </c>
      <c r="Q741" s="86">
        <f t="shared" si="207"/>
        <v>0</v>
      </c>
      <c r="R741" s="86">
        <f t="shared" si="208"/>
        <v>0</v>
      </c>
      <c r="S741" s="74">
        <f t="shared" si="209"/>
        <v>-1.0913936421275139E-11</v>
      </c>
      <c r="T741" s="112">
        <f t="shared" si="210"/>
        <v>-6.288112478247109E-12</v>
      </c>
      <c r="U741" s="112">
        <f t="shared" si="211"/>
        <v>0</v>
      </c>
      <c r="V741" s="75">
        <f t="shared" si="212"/>
        <v>0</v>
      </c>
      <c r="W741" s="74"/>
      <c r="X741" s="75">
        <f t="shared" si="213"/>
        <v>0</v>
      </c>
      <c r="Y741" s="156">
        <f t="shared" si="214"/>
        <v>-3.6289065407398638E-14</v>
      </c>
      <c r="Z741" s="46"/>
      <c r="AA741" s="107">
        <f t="shared" si="196"/>
        <v>0</v>
      </c>
    </row>
    <row r="742" spans="1:31" x14ac:dyDescent="0.2">
      <c r="A742" s="73">
        <v>111</v>
      </c>
      <c r="B742" s="86">
        <f t="shared" si="215"/>
        <v>0</v>
      </c>
      <c r="C742" s="50">
        <f t="shared" si="197"/>
        <v>0</v>
      </c>
      <c r="D742" s="86">
        <f t="shared" si="198"/>
        <v>0</v>
      </c>
      <c r="E742" s="86">
        <f t="shared" si="199"/>
        <v>0</v>
      </c>
      <c r="F742" s="74">
        <f t="shared" si="200"/>
        <v>0</v>
      </c>
      <c r="G742" s="112">
        <f t="shared" si="201"/>
        <v>0</v>
      </c>
      <c r="H742" s="112">
        <f t="shared" si="202"/>
        <v>0</v>
      </c>
      <c r="I742" s="75">
        <f t="shared" si="203"/>
        <v>0</v>
      </c>
      <c r="J742" s="74"/>
      <c r="K742" s="75">
        <f t="shared" si="204"/>
        <v>0</v>
      </c>
      <c r="L742" s="156">
        <f t="shared" si="205"/>
        <v>0</v>
      </c>
      <c r="M742" s="157"/>
      <c r="N742" s="73">
        <v>111</v>
      </c>
      <c r="O742" s="86">
        <f t="shared" si="216"/>
        <v>-1.0913936421275139E-11</v>
      </c>
      <c r="P742" s="50">
        <f t="shared" si="206"/>
        <v>0</v>
      </c>
      <c r="Q742" s="86">
        <f t="shared" si="207"/>
        <v>0</v>
      </c>
      <c r="R742" s="86">
        <f t="shared" si="208"/>
        <v>0</v>
      </c>
      <c r="S742" s="74">
        <f t="shared" si="209"/>
        <v>-1.0913936421275139E-11</v>
      </c>
      <c r="T742" s="112">
        <f t="shared" si="210"/>
        <v>-6.2566719158558731E-12</v>
      </c>
      <c r="U742" s="112">
        <f t="shared" si="211"/>
        <v>0</v>
      </c>
      <c r="V742" s="75">
        <f t="shared" si="212"/>
        <v>0</v>
      </c>
      <c r="W742" s="74"/>
      <c r="X742" s="75">
        <f t="shared" si="213"/>
        <v>0</v>
      </c>
      <c r="Y742" s="156">
        <f t="shared" si="214"/>
        <v>-3.6289065407398638E-14</v>
      </c>
      <c r="Z742" s="46"/>
      <c r="AA742" s="107">
        <f t="shared" si="196"/>
        <v>0</v>
      </c>
    </row>
    <row r="743" spans="1:31" x14ac:dyDescent="0.2">
      <c r="A743" s="73">
        <v>112</v>
      </c>
      <c r="B743" s="86">
        <f t="shared" si="215"/>
        <v>0</v>
      </c>
      <c r="C743" s="50">
        <f t="shared" si="197"/>
        <v>0</v>
      </c>
      <c r="D743" s="86">
        <f t="shared" si="198"/>
        <v>0</v>
      </c>
      <c r="E743" s="86">
        <f t="shared" si="199"/>
        <v>0</v>
      </c>
      <c r="F743" s="74">
        <f t="shared" si="200"/>
        <v>0</v>
      </c>
      <c r="G743" s="112">
        <f t="shared" si="201"/>
        <v>0</v>
      </c>
      <c r="H743" s="112">
        <f t="shared" si="202"/>
        <v>0</v>
      </c>
      <c r="I743" s="75">
        <f t="shared" si="203"/>
        <v>0</v>
      </c>
      <c r="J743" s="74"/>
      <c r="K743" s="75">
        <f t="shared" si="204"/>
        <v>0</v>
      </c>
      <c r="L743" s="156">
        <f t="shared" si="205"/>
        <v>0</v>
      </c>
      <c r="M743" s="157"/>
      <c r="N743" s="73">
        <v>112</v>
      </c>
      <c r="O743" s="86">
        <f t="shared" si="216"/>
        <v>-1.0913936421275139E-11</v>
      </c>
      <c r="P743" s="50">
        <f t="shared" si="206"/>
        <v>0</v>
      </c>
      <c r="Q743" s="86">
        <f t="shared" si="207"/>
        <v>0</v>
      </c>
      <c r="R743" s="86">
        <f t="shared" si="208"/>
        <v>0</v>
      </c>
      <c r="S743" s="74">
        <f t="shared" si="209"/>
        <v>-1.0913936421275139E-11</v>
      </c>
      <c r="T743" s="112">
        <f t="shared" si="210"/>
        <v>-6.2253885562765935E-12</v>
      </c>
      <c r="U743" s="112">
        <f t="shared" si="211"/>
        <v>0</v>
      </c>
      <c r="V743" s="75">
        <f t="shared" si="212"/>
        <v>0</v>
      </c>
      <c r="W743" s="74"/>
      <c r="X743" s="75">
        <f t="shared" si="213"/>
        <v>0</v>
      </c>
      <c r="Y743" s="156">
        <f t="shared" si="214"/>
        <v>-3.6289065407398638E-14</v>
      </c>
      <c r="Z743" s="46"/>
      <c r="AA743" s="107">
        <f t="shared" si="196"/>
        <v>0</v>
      </c>
    </row>
    <row r="744" spans="1:31" x14ac:dyDescent="0.2">
      <c r="A744" s="73">
        <v>113</v>
      </c>
      <c r="B744" s="86">
        <f t="shared" si="215"/>
        <v>0</v>
      </c>
      <c r="C744" s="50">
        <f t="shared" si="197"/>
        <v>0</v>
      </c>
      <c r="D744" s="86">
        <f t="shared" si="198"/>
        <v>0</v>
      </c>
      <c r="E744" s="86">
        <f t="shared" si="199"/>
        <v>0</v>
      </c>
      <c r="F744" s="74">
        <f t="shared" si="200"/>
        <v>0</v>
      </c>
      <c r="G744" s="112">
        <f t="shared" si="201"/>
        <v>0</v>
      </c>
      <c r="H744" s="112">
        <f t="shared" si="202"/>
        <v>0</v>
      </c>
      <c r="I744" s="75">
        <f t="shared" si="203"/>
        <v>0</v>
      </c>
      <c r="J744" s="74"/>
      <c r="K744" s="75">
        <f t="shared" si="204"/>
        <v>0</v>
      </c>
      <c r="L744" s="156">
        <f t="shared" si="205"/>
        <v>0</v>
      </c>
      <c r="M744" s="157"/>
      <c r="N744" s="73">
        <v>113</v>
      </c>
      <c r="O744" s="86">
        <f t="shared" si="216"/>
        <v>-1.0913936421275139E-11</v>
      </c>
      <c r="P744" s="50">
        <f t="shared" si="206"/>
        <v>0</v>
      </c>
      <c r="Q744" s="86">
        <f t="shared" si="207"/>
        <v>0</v>
      </c>
      <c r="R744" s="86">
        <f t="shared" si="208"/>
        <v>0</v>
      </c>
      <c r="S744" s="74">
        <f t="shared" si="209"/>
        <v>-1.0913936421275139E-11</v>
      </c>
      <c r="T744" s="112">
        <f t="shared" si="210"/>
        <v>-6.1942616134952106E-12</v>
      </c>
      <c r="U744" s="112">
        <f t="shared" si="211"/>
        <v>0</v>
      </c>
      <c r="V744" s="75">
        <f t="shared" si="212"/>
        <v>0</v>
      </c>
      <c r="W744" s="74"/>
      <c r="X744" s="75">
        <f t="shared" si="213"/>
        <v>0</v>
      </c>
      <c r="Y744" s="156">
        <f t="shared" si="214"/>
        <v>-3.6289065407398638E-14</v>
      </c>
      <c r="Z744" s="46"/>
      <c r="AA744" s="107">
        <f t="shared" si="196"/>
        <v>0</v>
      </c>
    </row>
    <row r="745" spans="1:31" x14ac:dyDescent="0.2">
      <c r="A745" s="73">
        <v>114</v>
      </c>
      <c r="B745" s="86">
        <f t="shared" si="215"/>
        <v>0</v>
      </c>
      <c r="C745" s="50">
        <f t="shared" si="197"/>
        <v>0</v>
      </c>
      <c r="D745" s="86">
        <f t="shared" si="198"/>
        <v>0</v>
      </c>
      <c r="E745" s="86">
        <f t="shared" si="199"/>
        <v>0</v>
      </c>
      <c r="F745" s="74">
        <f t="shared" si="200"/>
        <v>0</v>
      </c>
      <c r="G745" s="112">
        <f t="shared" si="201"/>
        <v>0</v>
      </c>
      <c r="H745" s="112">
        <f t="shared" si="202"/>
        <v>0</v>
      </c>
      <c r="I745" s="75">
        <f t="shared" si="203"/>
        <v>0</v>
      </c>
      <c r="J745" s="74"/>
      <c r="K745" s="75">
        <f t="shared" si="204"/>
        <v>0</v>
      </c>
      <c r="L745" s="156">
        <f t="shared" si="205"/>
        <v>0</v>
      </c>
      <c r="M745" s="157"/>
      <c r="N745" s="73">
        <v>114</v>
      </c>
      <c r="O745" s="86">
        <f t="shared" si="216"/>
        <v>-1.0913936421275139E-11</v>
      </c>
      <c r="P745" s="50">
        <f t="shared" si="206"/>
        <v>0</v>
      </c>
      <c r="Q745" s="86">
        <f t="shared" si="207"/>
        <v>0</v>
      </c>
      <c r="R745" s="86">
        <f t="shared" si="208"/>
        <v>0</v>
      </c>
      <c r="S745" s="74">
        <f t="shared" si="209"/>
        <v>-1.0913936421275139E-11</v>
      </c>
      <c r="T745" s="112">
        <f t="shared" si="210"/>
        <v>-6.1632903054277337E-12</v>
      </c>
      <c r="U745" s="112">
        <f t="shared" si="211"/>
        <v>0</v>
      </c>
      <c r="V745" s="75">
        <f t="shared" si="212"/>
        <v>0</v>
      </c>
      <c r="W745" s="74"/>
      <c r="X745" s="75">
        <f t="shared" si="213"/>
        <v>0</v>
      </c>
      <c r="Y745" s="156">
        <f t="shared" si="214"/>
        <v>-3.6289065407398638E-14</v>
      </c>
      <c r="Z745" s="46"/>
      <c r="AA745" s="107">
        <f t="shared" si="196"/>
        <v>0</v>
      </c>
    </row>
    <row r="746" spans="1:31" x14ac:dyDescent="0.2">
      <c r="A746" s="73">
        <v>115</v>
      </c>
      <c r="B746" s="86">
        <f t="shared" si="215"/>
        <v>0</v>
      </c>
      <c r="C746" s="50">
        <f t="shared" si="197"/>
        <v>0</v>
      </c>
      <c r="D746" s="86">
        <f t="shared" si="198"/>
        <v>0</v>
      </c>
      <c r="E746" s="86">
        <f t="shared" si="199"/>
        <v>0</v>
      </c>
      <c r="F746" s="74">
        <f t="shared" si="200"/>
        <v>0</v>
      </c>
      <c r="G746" s="112">
        <f t="shared" si="201"/>
        <v>0</v>
      </c>
      <c r="H746" s="112">
        <f t="shared" si="202"/>
        <v>0</v>
      </c>
      <c r="I746" s="75">
        <f t="shared" si="203"/>
        <v>0</v>
      </c>
      <c r="J746" s="74"/>
      <c r="K746" s="75">
        <f t="shared" si="204"/>
        <v>0</v>
      </c>
      <c r="L746" s="156">
        <f t="shared" si="205"/>
        <v>0</v>
      </c>
      <c r="M746" s="157"/>
      <c r="N746" s="73">
        <v>115</v>
      </c>
      <c r="O746" s="86">
        <f t="shared" si="216"/>
        <v>-1.0913936421275139E-11</v>
      </c>
      <c r="P746" s="50">
        <f t="shared" si="206"/>
        <v>0</v>
      </c>
      <c r="Q746" s="86">
        <f t="shared" si="207"/>
        <v>0</v>
      </c>
      <c r="R746" s="86">
        <f t="shared" si="208"/>
        <v>0</v>
      </c>
      <c r="S746" s="74">
        <f t="shared" si="209"/>
        <v>-1.0913936421275139E-11</v>
      </c>
      <c r="T746" s="112">
        <f t="shared" si="210"/>
        <v>-6.132473853900595E-12</v>
      </c>
      <c r="U746" s="112">
        <f t="shared" si="211"/>
        <v>0</v>
      </c>
      <c r="V746" s="75">
        <f t="shared" si="212"/>
        <v>0</v>
      </c>
      <c r="W746" s="74"/>
      <c r="X746" s="75">
        <f t="shared" si="213"/>
        <v>0</v>
      </c>
      <c r="Y746" s="156">
        <f t="shared" si="214"/>
        <v>-3.6289065407398638E-14</v>
      </c>
      <c r="Z746" s="46"/>
      <c r="AA746" s="107">
        <f t="shared" si="196"/>
        <v>0</v>
      </c>
    </row>
    <row r="747" spans="1:31" x14ac:dyDescent="0.2">
      <c r="A747" s="73">
        <v>116</v>
      </c>
      <c r="B747" s="86">
        <f t="shared" si="215"/>
        <v>0</v>
      </c>
      <c r="C747" s="50">
        <f t="shared" si="197"/>
        <v>0</v>
      </c>
      <c r="D747" s="86">
        <f t="shared" si="198"/>
        <v>0</v>
      </c>
      <c r="E747" s="86">
        <f t="shared" si="199"/>
        <v>0</v>
      </c>
      <c r="F747" s="74">
        <f t="shared" si="200"/>
        <v>0</v>
      </c>
      <c r="G747" s="112">
        <f t="shared" si="201"/>
        <v>0</v>
      </c>
      <c r="H747" s="112">
        <f t="shared" si="202"/>
        <v>0</v>
      </c>
      <c r="I747" s="75">
        <f t="shared" si="203"/>
        <v>0</v>
      </c>
      <c r="J747" s="74"/>
      <c r="K747" s="75">
        <f t="shared" si="204"/>
        <v>0</v>
      </c>
      <c r="L747" s="156">
        <f t="shared" si="205"/>
        <v>0</v>
      </c>
      <c r="M747" s="157"/>
      <c r="N747" s="73">
        <v>116</v>
      </c>
      <c r="O747" s="86">
        <f t="shared" si="216"/>
        <v>-1.0913936421275139E-11</v>
      </c>
      <c r="P747" s="50">
        <f t="shared" si="206"/>
        <v>0</v>
      </c>
      <c r="Q747" s="86">
        <f t="shared" si="207"/>
        <v>0</v>
      </c>
      <c r="R747" s="86">
        <f t="shared" si="208"/>
        <v>0</v>
      </c>
      <c r="S747" s="74">
        <f t="shared" si="209"/>
        <v>-1.0913936421275139E-11</v>
      </c>
      <c r="T747" s="112">
        <f t="shared" si="210"/>
        <v>-6.1018114846310932E-12</v>
      </c>
      <c r="U747" s="112">
        <f t="shared" si="211"/>
        <v>0</v>
      </c>
      <c r="V747" s="75">
        <f t="shared" si="212"/>
        <v>0</v>
      </c>
      <c r="W747" s="74"/>
      <c r="X747" s="75">
        <f t="shared" si="213"/>
        <v>0</v>
      </c>
      <c r="Y747" s="156">
        <f t="shared" si="214"/>
        <v>-3.6289065407398638E-14</v>
      </c>
      <c r="Z747" s="46"/>
      <c r="AA747" s="107">
        <f t="shared" si="196"/>
        <v>0</v>
      </c>
    </row>
    <row r="748" spans="1:31" x14ac:dyDescent="0.2">
      <c r="A748" s="73">
        <v>117</v>
      </c>
      <c r="B748" s="86">
        <f t="shared" si="215"/>
        <v>0</v>
      </c>
      <c r="C748" s="50">
        <f t="shared" si="197"/>
        <v>0</v>
      </c>
      <c r="D748" s="86">
        <f t="shared" si="198"/>
        <v>0</v>
      </c>
      <c r="E748" s="86">
        <f t="shared" si="199"/>
        <v>0</v>
      </c>
      <c r="F748" s="74">
        <f t="shared" si="200"/>
        <v>0</v>
      </c>
      <c r="G748" s="112">
        <f t="shared" si="201"/>
        <v>0</v>
      </c>
      <c r="H748" s="112">
        <f t="shared" si="202"/>
        <v>0</v>
      </c>
      <c r="I748" s="75">
        <f t="shared" si="203"/>
        <v>0</v>
      </c>
      <c r="J748" s="74"/>
      <c r="K748" s="75">
        <f t="shared" si="204"/>
        <v>0</v>
      </c>
      <c r="L748" s="156">
        <f t="shared" si="205"/>
        <v>0</v>
      </c>
      <c r="M748" s="157"/>
      <c r="N748" s="73">
        <v>117</v>
      </c>
      <c r="O748" s="86">
        <f t="shared" si="216"/>
        <v>-1.0913936421275139E-11</v>
      </c>
      <c r="P748" s="50">
        <f t="shared" si="206"/>
        <v>0</v>
      </c>
      <c r="Q748" s="86">
        <f t="shared" si="207"/>
        <v>0</v>
      </c>
      <c r="R748" s="86">
        <f t="shared" si="208"/>
        <v>0</v>
      </c>
      <c r="S748" s="74">
        <f t="shared" si="209"/>
        <v>-1.0913936421275139E-11</v>
      </c>
      <c r="T748" s="112">
        <f t="shared" si="210"/>
        <v>-6.0713024272079369E-12</v>
      </c>
      <c r="U748" s="112">
        <f t="shared" si="211"/>
        <v>0</v>
      </c>
      <c r="V748" s="75">
        <f t="shared" si="212"/>
        <v>0</v>
      </c>
      <c r="W748" s="74"/>
      <c r="X748" s="75">
        <f t="shared" si="213"/>
        <v>0</v>
      </c>
      <c r="Y748" s="156">
        <f t="shared" si="214"/>
        <v>-3.6289065407398638E-14</v>
      </c>
      <c r="Z748" s="46"/>
      <c r="AA748" s="107">
        <f t="shared" si="196"/>
        <v>0</v>
      </c>
    </row>
    <row r="749" spans="1:31" x14ac:dyDescent="0.2">
      <c r="A749" s="73">
        <v>118</v>
      </c>
      <c r="B749" s="86">
        <f t="shared" si="215"/>
        <v>0</v>
      </c>
      <c r="C749" s="50">
        <f t="shared" si="197"/>
        <v>0</v>
      </c>
      <c r="D749" s="86">
        <f t="shared" si="198"/>
        <v>0</v>
      </c>
      <c r="E749" s="86">
        <f t="shared" si="199"/>
        <v>0</v>
      </c>
      <c r="F749" s="74">
        <f t="shared" si="200"/>
        <v>0</v>
      </c>
      <c r="G749" s="112">
        <f t="shared" si="201"/>
        <v>0</v>
      </c>
      <c r="H749" s="112">
        <f t="shared" si="202"/>
        <v>0</v>
      </c>
      <c r="I749" s="75">
        <f t="shared" si="203"/>
        <v>0</v>
      </c>
      <c r="J749" s="74"/>
      <c r="K749" s="75">
        <f t="shared" si="204"/>
        <v>0</v>
      </c>
      <c r="L749" s="156">
        <f t="shared" si="205"/>
        <v>0</v>
      </c>
      <c r="M749" s="157"/>
      <c r="N749" s="73">
        <v>118</v>
      </c>
      <c r="O749" s="86">
        <f t="shared" si="216"/>
        <v>-1.0913936421275139E-11</v>
      </c>
      <c r="P749" s="50">
        <f t="shared" si="206"/>
        <v>0</v>
      </c>
      <c r="Q749" s="86">
        <f t="shared" si="207"/>
        <v>0</v>
      </c>
      <c r="R749" s="86">
        <f t="shared" si="208"/>
        <v>0</v>
      </c>
      <c r="S749" s="74">
        <f t="shared" si="209"/>
        <v>-1.0913936421275139E-11</v>
      </c>
      <c r="T749" s="112">
        <f t="shared" si="210"/>
        <v>-6.0409459150718973E-12</v>
      </c>
      <c r="U749" s="112">
        <f t="shared" si="211"/>
        <v>0</v>
      </c>
      <c r="V749" s="75">
        <f t="shared" si="212"/>
        <v>0</v>
      </c>
      <c r="W749" s="74"/>
      <c r="X749" s="75">
        <f t="shared" si="213"/>
        <v>0</v>
      </c>
      <c r="Y749" s="156">
        <f t="shared" si="214"/>
        <v>-3.6289065407398638E-14</v>
      </c>
      <c r="Z749" s="46"/>
      <c r="AA749" s="107">
        <f t="shared" si="196"/>
        <v>0</v>
      </c>
    </row>
    <row r="750" spans="1:31" x14ac:dyDescent="0.2">
      <c r="A750" s="73">
        <v>119</v>
      </c>
      <c r="B750" s="86">
        <f t="shared" si="215"/>
        <v>0</v>
      </c>
      <c r="C750" s="50">
        <f t="shared" si="197"/>
        <v>0</v>
      </c>
      <c r="D750" s="86">
        <f t="shared" si="198"/>
        <v>0</v>
      </c>
      <c r="E750" s="86">
        <f t="shared" si="199"/>
        <v>0</v>
      </c>
      <c r="F750" s="74">
        <f t="shared" si="200"/>
        <v>0</v>
      </c>
      <c r="G750" s="112">
        <f t="shared" si="201"/>
        <v>0</v>
      </c>
      <c r="H750" s="112">
        <f t="shared" si="202"/>
        <v>0</v>
      </c>
      <c r="I750" s="75">
        <f t="shared" si="203"/>
        <v>0</v>
      </c>
      <c r="J750" s="74"/>
      <c r="K750" s="75">
        <f t="shared" si="204"/>
        <v>0</v>
      </c>
      <c r="L750" s="156">
        <f t="shared" si="205"/>
        <v>0</v>
      </c>
      <c r="M750" s="157"/>
      <c r="N750" s="73">
        <v>119</v>
      </c>
      <c r="O750" s="86">
        <f t="shared" si="216"/>
        <v>-1.0913936421275139E-11</v>
      </c>
      <c r="P750" s="50">
        <f t="shared" si="206"/>
        <v>0</v>
      </c>
      <c r="Q750" s="86">
        <f t="shared" si="207"/>
        <v>0</v>
      </c>
      <c r="R750" s="86">
        <f t="shared" si="208"/>
        <v>0</v>
      </c>
      <c r="S750" s="74">
        <f t="shared" si="209"/>
        <v>-1.0913936421275139E-11</v>
      </c>
      <c r="T750" s="112">
        <f t="shared" si="210"/>
        <v>-6.0107411854965384E-12</v>
      </c>
      <c r="U750" s="112">
        <f t="shared" si="211"/>
        <v>0</v>
      </c>
      <c r="V750" s="75">
        <f t="shared" si="212"/>
        <v>0</v>
      </c>
      <c r="W750" s="74"/>
      <c r="X750" s="75">
        <f t="shared" si="213"/>
        <v>0</v>
      </c>
      <c r="Y750" s="156">
        <f t="shared" si="214"/>
        <v>-3.6289065407398638E-14</v>
      </c>
      <c r="Z750" s="46"/>
      <c r="AA750" s="107">
        <f t="shared" si="196"/>
        <v>0</v>
      </c>
    </row>
    <row r="751" spans="1:31" x14ac:dyDescent="0.2">
      <c r="A751" s="73">
        <v>120</v>
      </c>
      <c r="B751" s="86">
        <f t="shared" si="215"/>
        <v>0</v>
      </c>
      <c r="C751" s="50">
        <f t="shared" si="197"/>
        <v>0</v>
      </c>
      <c r="D751" s="86">
        <f t="shared" si="198"/>
        <v>0</v>
      </c>
      <c r="E751" s="86">
        <f t="shared" si="199"/>
        <v>0</v>
      </c>
      <c r="F751" s="74">
        <f t="shared" si="200"/>
        <v>0</v>
      </c>
      <c r="G751" s="112">
        <f t="shared" si="201"/>
        <v>0</v>
      </c>
      <c r="H751" s="112">
        <f t="shared" si="202"/>
        <v>0</v>
      </c>
      <c r="I751" s="75">
        <f t="shared" si="203"/>
        <v>0</v>
      </c>
      <c r="J751" s="74"/>
      <c r="K751" s="75">
        <f t="shared" si="204"/>
        <v>0</v>
      </c>
      <c r="L751" s="156">
        <f t="shared" si="205"/>
        <v>0</v>
      </c>
      <c r="M751" s="157"/>
      <c r="N751" s="73">
        <v>120</v>
      </c>
      <c r="O751" s="86">
        <f t="shared" si="216"/>
        <v>-1.0913936421275139E-11</v>
      </c>
      <c r="P751" s="50">
        <f t="shared" si="206"/>
        <v>0</v>
      </c>
      <c r="Q751" s="86">
        <f t="shared" si="207"/>
        <v>0</v>
      </c>
      <c r="R751" s="86">
        <f t="shared" si="208"/>
        <v>0</v>
      </c>
      <c r="S751" s="74">
        <f t="shared" si="209"/>
        <v>-1.0913936421275139E-11</v>
      </c>
      <c r="T751" s="112">
        <f t="shared" si="210"/>
        <v>-5.9806874795690551E-12</v>
      </c>
      <c r="U751" s="112">
        <f t="shared" si="211"/>
        <v>0</v>
      </c>
      <c r="V751" s="75">
        <f t="shared" si="212"/>
        <v>0</v>
      </c>
      <c r="W751" s="74"/>
      <c r="X751" s="75">
        <f t="shared" si="213"/>
        <v>0</v>
      </c>
      <c r="Y751" s="156">
        <f t="shared" si="214"/>
        <v>-3.6289065407398638E-14</v>
      </c>
      <c r="Z751" s="46"/>
      <c r="AA751" s="107">
        <f t="shared" si="196"/>
        <v>0</v>
      </c>
    </row>
    <row r="752" spans="1:31" x14ac:dyDescent="0.2">
      <c r="A752" s="73">
        <v>121</v>
      </c>
      <c r="B752" s="86">
        <f t="shared" si="215"/>
        <v>0</v>
      </c>
      <c r="C752" s="50">
        <f t="shared" si="197"/>
        <v>0</v>
      </c>
      <c r="D752" s="86">
        <f t="shared" si="198"/>
        <v>0</v>
      </c>
      <c r="E752" s="86">
        <f t="shared" si="199"/>
        <v>0</v>
      </c>
      <c r="F752" s="74">
        <f t="shared" si="200"/>
        <v>0</v>
      </c>
      <c r="G752" s="112">
        <f t="shared" si="201"/>
        <v>0</v>
      </c>
      <c r="H752" s="112">
        <f t="shared" si="202"/>
        <v>0</v>
      </c>
      <c r="I752" s="75">
        <f t="shared" si="203"/>
        <v>0</v>
      </c>
      <c r="J752" s="74"/>
      <c r="K752" s="75">
        <f t="shared" si="204"/>
        <v>0</v>
      </c>
      <c r="L752" s="156">
        <f t="shared" si="205"/>
        <v>0</v>
      </c>
      <c r="M752" s="157"/>
      <c r="N752" s="73">
        <v>121</v>
      </c>
      <c r="O752" s="86">
        <f t="shared" si="216"/>
        <v>-1.0913936421275139E-11</v>
      </c>
      <c r="P752" s="50">
        <f t="shared" si="206"/>
        <v>0</v>
      </c>
      <c r="Q752" s="86">
        <f t="shared" si="207"/>
        <v>0</v>
      </c>
      <c r="R752" s="86">
        <f t="shared" si="208"/>
        <v>0</v>
      </c>
      <c r="S752" s="74">
        <f t="shared" si="209"/>
        <v>-1.0913936421275139E-11</v>
      </c>
      <c r="T752" s="112">
        <f t="shared" si="210"/>
        <v>-5.9507840421712102E-12</v>
      </c>
      <c r="U752" s="112">
        <f t="shared" si="211"/>
        <v>0</v>
      </c>
      <c r="V752" s="75">
        <f t="shared" si="212"/>
        <v>0</v>
      </c>
      <c r="W752" s="74"/>
      <c r="X752" s="75">
        <f t="shared" si="213"/>
        <v>0</v>
      </c>
      <c r="Y752" s="156">
        <f t="shared" si="214"/>
        <v>-3.6289065407398638E-14</v>
      </c>
      <c r="Z752" s="46"/>
      <c r="AA752" s="107">
        <f t="shared" si="196"/>
        <v>0</v>
      </c>
    </row>
    <row r="753" spans="1:27" x14ac:dyDescent="0.2">
      <c r="A753" s="73">
        <v>122</v>
      </c>
      <c r="B753" s="86">
        <f t="shared" si="215"/>
        <v>0</v>
      </c>
      <c r="C753" s="50">
        <f t="shared" si="197"/>
        <v>0</v>
      </c>
      <c r="D753" s="86">
        <f t="shared" si="198"/>
        <v>0</v>
      </c>
      <c r="E753" s="86">
        <f t="shared" si="199"/>
        <v>0</v>
      </c>
      <c r="F753" s="74">
        <f t="shared" si="200"/>
        <v>0</v>
      </c>
      <c r="G753" s="112">
        <f t="shared" si="201"/>
        <v>0</v>
      </c>
      <c r="H753" s="112">
        <f t="shared" si="202"/>
        <v>0</v>
      </c>
      <c r="I753" s="75">
        <f t="shared" si="203"/>
        <v>0</v>
      </c>
      <c r="J753" s="74"/>
      <c r="K753" s="75">
        <f t="shared" si="204"/>
        <v>0</v>
      </c>
      <c r="L753" s="156">
        <f t="shared" si="205"/>
        <v>0</v>
      </c>
      <c r="M753" s="157"/>
      <c r="N753" s="73">
        <v>122</v>
      </c>
      <c r="O753" s="86">
        <f t="shared" si="216"/>
        <v>-1.0913936421275139E-11</v>
      </c>
      <c r="P753" s="50">
        <f t="shared" si="206"/>
        <v>0</v>
      </c>
      <c r="Q753" s="86">
        <f t="shared" si="207"/>
        <v>0</v>
      </c>
      <c r="R753" s="86">
        <f t="shared" si="208"/>
        <v>0</v>
      </c>
      <c r="S753" s="74">
        <f t="shared" si="209"/>
        <v>-1.0913936421275139E-11</v>
      </c>
      <c r="T753" s="112">
        <f t="shared" si="210"/>
        <v>-5.9210301219603543E-12</v>
      </c>
      <c r="U753" s="112">
        <f t="shared" si="211"/>
        <v>0</v>
      </c>
      <c r="V753" s="75">
        <f t="shared" si="212"/>
        <v>0</v>
      </c>
      <c r="W753" s="74"/>
      <c r="X753" s="75">
        <f t="shared" si="213"/>
        <v>0</v>
      </c>
      <c r="Y753" s="156">
        <f t="shared" si="214"/>
        <v>-3.6289065407398638E-14</v>
      </c>
      <c r="Z753" s="46"/>
      <c r="AA753" s="107">
        <f t="shared" si="196"/>
        <v>0</v>
      </c>
    </row>
    <row r="754" spans="1:27" x14ac:dyDescent="0.2">
      <c r="A754" s="73">
        <v>123</v>
      </c>
      <c r="B754" s="86">
        <f t="shared" si="215"/>
        <v>0</v>
      </c>
      <c r="C754" s="50">
        <f t="shared" si="197"/>
        <v>0</v>
      </c>
      <c r="D754" s="86">
        <f t="shared" si="198"/>
        <v>0</v>
      </c>
      <c r="E754" s="86">
        <f t="shared" si="199"/>
        <v>0</v>
      </c>
      <c r="F754" s="74">
        <f t="shared" si="200"/>
        <v>0</v>
      </c>
      <c r="G754" s="112">
        <f t="shared" si="201"/>
        <v>0</v>
      </c>
      <c r="H754" s="112">
        <f t="shared" si="202"/>
        <v>0</v>
      </c>
      <c r="I754" s="75">
        <f t="shared" si="203"/>
        <v>0</v>
      </c>
      <c r="J754" s="74"/>
      <c r="K754" s="75">
        <f t="shared" si="204"/>
        <v>0</v>
      </c>
      <c r="L754" s="156">
        <f t="shared" si="205"/>
        <v>0</v>
      </c>
      <c r="M754" s="157"/>
      <c r="N754" s="73">
        <v>123</v>
      </c>
      <c r="O754" s="86">
        <f t="shared" si="216"/>
        <v>-1.0913936421275139E-11</v>
      </c>
      <c r="P754" s="50">
        <f t="shared" si="206"/>
        <v>0</v>
      </c>
      <c r="Q754" s="86">
        <f t="shared" si="207"/>
        <v>0</v>
      </c>
      <c r="R754" s="86">
        <f t="shared" si="208"/>
        <v>0</v>
      </c>
      <c r="S754" s="74">
        <f t="shared" si="209"/>
        <v>-1.0913936421275139E-11</v>
      </c>
      <c r="T754" s="112">
        <f t="shared" si="210"/>
        <v>-5.8914249713505514E-12</v>
      </c>
      <c r="U754" s="112">
        <f t="shared" si="211"/>
        <v>0</v>
      </c>
      <c r="V754" s="75">
        <f t="shared" si="212"/>
        <v>0</v>
      </c>
      <c r="W754" s="74"/>
      <c r="X754" s="75">
        <f t="shared" si="213"/>
        <v>0</v>
      </c>
      <c r="Y754" s="156">
        <f t="shared" si="214"/>
        <v>-3.6289065407398638E-14</v>
      </c>
      <c r="Z754" s="46"/>
      <c r="AA754" s="107">
        <f t="shared" si="196"/>
        <v>0</v>
      </c>
    </row>
    <row r="755" spans="1:27" x14ac:dyDescent="0.2">
      <c r="A755" s="73">
        <v>124</v>
      </c>
      <c r="B755" s="86">
        <f t="shared" si="215"/>
        <v>0</v>
      </c>
      <c r="C755" s="50">
        <f t="shared" si="197"/>
        <v>0</v>
      </c>
      <c r="D755" s="86">
        <f t="shared" si="198"/>
        <v>0</v>
      </c>
      <c r="E755" s="86">
        <f t="shared" si="199"/>
        <v>0</v>
      </c>
      <c r="F755" s="74">
        <f t="shared" si="200"/>
        <v>0</v>
      </c>
      <c r="G755" s="112">
        <f t="shared" si="201"/>
        <v>0</v>
      </c>
      <c r="H755" s="112">
        <f t="shared" si="202"/>
        <v>0</v>
      </c>
      <c r="I755" s="75">
        <f t="shared" si="203"/>
        <v>0</v>
      </c>
      <c r="J755" s="74"/>
      <c r="K755" s="75">
        <f t="shared" si="204"/>
        <v>0</v>
      </c>
      <c r="L755" s="156">
        <f t="shared" si="205"/>
        <v>0</v>
      </c>
      <c r="M755" s="157"/>
      <c r="N755" s="73">
        <v>124</v>
      </c>
      <c r="O755" s="86">
        <f t="shared" si="216"/>
        <v>-1.0913936421275139E-11</v>
      </c>
      <c r="P755" s="50">
        <f t="shared" si="206"/>
        <v>0</v>
      </c>
      <c r="Q755" s="86">
        <f t="shared" si="207"/>
        <v>0</v>
      </c>
      <c r="R755" s="86">
        <f t="shared" si="208"/>
        <v>0</v>
      </c>
      <c r="S755" s="74">
        <f t="shared" si="209"/>
        <v>-1.0913936421275139E-11</v>
      </c>
      <c r="T755" s="112">
        <f t="shared" si="210"/>
        <v>-5.8619678464938002E-12</v>
      </c>
      <c r="U755" s="112">
        <f t="shared" si="211"/>
        <v>0</v>
      </c>
      <c r="V755" s="75">
        <f t="shared" si="212"/>
        <v>0</v>
      </c>
      <c r="W755" s="74"/>
      <c r="X755" s="75">
        <f t="shared" si="213"/>
        <v>0</v>
      </c>
      <c r="Y755" s="156">
        <f t="shared" si="214"/>
        <v>-3.6289065407398638E-14</v>
      </c>
      <c r="Z755" s="46"/>
      <c r="AA755" s="107">
        <f t="shared" si="196"/>
        <v>0</v>
      </c>
    </row>
    <row r="756" spans="1:27" x14ac:dyDescent="0.2">
      <c r="A756" s="73">
        <v>125</v>
      </c>
      <c r="B756" s="86">
        <f t="shared" si="215"/>
        <v>0</v>
      </c>
      <c r="C756" s="50">
        <f t="shared" si="197"/>
        <v>0</v>
      </c>
      <c r="D756" s="86">
        <f t="shared" si="198"/>
        <v>0</v>
      </c>
      <c r="E756" s="86">
        <f t="shared" si="199"/>
        <v>0</v>
      </c>
      <c r="F756" s="74">
        <f t="shared" si="200"/>
        <v>0</v>
      </c>
      <c r="G756" s="112">
        <f t="shared" si="201"/>
        <v>0</v>
      </c>
      <c r="H756" s="112">
        <f t="shared" si="202"/>
        <v>0</v>
      </c>
      <c r="I756" s="75">
        <f t="shared" si="203"/>
        <v>0</v>
      </c>
      <c r="J756" s="74"/>
      <c r="K756" s="75">
        <f t="shared" si="204"/>
        <v>0</v>
      </c>
      <c r="L756" s="156">
        <f t="shared" si="205"/>
        <v>0</v>
      </c>
      <c r="M756" s="157"/>
      <c r="N756" s="73">
        <v>125</v>
      </c>
      <c r="O756" s="86">
        <f t="shared" si="216"/>
        <v>-1.0913936421275139E-11</v>
      </c>
      <c r="P756" s="50">
        <f t="shared" si="206"/>
        <v>0</v>
      </c>
      <c r="Q756" s="86">
        <f t="shared" si="207"/>
        <v>0</v>
      </c>
      <c r="R756" s="86">
        <f t="shared" si="208"/>
        <v>0</v>
      </c>
      <c r="S756" s="74">
        <f t="shared" si="209"/>
        <v>-1.0913936421275139E-11</v>
      </c>
      <c r="T756" s="112">
        <f t="shared" si="210"/>
        <v>-5.8326580072613319E-12</v>
      </c>
      <c r="U756" s="112">
        <f t="shared" si="211"/>
        <v>0</v>
      </c>
      <c r="V756" s="75">
        <f t="shared" si="212"/>
        <v>0</v>
      </c>
      <c r="W756" s="74"/>
      <c r="X756" s="75">
        <f t="shared" si="213"/>
        <v>0</v>
      </c>
      <c r="Y756" s="156">
        <f t="shared" si="214"/>
        <v>-3.6289065407398638E-14</v>
      </c>
      <c r="Z756" s="46"/>
      <c r="AA756" s="107">
        <f t="shared" si="196"/>
        <v>0</v>
      </c>
    </row>
    <row r="757" spans="1:27" x14ac:dyDescent="0.2">
      <c r="A757" s="73">
        <v>126</v>
      </c>
      <c r="B757" s="86">
        <f t="shared" si="215"/>
        <v>0</v>
      </c>
      <c r="C757" s="50">
        <f t="shared" si="197"/>
        <v>0</v>
      </c>
      <c r="D757" s="86">
        <f t="shared" si="198"/>
        <v>0</v>
      </c>
      <c r="E757" s="86">
        <f t="shared" si="199"/>
        <v>0</v>
      </c>
      <c r="F757" s="74">
        <f t="shared" si="200"/>
        <v>0</v>
      </c>
      <c r="G757" s="112">
        <f t="shared" si="201"/>
        <v>0</v>
      </c>
      <c r="H757" s="112">
        <f t="shared" si="202"/>
        <v>0</v>
      </c>
      <c r="I757" s="75">
        <f t="shared" si="203"/>
        <v>0</v>
      </c>
      <c r="J757" s="74"/>
      <c r="K757" s="75">
        <f t="shared" si="204"/>
        <v>0</v>
      </c>
      <c r="L757" s="156">
        <f t="shared" si="205"/>
        <v>0</v>
      </c>
      <c r="M757" s="157"/>
      <c r="N757" s="73">
        <v>126</v>
      </c>
      <c r="O757" s="86">
        <f t="shared" si="216"/>
        <v>-1.0913936421275139E-11</v>
      </c>
      <c r="P757" s="50">
        <f t="shared" si="206"/>
        <v>0</v>
      </c>
      <c r="Q757" s="86">
        <f t="shared" si="207"/>
        <v>0</v>
      </c>
      <c r="R757" s="86">
        <f t="shared" si="208"/>
        <v>0</v>
      </c>
      <c r="S757" s="74">
        <f t="shared" si="209"/>
        <v>-1.0913936421275139E-11</v>
      </c>
      <c r="T757" s="112">
        <f t="shared" si="210"/>
        <v>-5.8034947172250247E-12</v>
      </c>
      <c r="U757" s="112">
        <f t="shared" si="211"/>
        <v>0</v>
      </c>
      <c r="V757" s="75">
        <f t="shared" si="212"/>
        <v>0</v>
      </c>
      <c r="W757" s="74"/>
      <c r="X757" s="75">
        <f t="shared" si="213"/>
        <v>0</v>
      </c>
      <c r="Y757" s="156">
        <f t="shared" si="214"/>
        <v>-3.6289065407398638E-14</v>
      </c>
      <c r="Z757" s="46"/>
      <c r="AA757" s="107">
        <f t="shared" si="196"/>
        <v>0</v>
      </c>
    </row>
    <row r="758" spans="1:27" x14ac:dyDescent="0.2">
      <c r="A758" s="73">
        <v>127</v>
      </c>
      <c r="B758" s="86">
        <f t="shared" si="215"/>
        <v>0</v>
      </c>
      <c r="C758" s="50">
        <f t="shared" si="197"/>
        <v>0</v>
      </c>
      <c r="D758" s="86">
        <f t="shared" si="198"/>
        <v>0</v>
      </c>
      <c r="E758" s="86">
        <f t="shared" si="199"/>
        <v>0</v>
      </c>
      <c r="F758" s="74">
        <f t="shared" si="200"/>
        <v>0</v>
      </c>
      <c r="G758" s="112">
        <f t="shared" si="201"/>
        <v>0</v>
      </c>
      <c r="H758" s="112">
        <f t="shared" si="202"/>
        <v>0</v>
      </c>
      <c r="I758" s="75">
        <f t="shared" si="203"/>
        <v>0</v>
      </c>
      <c r="J758" s="74"/>
      <c r="K758" s="75">
        <f t="shared" si="204"/>
        <v>0</v>
      </c>
      <c r="L758" s="156">
        <f t="shared" si="205"/>
        <v>0</v>
      </c>
      <c r="M758" s="157"/>
      <c r="N758" s="73">
        <v>127</v>
      </c>
      <c r="O758" s="86">
        <f t="shared" si="216"/>
        <v>-1.0913936421275139E-11</v>
      </c>
      <c r="P758" s="50">
        <f t="shared" si="206"/>
        <v>0</v>
      </c>
      <c r="Q758" s="86">
        <f t="shared" si="207"/>
        <v>0</v>
      </c>
      <c r="R758" s="86">
        <f t="shared" si="208"/>
        <v>0</v>
      </c>
      <c r="S758" s="74">
        <f t="shared" si="209"/>
        <v>-1.0913936421275139E-11</v>
      </c>
      <c r="T758" s="112">
        <f t="shared" si="210"/>
        <v>-5.7744772436388998E-12</v>
      </c>
      <c r="U758" s="112">
        <f t="shared" si="211"/>
        <v>0</v>
      </c>
      <c r="V758" s="75">
        <f t="shared" si="212"/>
        <v>0</v>
      </c>
      <c r="W758" s="74"/>
      <c r="X758" s="75">
        <f t="shared" si="213"/>
        <v>0</v>
      </c>
      <c r="Y758" s="156">
        <f t="shared" si="214"/>
        <v>-3.6289065407398638E-14</v>
      </c>
      <c r="Z758" s="46"/>
      <c r="AA758" s="107">
        <f t="shared" si="196"/>
        <v>0</v>
      </c>
    </row>
    <row r="759" spans="1:27" x14ac:dyDescent="0.2">
      <c r="A759" s="73">
        <v>128</v>
      </c>
      <c r="B759" s="86">
        <f t="shared" si="215"/>
        <v>0</v>
      </c>
      <c r="C759" s="50">
        <f t="shared" si="197"/>
        <v>0</v>
      </c>
      <c r="D759" s="86">
        <f t="shared" si="198"/>
        <v>0</v>
      </c>
      <c r="E759" s="86">
        <f t="shared" si="199"/>
        <v>0</v>
      </c>
      <c r="F759" s="74">
        <f t="shared" si="200"/>
        <v>0</v>
      </c>
      <c r="G759" s="112">
        <f t="shared" si="201"/>
        <v>0</v>
      </c>
      <c r="H759" s="112">
        <f t="shared" si="202"/>
        <v>0</v>
      </c>
      <c r="I759" s="75">
        <f t="shared" si="203"/>
        <v>0</v>
      </c>
      <c r="J759" s="74"/>
      <c r="K759" s="75">
        <f t="shared" si="204"/>
        <v>0</v>
      </c>
      <c r="L759" s="156">
        <f t="shared" si="205"/>
        <v>0</v>
      </c>
      <c r="M759" s="157"/>
      <c r="N759" s="73">
        <v>128</v>
      </c>
      <c r="O759" s="86">
        <f t="shared" si="216"/>
        <v>-1.0913936421275139E-11</v>
      </c>
      <c r="P759" s="50">
        <f t="shared" si="206"/>
        <v>0</v>
      </c>
      <c r="Q759" s="86">
        <f t="shared" si="207"/>
        <v>0</v>
      </c>
      <c r="R759" s="86">
        <f t="shared" si="208"/>
        <v>0</v>
      </c>
      <c r="S759" s="74">
        <f t="shared" si="209"/>
        <v>-1.0913936421275139E-11</v>
      </c>
      <c r="T759" s="112">
        <f t="shared" si="210"/>
        <v>-5.7456048574207056E-12</v>
      </c>
      <c r="U759" s="112">
        <f t="shared" si="211"/>
        <v>0</v>
      </c>
      <c r="V759" s="75">
        <f t="shared" si="212"/>
        <v>0</v>
      </c>
      <c r="W759" s="74"/>
      <c r="X759" s="75">
        <f t="shared" si="213"/>
        <v>0</v>
      </c>
      <c r="Y759" s="156">
        <f t="shared" si="214"/>
        <v>-3.6289065407398638E-14</v>
      </c>
      <c r="Z759" s="46"/>
      <c r="AA759" s="107">
        <f t="shared" ref="AA759:AA790" si="217">+V759-I759</f>
        <v>0</v>
      </c>
    </row>
    <row r="760" spans="1:27" x14ac:dyDescent="0.2">
      <c r="A760" s="73">
        <v>129</v>
      </c>
      <c r="B760" s="86">
        <f t="shared" si="215"/>
        <v>0</v>
      </c>
      <c r="C760" s="50">
        <f t="shared" ref="C760:C791" si="218">(IF(A760&lt;$B$613,PMT($B$614/12,$B$613,-$B$612,$B$617,$B$620),IF(A760=$B$613,PMT($B$614/12,$B$613,-$B$612,$B$617,$B$620)+$B$617,0)))</f>
        <v>0</v>
      </c>
      <c r="D760" s="86">
        <f t="shared" ref="D760:D791" si="219">IF(A760&lt;=$B$613,B760*$B$614/12,0)</f>
        <v>0</v>
      </c>
      <c r="E760" s="86">
        <f t="shared" ref="E760:E791" si="220">C760-D760</f>
        <v>0</v>
      </c>
      <c r="F760" s="74">
        <f t="shared" ref="F760:F791" si="221">(B760-E760)</f>
        <v>0</v>
      </c>
      <c r="G760" s="112">
        <f t="shared" ref="G760:G791" si="222">B760*(1-B$621)^($A760)</f>
        <v>0</v>
      </c>
      <c r="H760" s="112">
        <f t="shared" ref="H760:H791" si="223">IF(A760&lt;=$B$613,G760*$B$614/12,0)</f>
        <v>0</v>
      </c>
      <c r="I760" s="75">
        <f t="shared" ref="I760:I791" si="224">C760</f>
        <v>0</v>
      </c>
      <c r="J760" s="74"/>
      <c r="K760" s="75">
        <f t="shared" ref="K760:K791" si="225">C760</f>
        <v>0</v>
      </c>
      <c r="L760" s="156">
        <f t="shared" ref="L760:L791" si="226">F760/$B$612*100</f>
        <v>0</v>
      </c>
      <c r="M760" s="157"/>
      <c r="N760" s="73">
        <v>129</v>
      </c>
      <c r="O760" s="86">
        <f t="shared" si="216"/>
        <v>-1.0913936421275139E-11</v>
      </c>
      <c r="P760" s="50">
        <f t="shared" ref="P760:P791" si="227">(IF(N760&lt;$B$613,PMT($B$615/12,$B$613,-$B$612,$B$617,0),IF(N760=$B$613,PMT($B$615/12,$B$613,-$B$612,$B$617,0)+$B$617,0)))</f>
        <v>0</v>
      </c>
      <c r="Q760" s="86">
        <f t="shared" ref="Q760:Q791" si="228">IF(N760&lt;=$B$613,O760*$B$615/12,0)</f>
        <v>0</v>
      </c>
      <c r="R760" s="86">
        <f t="shared" ref="R760:R791" si="229">P760-Q760</f>
        <v>0</v>
      </c>
      <c r="S760" s="74">
        <f t="shared" ref="S760:S791" si="230">(O760-R760)</f>
        <v>-1.0913936421275139E-11</v>
      </c>
      <c r="T760" s="112">
        <f t="shared" ref="T760:T791" si="231">O760*(1-B$621)^($N760)</f>
        <v>-5.7168768331336015E-12</v>
      </c>
      <c r="U760" s="112">
        <f t="shared" ref="U760:U791" si="232">IF(N760&lt;=$B$613,T760*$B$615/12,0)</f>
        <v>0</v>
      </c>
      <c r="V760" s="75">
        <f t="shared" ref="V760:V791" si="233">P760</f>
        <v>0</v>
      </c>
      <c r="W760" s="74"/>
      <c r="X760" s="75">
        <f t="shared" ref="X760:X791" si="234">P760</f>
        <v>0</v>
      </c>
      <c r="Y760" s="156">
        <f t="shared" ref="Y760:Y791" si="235">S760/$B$612*100</f>
        <v>-3.6289065407398638E-14</v>
      </c>
      <c r="Z760" s="46"/>
      <c r="AA760" s="107">
        <f t="shared" si="217"/>
        <v>0</v>
      </c>
    </row>
    <row r="761" spans="1:27" x14ac:dyDescent="0.2">
      <c r="A761" s="73">
        <v>130</v>
      </c>
      <c r="B761" s="86">
        <f t="shared" ref="B761:B792" si="236">+F760</f>
        <v>0</v>
      </c>
      <c r="C761" s="50">
        <f t="shared" si="218"/>
        <v>0</v>
      </c>
      <c r="D761" s="86">
        <f t="shared" si="219"/>
        <v>0</v>
      </c>
      <c r="E761" s="86">
        <f t="shared" si="220"/>
        <v>0</v>
      </c>
      <c r="F761" s="74">
        <f t="shared" si="221"/>
        <v>0</v>
      </c>
      <c r="G761" s="112">
        <f t="shared" si="222"/>
        <v>0</v>
      </c>
      <c r="H761" s="112">
        <f t="shared" si="223"/>
        <v>0</v>
      </c>
      <c r="I761" s="75">
        <f t="shared" si="224"/>
        <v>0</v>
      </c>
      <c r="J761" s="74"/>
      <c r="K761" s="75">
        <f t="shared" si="225"/>
        <v>0</v>
      </c>
      <c r="L761" s="156">
        <f t="shared" si="226"/>
        <v>0</v>
      </c>
      <c r="M761" s="157"/>
      <c r="N761" s="73">
        <v>130</v>
      </c>
      <c r="O761" s="86">
        <f t="shared" ref="O761:O792" si="237">+S760</f>
        <v>-1.0913936421275139E-11</v>
      </c>
      <c r="P761" s="50">
        <f t="shared" si="227"/>
        <v>0</v>
      </c>
      <c r="Q761" s="86">
        <f t="shared" si="228"/>
        <v>0</v>
      </c>
      <c r="R761" s="86">
        <f t="shared" si="229"/>
        <v>0</v>
      </c>
      <c r="S761" s="74">
        <f t="shared" si="230"/>
        <v>-1.0913936421275139E-11</v>
      </c>
      <c r="T761" s="112">
        <f t="shared" si="231"/>
        <v>-5.6882924489679338E-12</v>
      </c>
      <c r="U761" s="112">
        <f t="shared" si="232"/>
        <v>0</v>
      </c>
      <c r="V761" s="75">
        <f t="shared" si="233"/>
        <v>0</v>
      </c>
      <c r="W761" s="74"/>
      <c r="X761" s="75">
        <f t="shared" si="234"/>
        <v>0</v>
      </c>
      <c r="Y761" s="156">
        <f t="shared" si="235"/>
        <v>-3.6289065407398638E-14</v>
      </c>
      <c r="Z761" s="46"/>
      <c r="AA761" s="107">
        <f t="shared" si="217"/>
        <v>0</v>
      </c>
    </row>
    <row r="762" spans="1:27" x14ac:dyDescent="0.2">
      <c r="A762" s="73">
        <v>131</v>
      </c>
      <c r="B762" s="86">
        <f t="shared" si="236"/>
        <v>0</v>
      </c>
      <c r="C762" s="50">
        <f t="shared" si="218"/>
        <v>0</v>
      </c>
      <c r="D762" s="86">
        <f t="shared" si="219"/>
        <v>0</v>
      </c>
      <c r="E762" s="86">
        <f t="shared" si="220"/>
        <v>0</v>
      </c>
      <c r="F762" s="74">
        <f t="shared" si="221"/>
        <v>0</v>
      </c>
      <c r="G762" s="112">
        <f t="shared" si="222"/>
        <v>0</v>
      </c>
      <c r="H762" s="112">
        <f t="shared" si="223"/>
        <v>0</v>
      </c>
      <c r="I762" s="75">
        <f t="shared" si="224"/>
        <v>0</v>
      </c>
      <c r="J762" s="74"/>
      <c r="K762" s="75">
        <f t="shared" si="225"/>
        <v>0</v>
      </c>
      <c r="L762" s="156">
        <f t="shared" si="226"/>
        <v>0</v>
      </c>
      <c r="M762" s="157"/>
      <c r="N762" s="73">
        <v>131</v>
      </c>
      <c r="O762" s="86">
        <f t="shared" si="237"/>
        <v>-1.0913936421275139E-11</v>
      </c>
      <c r="P762" s="50">
        <f t="shared" si="227"/>
        <v>0</v>
      </c>
      <c r="Q762" s="86">
        <f t="shared" si="228"/>
        <v>0</v>
      </c>
      <c r="R762" s="86">
        <f t="shared" si="229"/>
        <v>0</v>
      </c>
      <c r="S762" s="74">
        <f t="shared" si="230"/>
        <v>-1.0913936421275139E-11</v>
      </c>
      <c r="T762" s="112">
        <f t="shared" si="231"/>
        <v>-5.6598509867230938E-12</v>
      </c>
      <c r="U762" s="112">
        <f t="shared" si="232"/>
        <v>0</v>
      </c>
      <c r="V762" s="75">
        <f t="shared" si="233"/>
        <v>0</v>
      </c>
      <c r="W762" s="74"/>
      <c r="X762" s="75">
        <f t="shared" si="234"/>
        <v>0</v>
      </c>
      <c r="Y762" s="156">
        <f t="shared" si="235"/>
        <v>-3.6289065407398638E-14</v>
      </c>
      <c r="Z762" s="46"/>
      <c r="AA762" s="107">
        <f t="shared" si="217"/>
        <v>0</v>
      </c>
    </row>
    <row r="763" spans="1:27" x14ac:dyDescent="0.2">
      <c r="A763" s="73">
        <v>132</v>
      </c>
      <c r="B763" s="86">
        <f t="shared" si="236"/>
        <v>0</v>
      </c>
      <c r="C763" s="50">
        <f t="shared" si="218"/>
        <v>0</v>
      </c>
      <c r="D763" s="86">
        <f t="shared" si="219"/>
        <v>0</v>
      </c>
      <c r="E763" s="86">
        <f t="shared" si="220"/>
        <v>0</v>
      </c>
      <c r="F763" s="74">
        <f t="shared" si="221"/>
        <v>0</v>
      </c>
      <c r="G763" s="112">
        <f t="shared" si="222"/>
        <v>0</v>
      </c>
      <c r="H763" s="112">
        <f t="shared" si="223"/>
        <v>0</v>
      </c>
      <c r="I763" s="75">
        <f t="shared" si="224"/>
        <v>0</v>
      </c>
      <c r="J763" s="74"/>
      <c r="K763" s="75">
        <f t="shared" si="225"/>
        <v>0</v>
      </c>
      <c r="L763" s="156">
        <f t="shared" si="226"/>
        <v>0</v>
      </c>
      <c r="M763" s="157"/>
      <c r="N763" s="73">
        <v>132</v>
      </c>
      <c r="O763" s="86">
        <f t="shared" si="237"/>
        <v>-1.0913936421275139E-11</v>
      </c>
      <c r="P763" s="50">
        <f t="shared" si="227"/>
        <v>0</v>
      </c>
      <c r="Q763" s="86">
        <f t="shared" si="228"/>
        <v>0</v>
      </c>
      <c r="R763" s="86">
        <f t="shared" si="229"/>
        <v>0</v>
      </c>
      <c r="S763" s="74">
        <f t="shared" si="230"/>
        <v>-1.0913936421275139E-11</v>
      </c>
      <c r="T763" s="112">
        <f t="shared" si="231"/>
        <v>-5.6315517317894798E-12</v>
      </c>
      <c r="U763" s="112">
        <f t="shared" si="232"/>
        <v>0</v>
      </c>
      <c r="V763" s="75">
        <f t="shared" si="233"/>
        <v>0</v>
      </c>
      <c r="W763" s="74"/>
      <c r="X763" s="75">
        <f t="shared" si="234"/>
        <v>0</v>
      </c>
      <c r="Y763" s="156">
        <f t="shared" si="235"/>
        <v>-3.6289065407398638E-14</v>
      </c>
      <c r="Z763" s="46"/>
      <c r="AA763" s="107">
        <f t="shared" si="217"/>
        <v>0</v>
      </c>
    </row>
    <row r="764" spans="1:27" x14ac:dyDescent="0.2">
      <c r="A764" s="73">
        <v>133</v>
      </c>
      <c r="B764" s="86">
        <f t="shared" si="236"/>
        <v>0</v>
      </c>
      <c r="C764" s="50">
        <f t="shared" si="218"/>
        <v>0</v>
      </c>
      <c r="D764" s="86">
        <f t="shared" si="219"/>
        <v>0</v>
      </c>
      <c r="E764" s="86">
        <f t="shared" si="220"/>
        <v>0</v>
      </c>
      <c r="F764" s="74">
        <f t="shared" si="221"/>
        <v>0</v>
      </c>
      <c r="G764" s="112">
        <f t="shared" si="222"/>
        <v>0</v>
      </c>
      <c r="H764" s="112">
        <f t="shared" si="223"/>
        <v>0</v>
      </c>
      <c r="I764" s="75">
        <f t="shared" si="224"/>
        <v>0</v>
      </c>
      <c r="J764" s="74"/>
      <c r="K764" s="75">
        <f t="shared" si="225"/>
        <v>0</v>
      </c>
      <c r="L764" s="156">
        <f t="shared" si="226"/>
        <v>0</v>
      </c>
      <c r="M764" s="157"/>
      <c r="N764" s="73">
        <v>133</v>
      </c>
      <c r="O764" s="86">
        <f t="shared" si="237"/>
        <v>-1.0913936421275139E-11</v>
      </c>
      <c r="P764" s="50">
        <f t="shared" si="227"/>
        <v>0</v>
      </c>
      <c r="Q764" s="86">
        <f t="shared" si="228"/>
        <v>0</v>
      </c>
      <c r="R764" s="86">
        <f t="shared" si="229"/>
        <v>0</v>
      </c>
      <c r="S764" s="74">
        <f t="shared" si="230"/>
        <v>-1.0913936421275139E-11</v>
      </c>
      <c r="T764" s="112">
        <f t="shared" si="231"/>
        <v>-5.6033939731305321E-12</v>
      </c>
      <c r="U764" s="112">
        <f t="shared" si="232"/>
        <v>0</v>
      </c>
      <c r="V764" s="75">
        <f t="shared" si="233"/>
        <v>0</v>
      </c>
      <c r="W764" s="74"/>
      <c r="X764" s="75">
        <f t="shared" si="234"/>
        <v>0</v>
      </c>
      <c r="Y764" s="156">
        <f t="shared" si="235"/>
        <v>-3.6289065407398638E-14</v>
      </c>
      <c r="Z764" s="46"/>
      <c r="AA764" s="107">
        <f t="shared" si="217"/>
        <v>0</v>
      </c>
    </row>
    <row r="765" spans="1:27" x14ac:dyDescent="0.2">
      <c r="A765" s="73">
        <v>134</v>
      </c>
      <c r="B765" s="86">
        <f t="shared" si="236"/>
        <v>0</v>
      </c>
      <c r="C765" s="50">
        <f t="shared" si="218"/>
        <v>0</v>
      </c>
      <c r="D765" s="86">
        <f t="shared" si="219"/>
        <v>0</v>
      </c>
      <c r="E765" s="86">
        <f t="shared" si="220"/>
        <v>0</v>
      </c>
      <c r="F765" s="74">
        <f t="shared" si="221"/>
        <v>0</v>
      </c>
      <c r="G765" s="112">
        <f t="shared" si="222"/>
        <v>0</v>
      </c>
      <c r="H765" s="112">
        <f t="shared" si="223"/>
        <v>0</v>
      </c>
      <c r="I765" s="75">
        <f t="shared" si="224"/>
        <v>0</v>
      </c>
      <c r="J765" s="74"/>
      <c r="K765" s="75">
        <f t="shared" si="225"/>
        <v>0</v>
      </c>
      <c r="L765" s="156">
        <f t="shared" si="226"/>
        <v>0</v>
      </c>
      <c r="M765" s="157"/>
      <c r="N765" s="73">
        <v>134</v>
      </c>
      <c r="O765" s="86">
        <f t="shared" si="237"/>
        <v>-1.0913936421275139E-11</v>
      </c>
      <c r="P765" s="50">
        <f t="shared" si="227"/>
        <v>0</v>
      </c>
      <c r="Q765" s="86">
        <f t="shared" si="228"/>
        <v>0</v>
      </c>
      <c r="R765" s="86">
        <f t="shared" si="229"/>
        <v>0</v>
      </c>
      <c r="S765" s="74">
        <f t="shared" si="230"/>
        <v>-1.0913936421275139E-11</v>
      </c>
      <c r="T765" s="112">
        <f t="shared" si="231"/>
        <v>-5.575377003264879E-12</v>
      </c>
      <c r="U765" s="112">
        <f t="shared" si="232"/>
        <v>0</v>
      </c>
      <c r="V765" s="75">
        <f t="shared" si="233"/>
        <v>0</v>
      </c>
      <c r="W765" s="74"/>
      <c r="X765" s="75">
        <f t="shared" si="234"/>
        <v>0</v>
      </c>
      <c r="Y765" s="156">
        <f t="shared" si="235"/>
        <v>-3.6289065407398638E-14</v>
      </c>
      <c r="Z765" s="46"/>
      <c r="AA765" s="107">
        <f t="shared" si="217"/>
        <v>0</v>
      </c>
    </row>
    <row r="766" spans="1:27" x14ac:dyDescent="0.2">
      <c r="A766" s="73">
        <v>135</v>
      </c>
      <c r="B766" s="86">
        <f t="shared" si="236"/>
        <v>0</v>
      </c>
      <c r="C766" s="50">
        <f t="shared" si="218"/>
        <v>0</v>
      </c>
      <c r="D766" s="86">
        <f t="shared" si="219"/>
        <v>0</v>
      </c>
      <c r="E766" s="86">
        <f t="shared" si="220"/>
        <v>0</v>
      </c>
      <c r="F766" s="74">
        <f t="shared" si="221"/>
        <v>0</v>
      </c>
      <c r="G766" s="112">
        <f t="shared" si="222"/>
        <v>0</v>
      </c>
      <c r="H766" s="112">
        <f t="shared" si="223"/>
        <v>0</v>
      </c>
      <c r="I766" s="75">
        <f t="shared" si="224"/>
        <v>0</v>
      </c>
      <c r="J766" s="74"/>
      <c r="K766" s="75">
        <f t="shared" si="225"/>
        <v>0</v>
      </c>
      <c r="L766" s="156">
        <f t="shared" si="226"/>
        <v>0</v>
      </c>
      <c r="M766" s="157"/>
      <c r="N766" s="73">
        <v>135</v>
      </c>
      <c r="O766" s="86">
        <f t="shared" si="237"/>
        <v>-1.0913936421275139E-11</v>
      </c>
      <c r="P766" s="50">
        <f t="shared" si="227"/>
        <v>0</v>
      </c>
      <c r="Q766" s="86">
        <f t="shared" si="228"/>
        <v>0</v>
      </c>
      <c r="R766" s="86">
        <f t="shared" si="229"/>
        <v>0</v>
      </c>
      <c r="S766" s="74">
        <f t="shared" si="230"/>
        <v>-1.0913936421275139E-11</v>
      </c>
      <c r="T766" s="112">
        <f t="shared" si="231"/>
        <v>-5.5475001182485551E-12</v>
      </c>
      <c r="U766" s="112">
        <f t="shared" si="232"/>
        <v>0</v>
      </c>
      <c r="V766" s="75">
        <f t="shared" si="233"/>
        <v>0</v>
      </c>
      <c r="W766" s="74"/>
      <c r="X766" s="75">
        <f t="shared" si="234"/>
        <v>0</v>
      </c>
      <c r="Y766" s="156">
        <f t="shared" si="235"/>
        <v>-3.6289065407398638E-14</v>
      </c>
      <c r="Z766" s="46"/>
      <c r="AA766" s="107">
        <f t="shared" si="217"/>
        <v>0</v>
      </c>
    </row>
    <row r="767" spans="1:27" x14ac:dyDescent="0.2">
      <c r="A767" s="73">
        <v>136</v>
      </c>
      <c r="B767" s="86">
        <f t="shared" si="236"/>
        <v>0</v>
      </c>
      <c r="C767" s="50">
        <f t="shared" si="218"/>
        <v>0</v>
      </c>
      <c r="D767" s="86">
        <f t="shared" si="219"/>
        <v>0</v>
      </c>
      <c r="E767" s="86">
        <f t="shared" si="220"/>
        <v>0</v>
      </c>
      <c r="F767" s="74">
        <f t="shared" si="221"/>
        <v>0</v>
      </c>
      <c r="G767" s="112">
        <f t="shared" si="222"/>
        <v>0</v>
      </c>
      <c r="H767" s="112">
        <f t="shared" si="223"/>
        <v>0</v>
      </c>
      <c r="I767" s="75">
        <f t="shared" si="224"/>
        <v>0</v>
      </c>
      <c r="J767" s="74"/>
      <c r="K767" s="75">
        <f t="shared" si="225"/>
        <v>0</v>
      </c>
      <c r="L767" s="156">
        <f t="shared" si="226"/>
        <v>0</v>
      </c>
      <c r="M767" s="157"/>
      <c r="N767" s="73">
        <v>136</v>
      </c>
      <c r="O767" s="86">
        <f t="shared" si="237"/>
        <v>-1.0913936421275139E-11</v>
      </c>
      <c r="P767" s="50">
        <f t="shared" si="227"/>
        <v>0</v>
      </c>
      <c r="Q767" s="86">
        <f t="shared" si="228"/>
        <v>0</v>
      </c>
      <c r="R767" s="86">
        <f t="shared" si="229"/>
        <v>0</v>
      </c>
      <c r="S767" s="74">
        <f t="shared" si="230"/>
        <v>-1.0913936421275139E-11</v>
      </c>
      <c r="T767" s="112">
        <f t="shared" si="231"/>
        <v>-5.5197626176573118E-12</v>
      </c>
      <c r="U767" s="112">
        <f t="shared" si="232"/>
        <v>0</v>
      </c>
      <c r="V767" s="75">
        <f t="shared" si="233"/>
        <v>0</v>
      </c>
      <c r="W767" s="74"/>
      <c r="X767" s="75">
        <f t="shared" si="234"/>
        <v>0</v>
      </c>
      <c r="Y767" s="156">
        <f t="shared" si="235"/>
        <v>-3.6289065407398638E-14</v>
      </c>
      <c r="Z767" s="46"/>
      <c r="AA767" s="107">
        <f t="shared" si="217"/>
        <v>0</v>
      </c>
    </row>
    <row r="768" spans="1:27" x14ac:dyDescent="0.2">
      <c r="A768" s="73">
        <v>137</v>
      </c>
      <c r="B768" s="86">
        <f t="shared" si="236"/>
        <v>0</v>
      </c>
      <c r="C768" s="50">
        <f t="shared" si="218"/>
        <v>0</v>
      </c>
      <c r="D768" s="86">
        <f t="shared" si="219"/>
        <v>0</v>
      </c>
      <c r="E768" s="86">
        <f t="shared" si="220"/>
        <v>0</v>
      </c>
      <c r="F768" s="74">
        <f t="shared" si="221"/>
        <v>0</v>
      </c>
      <c r="G768" s="112">
        <f t="shared" si="222"/>
        <v>0</v>
      </c>
      <c r="H768" s="112">
        <f t="shared" si="223"/>
        <v>0</v>
      </c>
      <c r="I768" s="75">
        <f t="shared" si="224"/>
        <v>0</v>
      </c>
      <c r="J768" s="74"/>
      <c r="K768" s="75">
        <f t="shared" si="225"/>
        <v>0</v>
      </c>
      <c r="L768" s="156">
        <f t="shared" si="226"/>
        <v>0</v>
      </c>
      <c r="M768" s="157"/>
      <c r="N768" s="73">
        <v>137</v>
      </c>
      <c r="O768" s="86">
        <f t="shared" si="237"/>
        <v>-1.0913936421275139E-11</v>
      </c>
      <c r="P768" s="50">
        <f t="shared" si="227"/>
        <v>0</v>
      </c>
      <c r="Q768" s="86">
        <f t="shared" si="228"/>
        <v>0</v>
      </c>
      <c r="R768" s="86">
        <f t="shared" si="229"/>
        <v>0</v>
      </c>
      <c r="S768" s="74">
        <f t="shared" si="230"/>
        <v>-1.0913936421275139E-11</v>
      </c>
      <c r="T768" s="112">
        <f t="shared" si="231"/>
        <v>-5.4921638045690247E-12</v>
      </c>
      <c r="U768" s="112">
        <f t="shared" si="232"/>
        <v>0</v>
      </c>
      <c r="V768" s="75">
        <f t="shared" si="233"/>
        <v>0</v>
      </c>
      <c r="W768" s="74"/>
      <c r="X768" s="75">
        <f t="shared" si="234"/>
        <v>0</v>
      </c>
      <c r="Y768" s="156">
        <f t="shared" si="235"/>
        <v>-3.6289065407398638E-14</v>
      </c>
      <c r="Z768" s="46"/>
      <c r="AA768" s="107">
        <f t="shared" si="217"/>
        <v>0</v>
      </c>
    </row>
    <row r="769" spans="1:27" x14ac:dyDescent="0.2">
      <c r="A769" s="73">
        <v>138</v>
      </c>
      <c r="B769" s="86">
        <f t="shared" si="236"/>
        <v>0</v>
      </c>
      <c r="C769" s="50">
        <f t="shared" si="218"/>
        <v>0</v>
      </c>
      <c r="D769" s="86">
        <f t="shared" si="219"/>
        <v>0</v>
      </c>
      <c r="E769" s="86">
        <f t="shared" si="220"/>
        <v>0</v>
      </c>
      <c r="F769" s="74">
        <f t="shared" si="221"/>
        <v>0</v>
      </c>
      <c r="G769" s="112">
        <f t="shared" si="222"/>
        <v>0</v>
      </c>
      <c r="H769" s="112">
        <f t="shared" si="223"/>
        <v>0</v>
      </c>
      <c r="I769" s="75">
        <f t="shared" si="224"/>
        <v>0</v>
      </c>
      <c r="J769" s="74"/>
      <c r="K769" s="75">
        <f t="shared" si="225"/>
        <v>0</v>
      </c>
      <c r="L769" s="156">
        <f t="shared" si="226"/>
        <v>0</v>
      </c>
      <c r="M769" s="157"/>
      <c r="N769" s="73">
        <v>138</v>
      </c>
      <c r="O769" s="86">
        <f t="shared" si="237"/>
        <v>-1.0913936421275139E-11</v>
      </c>
      <c r="P769" s="50">
        <f t="shared" si="227"/>
        <v>0</v>
      </c>
      <c r="Q769" s="86">
        <f t="shared" si="228"/>
        <v>0</v>
      </c>
      <c r="R769" s="86">
        <f t="shared" si="229"/>
        <v>0</v>
      </c>
      <c r="S769" s="74">
        <f t="shared" si="230"/>
        <v>-1.0913936421275139E-11</v>
      </c>
      <c r="T769" s="112">
        <f t="shared" si="231"/>
        <v>-5.46470298554618E-12</v>
      </c>
      <c r="U769" s="112">
        <f t="shared" si="232"/>
        <v>0</v>
      </c>
      <c r="V769" s="75">
        <f t="shared" si="233"/>
        <v>0</v>
      </c>
      <c r="W769" s="74"/>
      <c r="X769" s="75">
        <f t="shared" si="234"/>
        <v>0</v>
      </c>
      <c r="Y769" s="156">
        <f t="shared" si="235"/>
        <v>-3.6289065407398638E-14</v>
      </c>
      <c r="Z769" s="46"/>
      <c r="AA769" s="107">
        <f t="shared" si="217"/>
        <v>0</v>
      </c>
    </row>
    <row r="770" spans="1:27" x14ac:dyDescent="0.2">
      <c r="A770" s="73">
        <v>139</v>
      </c>
      <c r="B770" s="86">
        <f t="shared" si="236"/>
        <v>0</v>
      </c>
      <c r="C770" s="50">
        <f t="shared" si="218"/>
        <v>0</v>
      </c>
      <c r="D770" s="86">
        <f t="shared" si="219"/>
        <v>0</v>
      </c>
      <c r="E770" s="86">
        <f t="shared" si="220"/>
        <v>0</v>
      </c>
      <c r="F770" s="74">
        <f t="shared" si="221"/>
        <v>0</v>
      </c>
      <c r="G770" s="112">
        <f t="shared" si="222"/>
        <v>0</v>
      </c>
      <c r="H770" s="112">
        <f t="shared" si="223"/>
        <v>0</v>
      </c>
      <c r="I770" s="75">
        <f t="shared" si="224"/>
        <v>0</v>
      </c>
      <c r="J770" s="74"/>
      <c r="K770" s="75">
        <f t="shared" si="225"/>
        <v>0</v>
      </c>
      <c r="L770" s="156">
        <f t="shared" si="226"/>
        <v>0</v>
      </c>
      <c r="M770" s="157"/>
      <c r="N770" s="73">
        <v>139</v>
      </c>
      <c r="O770" s="86">
        <f t="shared" si="237"/>
        <v>-1.0913936421275139E-11</v>
      </c>
      <c r="P770" s="50">
        <f t="shared" si="227"/>
        <v>0</v>
      </c>
      <c r="Q770" s="86">
        <f t="shared" si="228"/>
        <v>0</v>
      </c>
      <c r="R770" s="86">
        <f t="shared" si="229"/>
        <v>0</v>
      </c>
      <c r="S770" s="74">
        <f t="shared" si="230"/>
        <v>-1.0913936421275139E-11</v>
      </c>
      <c r="T770" s="112">
        <f t="shared" si="231"/>
        <v>-5.437379470618449E-12</v>
      </c>
      <c r="U770" s="112">
        <f t="shared" si="232"/>
        <v>0</v>
      </c>
      <c r="V770" s="75">
        <f t="shared" si="233"/>
        <v>0</v>
      </c>
      <c r="W770" s="74"/>
      <c r="X770" s="75">
        <f t="shared" si="234"/>
        <v>0</v>
      </c>
      <c r="Y770" s="156">
        <f t="shared" si="235"/>
        <v>-3.6289065407398638E-14</v>
      </c>
      <c r="Z770" s="46"/>
      <c r="AA770" s="107">
        <f t="shared" si="217"/>
        <v>0</v>
      </c>
    </row>
    <row r="771" spans="1:27" x14ac:dyDescent="0.2">
      <c r="A771" s="73">
        <v>140</v>
      </c>
      <c r="B771" s="86">
        <f t="shared" si="236"/>
        <v>0</v>
      </c>
      <c r="C771" s="50">
        <f t="shared" si="218"/>
        <v>0</v>
      </c>
      <c r="D771" s="86">
        <f t="shared" si="219"/>
        <v>0</v>
      </c>
      <c r="E771" s="86">
        <f t="shared" si="220"/>
        <v>0</v>
      </c>
      <c r="F771" s="74">
        <f t="shared" si="221"/>
        <v>0</v>
      </c>
      <c r="G771" s="112">
        <f t="shared" si="222"/>
        <v>0</v>
      </c>
      <c r="H771" s="112">
        <f t="shared" si="223"/>
        <v>0</v>
      </c>
      <c r="I771" s="75">
        <f t="shared" si="224"/>
        <v>0</v>
      </c>
      <c r="J771" s="74"/>
      <c r="K771" s="75">
        <f t="shared" si="225"/>
        <v>0</v>
      </c>
      <c r="L771" s="156">
        <f t="shared" si="226"/>
        <v>0</v>
      </c>
      <c r="M771" s="157"/>
      <c r="N771" s="73">
        <v>140</v>
      </c>
      <c r="O771" s="86">
        <f t="shared" si="237"/>
        <v>-1.0913936421275139E-11</v>
      </c>
      <c r="P771" s="50">
        <f t="shared" si="227"/>
        <v>0</v>
      </c>
      <c r="Q771" s="86">
        <f t="shared" si="228"/>
        <v>0</v>
      </c>
      <c r="R771" s="86">
        <f t="shared" si="229"/>
        <v>0</v>
      </c>
      <c r="S771" s="74">
        <f t="shared" si="230"/>
        <v>-1.0913936421275139E-11</v>
      </c>
      <c r="T771" s="112">
        <f t="shared" si="231"/>
        <v>-5.4101925732653573E-12</v>
      </c>
      <c r="U771" s="112">
        <f t="shared" si="232"/>
        <v>0</v>
      </c>
      <c r="V771" s="75">
        <f t="shared" si="233"/>
        <v>0</v>
      </c>
      <c r="W771" s="74"/>
      <c r="X771" s="75">
        <f t="shared" si="234"/>
        <v>0</v>
      </c>
      <c r="Y771" s="156">
        <f t="shared" si="235"/>
        <v>-3.6289065407398638E-14</v>
      </c>
      <c r="Z771" s="46"/>
      <c r="AA771" s="107">
        <f t="shared" si="217"/>
        <v>0</v>
      </c>
    </row>
    <row r="772" spans="1:27" x14ac:dyDescent="0.2">
      <c r="A772" s="73">
        <v>141</v>
      </c>
      <c r="B772" s="86">
        <f t="shared" si="236"/>
        <v>0</v>
      </c>
      <c r="C772" s="50">
        <f t="shared" si="218"/>
        <v>0</v>
      </c>
      <c r="D772" s="86">
        <f t="shared" si="219"/>
        <v>0</v>
      </c>
      <c r="E772" s="86">
        <f t="shared" si="220"/>
        <v>0</v>
      </c>
      <c r="F772" s="74">
        <f t="shared" si="221"/>
        <v>0</v>
      </c>
      <c r="G772" s="112">
        <f t="shared" si="222"/>
        <v>0</v>
      </c>
      <c r="H772" s="112">
        <f t="shared" si="223"/>
        <v>0</v>
      </c>
      <c r="I772" s="75">
        <f t="shared" si="224"/>
        <v>0</v>
      </c>
      <c r="J772" s="74"/>
      <c r="K772" s="75">
        <f t="shared" si="225"/>
        <v>0</v>
      </c>
      <c r="L772" s="156">
        <f t="shared" si="226"/>
        <v>0</v>
      </c>
      <c r="M772" s="157"/>
      <c r="N772" s="73">
        <v>141</v>
      </c>
      <c r="O772" s="86">
        <f t="shared" si="237"/>
        <v>-1.0913936421275139E-11</v>
      </c>
      <c r="P772" s="50">
        <f t="shared" si="227"/>
        <v>0</v>
      </c>
      <c r="Q772" s="86">
        <f t="shared" si="228"/>
        <v>0</v>
      </c>
      <c r="R772" s="86">
        <f t="shared" si="229"/>
        <v>0</v>
      </c>
      <c r="S772" s="74">
        <f t="shared" si="230"/>
        <v>-1.0913936421275139E-11</v>
      </c>
      <c r="T772" s="112">
        <f t="shared" si="231"/>
        <v>-5.3831416103990305E-12</v>
      </c>
      <c r="U772" s="112">
        <f t="shared" si="232"/>
        <v>0</v>
      </c>
      <c r="V772" s="75">
        <f t="shared" si="233"/>
        <v>0</v>
      </c>
      <c r="W772" s="74"/>
      <c r="X772" s="75">
        <f t="shared" si="234"/>
        <v>0</v>
      </c>
      <c r="Y772" s="156">
        <f t="shared" si="235"/>
        <v>-3.6289065407398638E-14</v>
      </c>
      <c r="Z772" s="46"/>
      <c r="AA772" s="107">
        <f t="shared" si="217"/>
        <v>0</v>
      </c>
    </row>
    <row r="773" spans="1:27" x14ac:dyDescent="0.2">
      <c r="A773" s="73">
        <v>142</v>
      </c>
      <c r="B773" s="86">
        <f t="shared" si="236"/>
        <v>0</v>
      </c>
      <c r="C773" s="50">
        <f t="shared" si="218"/>
        <v>0</v>
      </c>
      <c r="D773" s="86">
        <f t="shared" si="219"/>
        <v>0</v>
      </c>
      <c r="E773" s="86">
        <f t="shared" si="220"/>
        <v>0</v>
      </c>
      <c r="F773" s="74">
        <f t="shared" si="221"/>
        <v>0</v>
      </c>
      <c r="G773" s="112">
        <f t="shared" si="222"/>
        <v>0</v>
      </c>
      <c r="H773" s="112">
        <f t="shared" si="223"/>
        <v>0</v>
      </c>
      <c r="I773" s="75">
        <f t="shared" si="224"/>
        <v>0</v>
      </c>
      <c r="J773" s="74"/>
      <c r="K773" s="75">
        <f t="shared" si="225"/>
        <v>0</v>
      </c>
      <c r="L773" s="156">
        <f t="shared" si="226"/>
        <v>0</v>
      </c>
      <c r="M773" s="157"/>
      <c r="N773" s="73">
        <v>142</v>
      </c>
      <c r="O773" s="86">
        <f t="shared" si="237"/>
        <v>-1.0913936421275139E-11</v>
      </c>
      <c r="P773" s="50">
        <f t="shared" si="227"/>
        <v>0</v>
      </c>
      <c r="Q773" s="86">
        <f t="shared" si="228"/>
        <v>0</v>
      </c>
      <c r="R773" s="86">
        <f t="shared" si="229"/>
        <v>0</v>
      </c>
      <c r="S773" s="74">
        <f t="shared" si="230"/>
        <v>-1.0913936421275139E-11</v>
      </c>
      <c r="T773" s="112">
        <f t="shared" si="231"/>
        <v>-5.3562259023470359E-12</v>
      </c>
      <c r="U773" s="112">
        <f t="shared" si="232"/>
        <v>0</v>
      </c>
      <c r="V773" s="75">
        <f t="shared" si="233"/>
        <v>0</v>
      </c>
      <c r="W773" s="74"/>
      <c r="X773" s="75">
        <f t="shared" si="234"/>
        <v>0</v>
      </c>
      <c r="Y773" s="156">
        <f t="shared" si="235"/>
        <v>-3.6289065407398638E-14</v>
      </c>
      <c r="Z773" s="46"/>
      <c r="AA773" s="107">
        <f t="shared" si="217"/>
        <v>0</v>
      </c>
    </row>
    <row r="774" spans="1:27" x14ac:dyDescent="0.2">
      <c r="A774" s="73">
        <v>143</v>
      </c>
      <c r="B774" s="86">
        <f t="shared" si="236"/>
        <v>0</v>
      </c>
      <c r="C774" s="50">
        <f t="shared" si="218"/>
        <v>0</v>
      </c>
      <c r="D774" s="86">
        <f t="shared" si="219"/>
        <v>0</v>
      </c>
      <c r="E774" s="86">
        <f t="shared" si="220"/>
        <v>0</v>
      </c>
      <c r="F774" s="74">
        <f t="shared" si="221"/>
        <v>0</v>
      </c>
      <c r="G774" s="112">
        <f t="shared" si="222"/>
        <v>0</v>
      </c>
      <c r="H774" s="112">
        <f t="shared" si="223"/>
        <v>0</v>
      </c>
      <c r="I774" s="75">
        <f t="shared" si="224"/>
        <v>0</v>
      </c>
      <c r="J774" s="74"/>
      <c r="K774" s="75">
        <f t="shared" si="225"/>
        <v>0</v>
      </c>
      <c r="L774" s="156">
        <f t="shared" si="226"/>
        <v>0</v>
      </c>
      <c r="M774" s="157"/>
      <c r="N774" s="73">
        <v>143</v>
      </c>
      <c r="O774" s="86">
        <f t="shared" si="237"/>
        <v>-1.0913936421275139E-11</v>
      </c>
      <c r="P774" s="50">
        <f t="shared" si="227"/>
        <v>0</v>
      </c>
      <c r="Q774" s="86">
        <f t="shared" si="228"/>
        <v>0</v>
      </c>
      <c r="R774" s="86">
        <f t="shared" si="229"/>
        <v>0</v>
      </c>
      <c r="S774" s="74">
        <f t="shared" si="230"/>
        <v>-1.0913936421275139E-11</v>
      </c>
      <c r="T774" s="112">
        <f t="shared" si="231"/>
        <v>-5.3294447728353001E-12</v>
      </c>
      <c r="U774" s="112">
        <f t="shared" si="232"/>
        <v>0</v>
      </c>
      <c r="V774" s="75">
        <f t="shared" si="233"/>
        <v>0</v>
      </c>
      <c r="W774" s="74"/>
      <c r="X774" s="75">
        <f t="shared" si="234"/>
        <v>0</v>
      </c>
      <c r="Y774" s="156">
        <f t="shared" si="235"/>
        <v>-3.6289065407398638E-14</v>
      </c>
      <c r="Z774" s="46"/>
      <c r="AA774" s="107">
        <f t="shared" si="217"/>
        <v>0</v>
      </c>
    </row>
    <row r="775" spans="1:27" x14ac:dyDescent="0.2">
      <c r="A775" s="73">
        <v>144</v>
      </c>
      <c r="B775" s="86">
        <f t="shared" si="236"/>
        <v>0</v>
      </c>
      <c r="C775" s="50">
        <f t="shared" si="218"/>
        <v>0</v>
      </c>
      <c r="D775" s="86">
        <f t="shared" si="219"/>
        <v>0</v>
      </c>
      <c r="E775" s="86">
        <f t="shared" si="220"/>
        <v>0</v>
      </c>
      <c r="F775" s="74">
        <f t="shared" si="221"/>
        <v>0</v>
      </c>
      <c r="G775" s="112">
        <f t="shared" si="222"/>
        <v>0</v>
      </c>
      <c r="H775" s="112">
        <f t="shared" si="223"/>
        <v>0</v>
      </c>
      <c r="I775" s="75">
        <f t="shared" si="224"/>
        <v>0</v>
      </c>
      <c r="J775" s="74"/>
      <c r="K775" s="75">
        <f t="shared" si="225"/>
        <v>0</v>
      </c>
      <c r="L775" s="156">
        <f t="shared" si="226"/>
        <v>0</v>
      </c>
      <c r="M775" s="157"/>
      <c r="N775" s="73">
        <v>144</v>
      </c>
      <c r="O775" s="86">
        <f t="shared" si="237"/>
        <v>-1.0913936421275139E-11</v>
      </c>
      <c r="P775" s="50">
        <f t="shared" si="227"/>
        <v>0</v>
      </c>
      <c r="Q775" s="86">
        <f t="shared" si="228"/>
        <v>0</v>
      </c>
      <c r="R775" s="86">
        <f t="shared" si="229"/>
        <v>0</v>
      </c>
      <c r="S775" s="74">
        <f t="shared" si="230"/>
        <v>-1.0913936421275139E-11</v>
      </c>
      <c r="T775" s="112">
        <f t="shared" si="231"/>
        <v>-5.3027975489711236E-12</v>
      </c>
      <c r="U775" s="112">
        <f t="shared" si="232"/>
        <v>0</v>
      </c>
      <c r="V775" s="75">
        <f t="shared" si="233"/>
        <v>0</v>
      </c>
      <c r="W775" s="74"/>
      <c r="X775" s="75">
        <f t="shared" si="234"/>
        <v>0</v>
      </c>
      <c r="Y775" s="156">
        <f t="shared" si="235"/>
        <v>-3.6289065407398638E-14</v>
      </c>
      <c r="Z775" s="46"/>
      <c r="AA775" s="107">
        <f t="shared" si="217"/>
        <v>0</v>
      </c>
    </row>
    <row r="776" spans="1:27" x14ac:dyDescent="0.2">
      <c r="A776" s="73">
        <v>145</v>
      </c>
      <c r="B776" s="86">
        <f t="shared" si="236"/>
        <v>0</v>
      </c>
      <c r="C776" s="50">
        <f t="shared" si="218"/>
        <v>0</v>
      </c>
      <c r="D776" s="86">
        <f t="shared" si="219"/>
        <v>0</v>
      </c>
      <c r="E776" s="86">
        <f t="shared" si="220"/>
        <v>0</v>
      </c>
      <c r="F776" s="74">
        <f t="shared" si="221"/>
        <v>0</v>
      </c>
      <c r="G776" s="112">
        <f t="shared" si="222"/>
        <v>0</v>
      </c>
      <c r="H776" s="112">
        <f t="shared" si="223"/>
        <v>0</v>
      </c>
      <c r="I776" s="75">
        <f t="shared" si="224"/>
        <v>0</v>
      </c>
      <c r="J776" s="74"/>
      <c r="K776" s="75">
        <f t="shared" si="225"/>
        <v>0</v>
      </c>
      <c r="L776" s="156">
        <f t="shared" si="226"/>
        <v>0</v>
      </c>
      <c r="M776" s="157"/>
      <c r="N776" s="73">
        <v>145</v>
      </c>
      <c r="O776" s="86">
        <f t="shared" si="237"/>
        <v>-1.0913936421275139E-11</v>
      </c>
      <c r="P776" s="50">
        <f t="shared" si="227"/>
        <v>0</v>
      </c>
      <c r="Q776" s="86">
        <f t="shared" si="228"/>
        <v>0</v>
      </c>
      <c r="R776" s="86">
        <f t="shared" si="229"/>
        <v>0</v>
      </c>
      <c r="S776" s="74">
        <f t="shared" si="230"/>
        <v>-1.0913936421275139E-11</v>
      </c>
      <c r="T776" s="112">
        <f t="shared" si="231"/>
        <v>-5.2762835612262677E-12</v>
      </c>
      <c r="U776" s="112">
        <f t="shared" si="232"/>
        <v>0</v>
      </c>
      <c r="V776" s="75">
        <f t="shared" si="233"/>
        <v>0</v>
      </c>
      <c r="W776" s="74"/>
      <c r="X776" s="75">
        <f t="shared" si="234"/>
        <v>0</v>
      </c>
      <c r="Y776" s="156">
        <f t="shared" si="235"/>
        <v>-3.6289065407398638E-14</v>
      </c>
      <c r="Z776" s="46"/>
      <c r="AA776" s="107">
        <f t="shared" si="217"/>
        <v>0</v>
      </c>
    </row>
    <row r="777" spans="1:27" x14ac:dyDescent="0.2">
      <c r="A777" s="73">
        <v>146</v>
      </c>
      <c r="B777" s="86">
        <f t="shared" si="236"/>
        <v>0</v>
      </c>
      <c r="C777" s="50">
        <f t="shared" si="218"/>
        <v>0</v>
      </c>
      <c r="D777" s="86">
        <f t="shared" si="219"/>
        <v>0</v>
      </c>
      <c r="E777" s="86">
        <f t="shared" si="220"/>
        <v>0</v>
      </c>
      <c r="F777" s="74">
        <f t="shared" si="221"/>
        <v>0</v>
      </c>
      <c r="G777" s="112">
        <f t="shared" si="222"/>
        <v>0</v>
      </c>
      <c r="H777" s="112">
        <f t="shared" si="223"/>
        <v>0</v>
      </c>
      <c r="I777" s="75">
        <f t="shared" si="224"/>
        <v>0</v>
      </c>
      <c r="J777" s="74"/>
      <c r="K777" s="75">
        <f t="shared" si="225"/>
        <v>0</v>
      </c>
      <c r="L777" s="156">
        <f t="shared" si="226"/>
        <v>0</v>
      </c>
      <c r="M777" s="157"/>
      <c r="N777" s="73">
        <v>146</v>
      </c>
      <c r="O777" s="86">
        <f t="shared" si="237"/>
        <v>-1.0913936421275139E-11</v>
      </c>
      <c r="P777" s="50">
        <f t="shared" si="227"/>
        <v>0</v>
      </c>
      <c r="Q777" s="86">
        <f t="shared" si="228"/>
        <v>0</v>
      </c>
      <c r="R777" s="86">
        <f t="shared" si="229"/>
        <v>0</v>
      </c>
      <c r="S777" s="74">
        <f t="shared" si="230"/>
        <v>-1.0913936421275139E-11</v>
      </c>
      <c r="T777" s="112">
        <f t="shared" si="231"/>
        <v>-5.2499021434201366E-12</v>
      </c>
      <c r="U777" s="112">
        <f t="shared" si="232"/>
        <v>0</v>
      </c>
      <c r="V777" s="75">
        <f t="shared" si="233"/>
        <v>0</v>
      </c>
      <c r="W777" s="74"/>
      <c r="X777" s="75">
        <f t="shared" si="234"/>
        <v>0</v>
      </c>
      <c r="Y777" s="156">
        <f t="shared" si="235"/>
        <v>-3.6289065407398638E-14</v>
      </c>
      <c r="Z777" s="46"/>
      <c r="AA777" s="107">
        <f t="shared" si="217"/>
        <v>0</v>
      </c>
    </row>
    <row r="778" spans="1:27" x14ac:dyDescent="0.2">
      <c r="A778" s="73">
        <v>147</v>
      </c>
      <c r="B778" s="86">
        <f t="shared" si="236"/>
        <v>0</v>
      </c>
      <c r="C778" s="50">
        <f t="shared" si="218"/>
        <v>0</v>
      </c>
      <c r="D778" s="86">
        <f t="shared" si="219"/>
        <v>0</v>
      </c>
      <c r="E778" s="86">
        <f t="shared" si="220"/>
        <v>0</v>
      </c>
      <c r="F778" s="74">
        <f t="shared" si="221"/>
        <v>0</v>
      </c>
      <c r="G778" s="112">
        <f t="shared" si="222"/>
        <v>0</v>
      </c>
      <c r="H778" s="112">
        <f t="shared" si="223"/>
        <v>0</v>
      </c>
      <c r="I778" s="75">
        <f t="shared" si="224"/>
        <v>0</v>
      </c>
      <c r="J778" s="74"/>
      <c r="K778" s="75">
        <f t="shared" si="225"/>
        <v>0</v>
      </c>
      <c r="L778" s="156">
        <f t="shared" si="226"/>
        <v>0</v>
      </c>
      <c r="M778" s="157"/>
      <c r="N778" s="73">
        <v>147</v>
      </c>
      <c r="O778" s="86">
        <f t="shared" si="237"/>
        <v>-1.0913936421275139E-11</v>
      </c>
      <c r="P778" s="50">
        <f t="shared" si="227"/>
        <v>0</v>
      </c>
      <c r="Q778" s="86">
        <f t="shared" si="228"/>
        <v>0</v>
      </c>
      <c r="R778" s="86">
        <f t="shared" si="229"/>
        <v>0</v>
      </c>
      <c r="S778" s="74">
        <f t="shared" si="230"/>
        <v>-1.0913936421275139E-11</v>
      </c>
      <c r="T778" s="112">
        <f t="shared" si="231"/>
        <v>-5.2236526327030356E-12</v>
      </c>
      <c r="U778" s="112">
        <f t="shared" si="232"/>
        <v>0</v>
      </c>
      <c r="V778" s="75">
        <f t="shared" si="233"/>
        <v>0</v>
      </c>
      <c r="W778" s="74"/>
      <c r="X778" s="75">
        <f t="shared" si="234"/>
        <v>0</v>
      </c>
      <c r="Y778" s="156">
        <f t="shared" si="235"/>
        <v>-3.6289065407398638E-14</v>
      </c>
      <c r="Z778" s="46"/>
      <c r="AA778" s="107">
        <f t="shared" si="217"/>
        <v>0</v>
      </c>
    </row>
    <row r="779" spans="1:27" x14ac:dyDescent="0.2">
      <c r="A779" s="73">
        <v>148</v>
      </c>
      <c r="B779" s="86">
        <f t="shared" si="236"/>
        <v>0</v>
      </c>
      <c r="C779" s="50">
        <f t="shared" si="218"/>
        <v>0</v>
      </c>
      <c r="D779" s="86">
        <f t="shared" si="219"/>
        <v>0</v>
      </c>
      <c r="E779" s="86">
        <f t="shared" si="220"/>
        <v>0</v>
      </c>
      <c r="F779" s="74">
        <f t="shared" si="221"/>
        <v>0</v>
      </c>
      <c r="G779" s="112">
        <f t="shared" si="222"/>
        <v>0</v>
      </c>
      <c r="H779" s="112">
        <f t="shared" si="223"/>
        <v>0</v>
      </c>
      <c r="I779" s="75">
        <f t="shared" si="224"/>
        <v>0</v>
      </c>
      <c r="J779" s="74"/>
      <c r="K779" s="75">
        <f t="shared" si="225"/>
        <v>0</v>
      </c>
      <c r="L779" s="156">
        <f t="shared" si="226"/>
        <v>0</v>
      </c>
      <c r="M779" s="157"/>
      <c r="N779" s="73">
        <v>148</v>
      </c>
      <c r="O779" s="86">
        <f t="shared" si="237"/>
        <v>-1.0913936421275139E-11</v>
      </c>
      <c r="P779" s="50">
        <f t="shared" si="227"/>
        <v>0</v>
      </c>
      <c r="Q779" s="86">
        <f t="shared" si="228"/>
        <v>0</v>
      </c>
      <c r="R779" s="86">
        <f t="shared" si="229"/>
        <v>0</v>
      </c>
      <c r="S779" s="74">
        <f t="shared" si="230"/>
        <v>-1.0913936421275139E-11</v>
      </c>
      <c r="T779" s="112">
        <f t="shared" si="231"/>
        <v>-5.1975343695395203E-12</v>
      </c>
      <c r="U779" s="112">
        <f t="shared" si="232"/>
        <v>0</v>
      </c>
      <c r="V779" s="75">
        <f t="shared" si="233"/>
        <v>0</v>
      </c>
      <c r="W779" s="74"/>
      <c r="X779" s="75">
        <f t="shared" si="234"/>
        <v>0</v>
      </c>
      <c r="Y779" s="156">
        <f t="shared" si="235"/>
        <v>-3.6289065407398638E-14</v>
      </c>
      <c r="Z779" s="46"/>
      <c r="AA779" s="107">
        <f t="shared" si="217"/>
        <v>0</v>
      </c>
    </row>
    <row r="780" spans="1:27" x14ac:dyDescent="0.2">
      <c r="A780" s="73">
        <v>149</v>
      </c>
      <c r="B780" s="86">
        <f t="shared" si="236"/>
        <v>0</v>
      </c>
      <c r="C780" s="50">
        <f t="shared" si="218"/>
        <v>0</v>
      </c>
      <c r="D780" s="86">
        <f t="shared" si="219"/>
        <v>0</v>
      </c>
      <c r="E780" s="86">
        <f t="shared" si="220"/>
        <v>0</v>
      </c>
      <c r="F780" s="74">
        <f t="shared" si="221"/>
        <v>0</v>
      </c>
      <c r="G780" s="112">
        <f t="shared" si="222"/>
        <v>0</v>
      </c>
      <c r="H780" s="112">
        <f t="shared" si="223"/>
        <v>0</v>
      </c>
      <c r="I780" s="75">
        <f t="shared" si="224"/>
        <v>0</v>
      </c>
      <c r="J780" s="74"/>
      <c r="K780" s="75">
        <f t="shared" si="225"/>
        <v>0</v>
      </c>
      <c r="L780" s="156">
        <f t="shared" si="226"/>
        <v>0</v>
      </c>
      <c r="M780" s="157"/>
      <c r="N780" s="73">
        <v>149</v>
      </c>
      <c r="O780" s="86">
        <f t="shared" si="237"/>
        <v>-1.0913936421275139E-11</v>
      </c>
      <c r="P780" s="50">
        <f t="shared" si="227"/>
        <v>0</v>
      </c>
      <c r="Q780" s="86">
        <f t="shared" si="228"/>
        <v>0</v>
      </c>
      <c r="R780" s="86">
        <f t="shared" si="229"/>
        <v>0</v>
      </c>
      <c r="S780" s="74">
        <f t="shared" si="230"/>
        <v>-1.0913936421275139E-11</v>
      </c>
      <c r="T780" s="112">
        <f t="shared" si="231"/>
        <v>-5.1715466976918238E-12</v>
      </c>
      <c r="U780" s="112">
        <f t="shared" si="232"/>
        <v>0</v>
      </c>
      <c r="V780" s="75">
        <f t="shared" si="233"/>
        <v>0</v>
      </c>
      <c r="W780" s="74"/>
      <c r="X780" s="75">
        <f t="shared" si="234"/>
        <v>0</v>
      </c>
      <c r="Y780" s="156">
        <f t="shared" si="235"/>
        <v>-3.6289065407398638E-14</v>
      </c>
      <c r="Z780" s="46"/>
      <c r="AA780" s="107">
        <f t="shared" si="217"/>
        <v>0</v>
      </c>
    </row>
    <row r="781" spans="1:27" x14ac:dyDescent="0.2">
      <c r="A781" s="73">
        <v>150</v>
      </c>
      <c r="B781" s="86">
        <f t="shared" si="236"/>
        <v>0</v>
      </c>
      <c r="C781" s="50">
        <f t="shared" si="218"/>
        <v>0</v>
      </c>
      <c r="D781" s="86">
        <f t="shared" si="219"/>
        <v>0</v>
      </c>
      <c r="E781" s="86">
        <f t="shared" si="220"/>
        <v>0</v>
      </c>
      <c r="F781" s="74">
        <f t="shared" si="221"/>
        <v>0</v>
      </c>
      <c r="G781" s="112">
        <f t="shared" si="222"/>
        <v>0</v>
      </c>
      <c r="H781" s="112">
        <f t="shared" si="223"/>
        <v>0</v>
      </c>
      <c r="I781" s="75">
        <f t="shared" si="224"/>
        <v>0</v>
      </c>
      <c r="J781" s="74"/>
      <c r="K781" s="75">
        <f t="shared" si="225"/>
        <v>0</v>
      </c>
      <c r="L781" s="156">
        <f t="shared" si="226"/>
        <v>0</v>
      </c>
      <c r="M781" s="157"/>
      <c r="N781" s="73">
        <v>150</v>
      </c>
      <c r="O781" s="86">
        <f t="shared" si="237"/>
        <v>-1.0913936421275139E-11</v>
      </c>
      <c r="P781" s="50">
        <f t="shared" si="227"/>
        <v>0</v>
      </c>
      <c r="Q781" s="86">
        <f t="shared" si="228"/>
        <v>0</v>
      </c>
      <c r="R781" s="86">
        <f t="shared" si="229"/>
        <v>0</v>
      </c>
      <c r="S781" s="74">
        <f t="shared" si="230"/>
        <v>-1.0913936421275139E-11</v>
      </c>
      <c r="T781" s="112">
        <f t="shared" si="231"/>
        <v>-5.1456889642033647E-12</v>
      </c>
      <c r="U781" s="112">
        <f t="shared" si="232"/>
        <v>0</v>
      </c>
      <c r="V781" s="75">
        <f t="shared" si="233"/>
        <v>0</v>
      </c>
      <c r="W781" s="74"/>
      <c r="X781" s="75">
        <f t="shared" si="234"/>
        <v>0</v>
      </c>
      <c r="Y781" s="156">
        <f t="shared" si="235"/>
        <v>-3.6289065407398638E-14</v>
      </c>
      <c r="Z781" s="46"/>
      <c r="AA781" s="107">
        <f t="shared" si="217"/>
        <v>0</v>
      </c>
    </row>
    <row r="782" spans="1:27" x14ac:dyDescent="0.2">
      <c r="A782" s="73">
        <v>151</v>
      </c>
      <c r="B782" s="86">
        <f t="shared" si="236"/>
        <v>0</v>
      </c>
      <c r="C782" s="50">
        <f t="shared" si="218"/>
        <v>0</v>
      </c>
      <c r="D782" s="86">
        <f t="shared" si="219"/>
        <v>0</v>
      </c>
      <c r="E782" s="86">
        <f t="shared" si="220"/>
        <v>0</v>
      </c>
      <c r="F782" s="74">
        <f t="shared" si="221"/>
        <v>0</v>
      </c>
      <c r="G782" s="112">
        <f t="shared" si="222"/>
        <v>0</v>
      </c>
      <c r="H782" s="112">
        <f t="shared" si="223"/>
        <v>0</v>
      </c>
      <c r="I782" s="75">
        <f t="shared" si="224"/>
        <v>0</v>
      </c>
      <c r="J782" s="74"/>
      <c r="K782" s="75">
        <f t="shared" si="225"/>
        <v>0</v>
      </c>
      <c r="L782" s="156">
        <f t="shared" si="226"/>
        <v>0</v>
      </c>
      <c r="M782" s="157"/>
      <c r="N782" s="73">
        <v>151</v>
      </c>
      <c r="O782" s="86">
        <f t="shared" si="237"/>
        <v>-1.0913936421275139E-11</v>
      </c>
      <c r="P782" s="50">
        <f t="shared" si="227"/>
        <v>0</v>
      </c>
      <c r="Q782" s="86">
        <f t="shared" si="228"/>
        <v>0</v>
      </c>
      <c r="R782" s="86">
        <f t="shared" si="229"/>
        <v>0</v>
      </c>
      <c r="S782" s="74">
        <f t="shared" si="230"/>
        <v>-1.0913936421275139E-11</v>
      </c>
      <c r="T782" s="112">
        <f t="shared" si="231"/>
        <v>-5.1199605193823473E-12</v>
      </c>
      <c r="U782" s="112">
        <f t="shared" si="232"/>
        <v>0</v>
      </c>
      <c r="V782" s="75">
        <f t="shared" si="233"/>
        <v>0</v>
      </c>
      <c r="W782" s="74"/>
      <c r="X782" s="75">
        <f t="shared" si="234"/>
        <v>0</v>
      </c>
      <c r="Y782" s="156">
        <f t="shared" si="235"/>
        <v>-3.6289065407398638E-14</v>
      </c>
      <c r="Z782" s="46"/>
      <c r="AA782" s="107">
        <f t="shared" si="217"/>
        <v>0</v>
      </c>
    </row>
    <row r="783" spans="1:27" x14ac:dyDescent="0.2">
      <c r="A783" s="73">
        <v>152</v>
      </c>
      <c r="B783" s="86">
        <f t="shared" si="236"/>
        <v>0</v>
      </c>
      <c r="C783" s="50">
        <f t="shared" si="218"/>
        <v>0</v>
      </c>
      <c r="D783" s="86">
        <f t="shared" si="219"/>
        <v>0</v>
      </c>
      <c r="E783" s="86">
        <f t="shared" si="220"/>
        <v>0</v>
      </c>
      <c r="F783" s="74">
        <f t="shared" si="221"/>
        <v>0</v>
      </c>
      <c r="G783" s="112">
        <f t="shared" si="222"/>
        <v>0</v>
      </c>
      <c r="H783" s="112">
        <f t="shared" si="223"/>
        <v>0</v>
      </c>
      <c r="I783" s="75">
        <f t="shared" si="224"/>
        <v>0</v>
      </c>
      <c r="J783" s="74"/>
      <c r="K783" s="75">
        <f t="shared" si="225"/>
        <v>0</v>
      </c>
      <c r="L783" s="156">
        <f t="shared" si="226"/>
        <v>0</v>
      </c>
      <c r="M783" s="157"/>
      <c r="N783" s="73">
        <v>152</v>
      </c>
      <c r="O783" s="86">
        <f t="shared" si="237"/>
        <v>-1.0913936421275139E-11</v>
      </c>
      <c r="P783" s="50">
        <f t="shared" si="227"/>
        <v>0</v>
      </c>
      <c r="Q783" s="86">
        <f t="shared" si="228"/>
        <v>0</v>
      </c>
      <c r="R783" s="86">
        <f t="shared" si="229"/>
        <v>0</v>
      </c>
      <c r="S783" s="74">
        <f t="shared" si="230"/>
        <v>-1.0913936421275139E-11</v>
      </c>
      <c r="T783" s="112">
        <f t="shared" si="231"/>
        <v>-5.0943607167854355E-12</v>
      </c>
      <c r="U783" s="112">
        <f t="shared" si="232"/>
        <v>0</v>
      </c>
      <c r="V783" s="75">
        <f t="shared" si="233"/>
        <v>0</v>
      </c>
      <c r="W783" s="74"/>
      <c r="X783" s="75">
        <f t="shared" si="234"/>
        <v>0</v>
      </c>
      <c r="Y783" s="156">
        <f t="shared" si="235"/>
        <v>-3.6289065407398638E-14</v>
      </c>
      <c r="Z783" s="46"/>
      <c r="AA783" s="107">
        <f t="shared" si="217"/>
        <v>0</v>
      </c>
    </row>
    <row r="784" spans="1:27" x14ac:dyDescent="0.2">
      <c r="A784" s="73">
        <v>153</v>
      </c>
      <c r="B784" s="86">
        <f t="shared" si="236"/>
        <v>0</v>
      </c>
      <c r="C784" s="50">
        <f t="shared" si="218"/>
        <v>0</v>
      </c>
      <c r="D784" s="86">
        <f t="shared" si="219"/>
        <v>0</v>
      </c>
      <c r="E784" s="86">
        <f t="shared" si="220"/>
        <v>0</v>
      </c>
      <c r="F784" s="74">
        <f t="shared" si="221"/>
        <v>0</v>
      </c>
      <c r="G784" s="112">
        <f t="shared" si="222"/>
        <v>0</v>
      </c>
      <c r="H784" s="112">
        <f t="shared" si="223"/>
        <v>0</v>
      </c>
      <c r="I784" s="75">
        <f t="shared" si="224"/>
        <v>0</v>
      </c>
      <c r="J784" s="74"/>
      <c r="K784" s="75">
        <f t="shared" si="225"/>
        <v>0</v>
      </c>
      <c r="L784" s="156">
        <f t="shared" si="226"/>
        <v>0</v>
      </c>
      <c r="M784" s="157"/>
      <c r="N784" s="73">
        <v>153</v>
      </c>
      <c r="O784" s="86">
        <f t="shared" si="237"/>
        <v>-1.0913936421275139E-11</v>
      </c>
      <c r="P784" s="50">
        <f t="shared" si="227"/>
        <v>0</v>
      </c>
      <c r="Q784" s="86">
        <f t="shared" si="228"/>
        <v>0</v>
      </c>
      <c r="R784" s="86">
        <f t="shared" si="229"/>
        <v>0</v>
      </c>
      <c r="S784" s="74">
        <f t="shared" si="230"/>
        <v>-1.0913936421275139E-11</v>
      </c>
      <c r="T784" s="112">
        <f t="shared" si="231"/>
        <v>-5.0688889132015085E-12</v>
      </c>
      <c r="U784" s="112">
        <f t="shared" si="232"/>
        <v>0</v>
      </c>
      <c r="V784" s="75">
        <f t="shared" si="233"/>
        <v>0</v>
      </c>
      <c r="W784" s="74"/>
      <c r="X784" s="75">
        <f t="shared" si="234"/>
        <v>0</v>
      </c>
      <c r="Y784" s="156">
        <f t="shared" si="235"/>
        <v>-3.6289065407398638E-14</v>
      </c>
      <c r="Z784" s="46"/>
      <c r="AA784" s="107">
        <f t="shared" si="217"/>
        <v>0</v>
      </c>
    </row>
    <row r="785" spans="1:27" x14ac:dyDescent="0.2">
      <c r="A785" s="73">
        <v>154</v>
      </c>
      <c r="B785" s="86">
        <f t="shared" si="236"/>
        <v>0</v>
      </c>
      <c r="C785" s="50">
        <f t="shared" si="218"/>
        <v>0</v>
      </c>
      <c r="D785" s="86">
        <f t="shared" si="219"/>
        <v>0</v>
      </c>
      <c r="E785" s="86">
        <f t="shared" si="220"/>
        <v>0</v>
      </c>
      <c r="F785" s="74">
        <f t="shared" si="221"/>
        <v>0</v>
      </c>
      <c r="G785" s="112">
        <f t="shared" si="222"/>
        <v>0</v>
      </c>
      <c r="H785" s="112">
        <f t="shared" si="223"/>
        <v>0</v>
      </c>
      <c r="I785" s="75">
        <f t="shared" si="224"/>
        <v>0</v>
      </c>
      <c r="J785" s="74"/>
      <c r="K785" s="75">
        <f t="shared" si="225"/>
        <v>0</v>
      </c>
      <c r="L785" s="156">
        <f t="shared" si="226"/>
        <v>0</v>
      </c>
      <c r="M785" s="157"/>
      <c r="N785" s="73">
        <v>154</v>
      </c>
      <c r="O785" s="86">
        <f t="shared" si="237"/>
        <v>-1.0913936421275139E-11</v>
      </c>
      <c r="P785" s="50">
        <f t="shared" si="227"/>
        <v>0</v>
      </c>
      <c r="Q785" s="86">
        <f t="shared" si="228"/>
        <v>0</v>
      </c>
      <c r="R785" s="86">
        <f t="shared" si="229"/>
        <v>0</v>
      </c>
      <c r="S785" s="74">
        <f t="shared" si="230"/>
        <v>-1.0913936421275139E-11</v>
      </c>
      <c r="T785" s="112">
        <f t="shared" si="231"/>
        <v>-5.0435444686355014E-12</v>
      </c>
      <c r="U785" s="112">
        <f t="shared" si="232"/>
        <v>0</v>
      </c>
      <c r="V785" s="75">
        <f t="shared" si="233"/>
        <v>0</v>
      </c>
      <c r="W785" s="74"/>
      <c r="X785" s="75">
        <f t="shared" si="234"/>
        <v>0</v>
      </c>
      <c r="Y785" s="156">
        <f t="shared" si="235"/>
        <v>-3.6289065407398638E-14</v>
      </c>
      <c r="Z785" s="46"/>
      <c r="AA785" s="107">
        <f t="shared" si="217"/>
        <v>0</v>
      </c>
    </row>
    <row r="786" spans="1:27" x14ac:dyDescent="0.2">
      <c r="A786" s="73">
        <v>155</v>
      </c>
      <c r="B786" s="86">
        <f t="shared" si="236"/>
        <v>0</v>
      </c>
      <c r="C786" s="50">
        <f t="shared" si="218"/>
        <v>0</v>
      </c>
      <c r="D786" s="86">
        <f t="shared" si="219"/>
        <v>0</v>
      </c>
      <c r="E786" s="86">
        <f t="shared" si="220"/>
        <v>0</v>
      </c>
      <c r="F786" s="74">
        <f t="shared" si="221"/>
        <v>0</v>
      </c>
      <c r="G786" s="112">
        <f t="shared" si="222"/>
        <v>0</v>
      </c>
      <c r="H786" s="112">
        <f t="shared" si="223"/>
        <v>0</v>
      </c>
      <c r="I786" s="75">
        <f t="shared" si="224"/>
        <v>0</v>
      </c>
      <c r="J786" s="74"/>
      <c r="K786" s="75">
        <f t="shared" si="225"/>
        <v>0</v>
      </c>
      <c r="L786" s="156">
        <f t="shared" si="226"/>
        <v>0</v>
      </c>
      <c r="M786" s="157"/>
      <c r="N786" s="73">
        <v>155</v>
      </c>
      <c r="O786" s="86">
        <f t="shared" si="237"/>
        <v>-1.0913936421275139E-11</v>
      </c>
      <c r="P786" s="50">
        <f t="shared" si="227"/>
        <v>0</v>
      </c>
      <c r="Q786" s="86">
        <f t="shared" si="228"/>
        <v>0</v>
      </c>
      <c r="R786" s="86">
        <f t="shared" si="229"/>
        <v>0</v>
      </c>
      <c r="S786" s="74">
        <f t="shared" si="230"/>
        <v>-1.0913936421275139E-11</v>
      </c>
      <c r="T786" s="112">
        <f t="shared" si="231"/>
        <v>-5.0183267462923231E-12</v>
      </c>
      <c r="U786" s="112">
        <f t="shared" si="232"/>
        <v>0</v>
      </c>
      <c r="V786" s="75">
        <f t="shared" si="233"/>
        <v>0</v>
      </c>
      <c r="W786" s="74"/>
      <c r="X786" s="75">
        <f t="shared" si="234"/>
        <v>0</v>
      </c>
      <c r="Y786" s="156">
        <f t="shared" si="235"/>
        <v>-3.6289065407398638E-14</v>
      </c>
      <c r="Z786" s="46"/>
      <c r="AA786" s="107">
        <f t="shared" si="217"/>
        <v>0</v>
      </c>
    </row>
    <row r="787" spans="1:27" x14ac:dyDescent="0.2">
      <c r="A787" s="73">
        <v>156</v>
      </c>
      <c r="B787" s="86">
        <f t="shared" si="236"/>
        <v>0</v>
      </c>
      <c r="C787" s="50">
        <f t="shared" si="218"/>
        <v>0</v>
      </c>
      <c r="D787" s="86">
        <f t="shared" si="219"/>
        <v>0</v>
      </c>
      <c r="E787" s="86">
        <f t="shared" si="220"/>
        <v>0</v>
      </c>
      <c r="F787" s="74">
        <f t="shared" si="221"/>
        <v>0</v>
      </c>
      <c r="G787" s="112">
        <f t="shared" si="222"/>
        <v>0</v>
      </c>
      <c r="H787" s="112">
        <f t="shared" si="223"/>
        <v>0</v>
      </c>
      <c r="I787" s="75">
        <f t="shared" si="224"/>
        <v>0</v>
      </c>
      <c r="J787" s="74"/>
      <c r="K787" s="75">
        <f t="shared" si="225"/>
        <v>0</v>
      </c>
      <c r="L787" s="156">
        <f t="shared" si="226"/>
        <v>0</v>
      </c>
      <c r="M787" s="157"/>
      <c r="N787" s="73">
        <v>156</v>
      </c>
      <c r="O787" s="86">
        <f t="shared" si="237"/>
        <v>-1.0913936421275139E-11</v>
      </c>
      <c r="P787" s="50">
        <f t="shared" si="227"/>
        <v>0</v>
      </c>
      <c r="Q787" s="86">
        <f t="shared" si="228"/>
        <v>0</v>
      </c>
      <c r="R787" s="86">
        <f t="shared" si="229"/>
        <v>0</v>
      </c>
      <c r="S787" s="74">
        <f t="shared" si="230"/>
        <v>-1.0913936421275139E-11</v>
      </c>
      <c r="T787" s="112">
        <f t="shared" si="231"/>
        <v>-4.9932351125608622E-12</v>
      </c>
      <c r="U787" s="112">
        <f t="shared" si="232"/>
        <v>0</v>
      </c>
      <c r="V787" s="75">
        <f t="shared" si="233"/>
        <v>0</v>
      </c>
      <c r="W787" s="74"/>
      <c r="X787" s="75">
        <f t="shared" si="234"/>
        <v>0</v>
      </c>
      <c r="Y787" s="156">
        <f t="shared" si="235"/>
        <v>-3.6289065407398638E-14</v>
      </c>
      <c r="Z787" s="46"/>
      <c r="AA787" s="107">
        <f t="shared" si="217"/>
        <v>0</v>
      </c>
    </row>
    <row r="788" spans="1:27" x14ac:dyDescent="0.2">
      <c r="A788" s="73">
        <v>157</v>
      </c>
      <c r="B788" s="86">
        <f t="shared" si="236"/>
        <v>0</v>
      </c>
      <c r="C788" s="50">
        <f t="shared" si="218"/>
        <v>0</v>
      </c>
      <c r="D788" s="86">
        <f t="shared" si="219"/>
        <v>0</v>
      </c>
      <c r="E788" s="86">
        <f t="shared" si="220"/>
        <v>0</v>
      </c>
      <c r="F788" s="74">
        <f t="shared" si="221"/>
        <v>0</v>
      </c>
      <c r="G788" s="112">
        <f t="shared" si="222"/>
        <v>0</v>
      </c>
      <c r="H788" s="112">
        <f t="shared" si="223"/>
        <v>0</v>
      </c>
      <c r="I788" s="75">
        <f t="shared" si="224"/>
        <v>0</v>
      </c>
      <c r="J788" s="74"/>
      <c r="K788" s="75">
        <f t="shared" si="225"/>
        <v>0</v>
      </c>
      <c r="L788" s="156">
        <f t="shared" si="226"/>
        <v>0</v>
      </c>
      <c r="M788" s="157"/>
      <c r="N788" s="73">
        <v>157</v>
      </c>
      <c r="O788" s="86">
        <f t="shared" si="237"/>
        <v>-1.0913936421275139E-11</v>
      </c>
      <c r="P788" s="50">
        <f t="shared" si="227"/>
        <v>0</v>
      </c>
      <c r="Q788" s="86">
        <f t="shared" si="228"/>
        <v>0</v>
      </c>
      <c r="R788" s="86">
        <f t="shared" si="229"/>
        <v>0</v>
      </c>
      <c r="S788" s="74">
        <f t="shared" si="230"/>
        <v>-1.0913936421275139E-11</v>
      </c>
      <c r="T788" s="112">
        <f t="shared" si="231"/>
        <v>-4.9682689369980585E-12</v>
      </c>
      <c r="U788" s="112">
        <f t="shared" si="232"/>
        <v>0</v>
      </c>
      <c r="V788" s="75">
        <f t="shared" si="233"/>
        <v>0</v>
      </c>
      <c r="W788" s="74"/>
      <c r="X788" s="75">
        <f t="shared" si="234"/>
        <v>0</v>
      </c>
      <c r="Y788" s="156">
        <f t="shared" si="235"/>
        <v>-3.6289065407398638E-14</v>
      </c>
      <c r="Z788" s="46"/>
      <c r="AA788" s="107">
        <f t="shared" si="217"/>
        <v>0</v>
      </c>
    </row>
    <row r="789" spans="1:27" x14ac:dyDescent="0.2">
      <c r="A789" s="73">
        <v>158</v>
      </c>
      <c r="B789" s="86">
        <f t="shared" si="236"/>
        <v>0</v>
      </c>
      <c r="C789" s="50">
        <f t="shared" si="218"/>
        <v>0</v>
      </c>
      <c r="D789" s="86">
        <f t="shared" si="219"/>
        <v>0</v>
      </c>
      <c r="E789" s="86">
        <f t="shared" si="220"/>
        <v>0</v>
      </c>
      <c r="F789" s="74">
        <f t="shared" si="221"/>
        <v>0</v>
      </c>
      <c r="G789" s="112">
        <f t="shared" si="222"/>
        <v>0</v>
      </c>
      <c r="H789" s="112">
        <f t="shared" si="223"/>
        <v>0</v>
      </c>
      <c r="I789" s="75">
        <f t="shared" si="224"/>
        <v>0</v>
      </c>
      <c r="J789" s="74"/>
      <c r="K789" s="75">
        <f t="shared" si="225"/>
        <v>0</v>
      </c>
      <c r="L789" s="156">
        <f t="shared" si="226"/>
        <v>0</v>
      </c>
      <c r="M789" s="157"/>
      <c r="N789" s="73">
        <v>158</v>
      </c>
      <c r="O789" s="86">
        <f t="shared" si="237"/>
        <v>-1.0913936421275139E-11</v>
      </c>
      <c r="P789" s="50">
        <f t="shared" si="227"/>
        <v>0</v>
      </c>
      <c r="Q789" s="86">
        <f t="shared" si="228"/>
        <v>0</v>
      </c>
      <c r="R789" s="86">
        <f t="shared" si="229"/>
        <v>0</v>
      </c>
      <c r="S789" s="74">
        <f t="shared" si="230"/>
        <v>-1.0913936421275139E-11</v>
      </c>
      <c r="T789" s="112">
        <f t="shared" si="231"/>
        <v>-4.9434275923130678E-12</v>
      </c>
      <c r="U789" s="112">
        <f t="shared" si="232"/>
        <v>0</v>
      </c>
      <c r="V789" s="75">
        <f t="shared" si="233"/>
        <v>0</v>
      </c>
      <c r="W789" s="74"/>
      <c r="X789" s="75">
        <f t="shared" si="234"/>
        <v>0</v>
      </c>
      <c r="Y789" s="156">
        <f t="shared" si="235"/>
        <v>-3.6289065407398638E-14</v>
      </c>
      <c r="Z789" s="46"/>
      <c r="AA789" s="107">
        <f t="shared" si="217"/>
        <v>0</v>
      </c>
    </row>
    <row r="790" spans="1:27" x14ac:dyDescent="0.2">
      <c r="A790" s="73">
        <v>159</v>
      </c>
      <c r="B790" s="86">
        <f t="shared" si="236"/>
        <v>0</v>
      </c>
      <c r="C790" s="50">
        <f t="shared" si="218"/>
        <v>0</v>
      </c>
      <c r="D790" s="86">
        <f t="shared" si="219"/>
        <v>0</v>
      </c>
      <c r="E790" s="86">
        <f t="shared" si="220"/>
        <v>0</v>
      </c>
      <c r="F790" s="74">
        <f t="shared" si="221"/>
        <v>0</v>
      </c>
      <c r="G790" s="112">
        <f t="shared" si="222"/>
        <v>0</v>
      </c>
      <c r="H790" s="112">
        <f t="shared" si="223"/>
        <v>0</v>
      </c>
      <c r="I790" s="75">
        <f t="shared" si="224"/>
        <v>0</v>
      </c>
      <c r="J790" s="74"/>
      <c r="K790" s="75">
        <f t="shared" si="225"/>
        <v>0</v>
      </c>
      <c r="L790" s="156">
        <f t="shared" si="226"/>
        <v>0</v>
      </c>
      <c r="M790" s="157"/>
      <c r="N790" s="73">
        <v>159</v>
      </c>
      <c r="O790" s="86">
        <f t="shared" si="237"/>
        <v>-1.0913936421275139E-11</v>
      </c>
      <c r="P790" s="50">
        <f t="shared" si="227"/>
        <v>0</v>
      </c>
      <c r="Q790" s="86">
        <f t="shared" si="228"/>
        <v>0</v>
      </c>
      <c r="R790" s="86">
        <f t="shared" si="229"/>
        <v>0</v>
      </c>
      <c r="S790" s="74">
        <f t="shared" si="230"/>
        <v>-1.0913936421275139E-11</v>
      </c>
      <c r="T790" s="112">
        <f t="shared" si="231"/>
        <v>-4.918710454351502E-12</v>
      </c>
      <c r="U790" s="112">
        <f t="shared" si="232"/>
        <v>0</v>
      </c>
      <c r="V790" s="75">
        <f t="shared" si="233"/>
        <v>0</v>
      </c>
      <c r="W790" s="74"/>
      <c r="X790" s="75">
        <f t="shared" si="234"/>
        <v>0</v>
      </c>
      <c r="Y790" s="156">
        <f t="shared" si="235"/>
        <v>-3.6289065407398638E-14</v>
      </c>
      <c r="Z790" s="46"/>
      <c r="AA790" s="107">
        <f t="shared" si="217"/>
        <v>0</v>
      </c>
    </row>
    <row r="791" spans="1:27" x14ac:dyDescent="0.2">
      <c r="A791" s="73">
        <v>160</v>
      </c>
      <c r="B791" s="86">
        <f t="shared" si="236"/>
        <v>0</v>
      </c>
      <c r="C791" s="50">
        <f t="shared" si="218"/>
        <v>0</v>
      </c>
      <c r="D791" s="86">
        <f t="shared" si="219"/>
        <v>0</v>
      </c>
      <c r="E791" s="86">
        <f t="shared" si="220"/>
        <v>0</v>
      </c>
      <c r="F791" s="74">
        <f t="shared" si="221"/>
        <v>0</v>
      </c>
      <c r="G791" s="112">
        <f t="shared" si="222"/>
        <v>0</v>
      </c>
      <c r="H791" s="112">
        <f t="shared" si="223"/>
        <v>0</v>
      </c>
      <c r="I791" s="75">
        <f t="shared" si="224"/>
        <v>0</v>
      </c>
      <c r="J791" s="74"/>
      <c r="K791" s="75">
        <f t="shared" si="225"/>
        <v>0</v>
      </c>
      <c r="L791" s="156">
        <f t="shared" si="226"/>
        <v>0</v>
      </c>
      <c r="M791" s="157"/>
      <c r="N791" s="73">
        <v>160</v>
      </c>
      <c r="O791" s="86">
        <f t="shared" si="237"/>
        <v>-1.0913936421275139E-11</v>
      </c>
      <c r="P791" s="50">
        <f t="shared" si="227"/>
        <v>0</v>
      </c>
      <c r="Q791" s="86">
        <f t="shared" si="228"/>
        <v>0</v>
      </c>
      <c r="R791" s="86">
        <f t="shared" si="229"/>
        <v>0</v>
      </c>
      <c r="S791" s="74">
        <f t="shared" si="230"/>
        <v>-1.0913936421275139E-11</v>
      </c>
      <c r="T791" s="112">
        <f t="shared" si="231"/>
        <v>-4.8941169020797449E-12</v>
      </c>
      <c r="U791" s="112">
        <f t="shared" si="232"/>
        <v>0</v>
      </c>
      <c r="V791" s="75">
        <f t="shared" si="233"/>
        <v>0</v>
      </c>
      <c r="W791" s="74"/>
      <c r="X791" s="75">
        <f t="shared" si="234"/>
        <v>0</v>
      </c>
      <c r="Y791" s="156">
        <f t="shared" si="235"/>
        <v>-3.6289065407398638E-14</v>
      </c>
      <c r="Z791" s="46"/>
      <c r="AA791" s="107">
        <f t="shared" ref="AA791:AA812" si="238">+V791-I791</f>
        <v>0</v>
      </c>
    </row>
    <row r="792" spans="1:27" x14ac:dyDescent="0.2">
      <c r="A792" s="73">
        <v>161</v>
      </c>
      <c r="B792" s="86">
        <f t="shared" si="236"/>
        <v>0</v>
      </c>
      <c r="C792" s="50">
        <f t="shared" ref="C792:C812" si="239">(IF(A792&lt;$B$613,PMT($B$614/12,$B$613,-$B$612,$B$617,$B$620),IF(A792=$B$613,PMT($B$614/12,$B$613,-$B$612,$B$617,$B$620)+$B$617,0)))</f>
        <v>0</v>
      </c>
      <c r="D792" s="86">
        <f t="shared" ref="D792:D812" si="240">IF(A792&lt;=$B$613,B792*$B$614/12,0)</f>
        <v>0</v>
      </c>
      <c r="E792" s="86">
        <f t="shared" ref="E792:E823" si="241">C792-D792</f>
        <v>0</v>
      </c>
      <c r="F792" s="74">
        <f t="shared" ref="F792:F823" si="242">(B792-E792)</f>
        <v>0</v>
      </c>
      <c r="G792" s="112">
        <f t="shared" ref="G792:G812" si="243">B792*(1-B$621)^($A792)</f>
        <v>0</v>
      </c>
      <c r="H792" s="112">
        <f t="shared" ref="H792:H823" si="244">IF(A792&lt;=$B$613,G792*$B$614/12,0)</f>
        <v>0</v>
      </c>
      <c r="I792" s="75">
        <f t="shared" ref="I792:I812" si="245">C792</f>
        <v>0</v>
      </c>
      <c r="J792" s="74"/>
      <c r="K792" s="75">
        <f t="shared" ref="K792:K812" si="246">C792</f>
        <v>0</v>
      </c>
      <c r="L792" s="156">
        <f t="shared" ref="L792:L812" si="247">F792/$B$612*100</f>
        <v>0</v>
      </c>
      <c r="M792" s="157"/>
      <c r="N792" s="73">
        <v>161</v>
      </c>
      <c r="O792" s="86">
        <f t="shared" si="237"/>
        <v>-1.0913936421275139E-11</v>
      </c>
      <c r="P792" s="50">
        <f t="shared" ref="P792:P812" si="248">(IF(N792&lt;$B$613,PMT($B$615/12,$B$613,-$B$612,$B$617,0),IF(N792=$B$613,PMT($B$615/12,$B$613,-$B$612,$B$617,0)+$B$617,0)))</f>
        <v>0</v>
      </c>
      <c r="Q792" s="86">
        <f t="shared" ref="Q792:Q812" si="249">IF(N792&lt;=$B$613,O792*$B$615/12,0)</f>
        <v>0</v>
      </c>
      <c r="R792" s="86">
        <f t="shared" ref="R792:R823" si="250">P792-Q792</f>
        <v>0</v>
      </c>
      <c r="S792" s="74">
        <f t="shared" ref="S792:S823" si="251">(O792-R792)</f>
        <v>-1.0913936421275139E-11</v>
      </c>
      <c r="T792" s="112">
        <f t="shared" ref="T792:T812" si="252">O792*(1-B$621)^($N792)</f>
        <v>-4.8696463175693463E-12</v>
      </c>
      <c r="U792" s="112">
        <f t="shared" ref="U792:U823" si="253">IF(N792&lt;=$B$613,T792*$B$615/12,0)</f>
        <v>0</v>
      </c>
      <c r="V792" s="75">
        <f t="shared" ref="V792:V812" si="254">P792</f>
        <v>0</v>
      </c>
      <c r="W792" s="74"/>
      <c r="X792" s="75">
        <f t="shared" ref="X792:X812" si="255">P792</f>
        <v>0</v>
      </c>
      <c r="Y792" s="156">
        <f t="shared" ref="Y792:Y812" si="256">S792/$B$612*100</f>
        <v>-3.6289065407398638E-14</v>
      </c>
      <c r="Z792" s="46"/>
      <c r="AA792" s="107">
        <f t="shared" si="238"/>
        <v>0</v>
      </c>
    </row>
    <row r="793" spans="1:27" x14ac:dyDescent="0.2">
      <c r="A793" s="73">
        <v>162</v>
      </c>
      <c r="B793" s="86">
        <f t="shared" ref="B793:B812" si="257">+F792</f>
        <v>0</v>
      </c>
      <c r="C793" s="50">
        <f t="shared" si="239"/>
        <v>0</v>
      </c>
      <c r="D793" s="86">
        <f t="shared" si="240"/>
        <v>0</v>
      </c>
      <c r="E793" s="86">
        <f t="shared" si="241"/>
        <v>0</v>
      </c>
      <c r="F793" s="74">
        <f t="shared" si="242"/>
        <v>0</v>
      </c>
      <c r="G793" s="112">
        <f t="shared" si="243"/>
        <v>0</v>
      </c>
      <c r="H793" s="112">
        <f t="shared" si="244"/>
        <v>0</v>
      </c>
      <c r="I793" s="75">
        <f t="shared" si="245"/>
        <v>0</v>
      </c>
      <c r="J793" s="74"/>
      <c r="K793" s="75">
        <f t="shared" si="246"/>
        <v>0</v>
      </c>
      <c r="L793" s="156">
        <f t="shared" si="247"/>
        <v>0</v>
      </c>
      <c r="M793" s="157"/>
      <c r="N793" s="73">
        <v>162</v>
      </c>
      <c r="O793" s="86">
        <f t="shared" ref="O793:O812" si="258">+S792</f>
        <v>-1.0913936421275139E-11</v>
      </c>
      <c r="P793" s="50">
        <f t="shared" si="248"/>
        <v>0</v>
      </c>
      <c r="Q793" s="86">
        <f t="shared" si="249"/>
        <v>0</v>
      </c>
      <c r="R793" s="86">
        <f t="shared" si="250"/>
        <v>0</v>
      </c>
      <c r="S793" s="74">
        <f t="shared" si="251"/>
        <v>-1.0913936421275139E-11</v>
      </c>
      <c r="T793" s="112">
        <f t="shared" si="252"/>
        <v>-4.8452980859814992E-12</v>
      </c>
      <c r="U793" s="112">
        <f t="shared" si="253"/>
        <v>0</v>
      </c>
      <c r="V793" s="75">
        <f t="shared" si="254"/>
        <v>0</v>
      </c>
      <c r="W793" s="74"/>
      <c r="X793" s="75">
        <f t="shared" si="255"/>
        <v>0</v>
      </c>
      <c r="Y793" s="156">
        <f t="shared" si="256"/>
        <v>-3.6289065407398638E-14</v>
      </c>
      <c r="Z793" s="46"/>
      <c r="AA793" s="107">
        <f t="shared" si="238"/>
        <v>0</v>
      </c>
    </row>
    <row r="794" spans="1:27" x14ac:dyDescent="0.2">
      <c r="A794" s="73">
        <v>163</v>
      </c>
      <c r="B794" s="86">
        <f t="shared" si="257"/>
        <v>0</v>
      </c>
      <c r="C794" s="50">
        <f t="shared" si="239"/>
        <v>0</v>
      </c>
      <c r="D794" s="86">
        <f t="shared" si="240"/>
        <v>0</v>
      </c>
      <c r="E794" s="86">
        <f t="shared" si="241"/>
        <v>0</v>
      </c>
      <c r="F794" s="74">
        <f t="shared" si="242"/>
        <v>0</v>
      </c>
      <c r="G794" s="112">
        <f t="shared" si="243"/>
        <v>0</v>
      </c>
      <c r="H794" s="112">
        <f t="shared" si="244"/>
        <v>0</v>
      </c>
      <c r="I794" s="75">
        <f t="shared" si="245"/>
        <v>0</v>
      </c>
      <c r="J794" s="74"/>
      <c r="K794" s="75">
        <f t="shared" si="246"/>
        <v>0</v>
      </c>
      <c r="L794" s="156">
        <f t="shared" si="247"/>
        <v>0</v>
      </c>
      <c r="M794" s="157"/>
      <c r="N794" s="73">
        <v>163</v>
      </c>
      <c r="O794" s="86">
        <f t="shared" si="258"/>
        <v>-1.0913936421275139E-11</v>
      </c>
      <c r="P794" s="50">
        <f t="shared" si="248"/>
        <v>0</v>
      </c>
      <c r="Q794" s="86">
        <f t="shared" si="249"/>
        <v>0</v>
      </c>
      <c r="R794" s="86">
        <f t="shared" si="250"/>
        <v>0</v>
      </c>
      <c r="S794" s="74">
        <f t="shared" si="251"/>
        <v>-1.0913936421275139E-11</v>
      </c>
      <c r="T794" s="112">
        <f t="shared" si="252"/>
        <v>-4.8210715955515922E-12</v>
      </c>
      <c r="U794" s="112">
        <f t="shared" si="253"/>
        <v>0</v>
      </c>
      <c r="V794" s="75">
        <f t="shared" si="254"/>
        <v>0</v>
      </c>
      <c r="W794" s="74"/>
      <c r="X794" s="75">
        <f t="shared" si="255"/>
        <v>0</v>
      </c>
      <c r="Y794" s="156">
        <f t="shared" si="256"/>
        <v>-3.6289065407398638E-14</v>
      </c>
      <c r="Z794" s="46"/>
      <c r="AA794" s="107">
        <f t="shared" si="238"/>
        <v>0</v>
      </c>
    </row>
    <row r="795" spans="1:27" x14ac:dyDescent="0.2">
      <c r="A795" s="73">
        <v>164</v>
      </c>
      <c r="B795" s="86">
        <f t="shared" si="257"/>
        <v>0</v>
      </c>
      <c r="C795" s="50">
        <f t="shared" si="239"/>
        <v>0</v>
      </c>
      <c r="D795" s="86">
        <f t="shared" si="240"/>
        <v>0</v>
      </c>
      <c r="E795" s="86">
        <f t="shared" si="241"/>
        <v>0</v>
      </c>
      <c r="F795" s="74">
        <f t="shared" si="242"/>
        <v>0</v>
      </c>
      <c r="G795" s="112">
        <f t="shared" si="243"/>
        <v>0</v>
      </c>
      <c r="H795" s="112">
        <f t="shared" si="244"/>
        <v>0</v>
      </c>
      <c r="I795" s="75">
        <f t="shared" si="245"/>
        <v>0</v>
      </c>
      <c r="J795" s="74"/>
      <c r="K795" s="75">
        <f t="shared" si="246"/>
        <v>0</v>
      </c>
      <c r="L795" s="156">
        <f t="shared" si="247"/>
        <v>0</v>
      </c>
      <c r="M795" s="157"/>
      <c r="N795" s="73">
        <v>164</v>
      </c>
      <c r="O795" s="86">
        <f t="shared" si="258"/>
        <v>-1.0913936421275139E-11</v>
      </c>
      <c r="P795" s="50">
        <f t="shared" si="248"/>
        <v>0</v>
      </c>
      <c r="Q795" s="86">
        <f t="shared" si="249"/>
        <v>0</v>
      </c>
      <c r="R795" s="86">
        <f t="shared" si="250"/>
        <v>0</v>
      </c>
      <c r="S795" s="74">
        <f t="shared" si="251"/>
        <v>-1.0913936421275139E-11</v>
      </c>
      <c r="T795" s="112">
        <f t="shared" si="252"/>
        <v>-4.7969662375738341E-12</v>
      </c>
      <c r="U795" s="112">
        <f t="shared" si="253"/>
        <v>0</v>
      </c>
      <c r="V795" s="75">
        <f t="shared" si="254"/>
        <v>0</v>
      </c>
      <c r="W795" s="74"/>
      <c r="X795" s="75">
        <f t="shared" si="255"/>
        <v>0</v>
      </c>
      <c r="Y795" s="156">
        <f t="shared" si="256"/>
        <v>-3.6289065407398638E-14</v>
      </c>
      <c r="Z795" s="46"/>
      <c r="AA795" s="107">
        <f t="shared" si="238"/>
        <v>0</v>
      </c>
    </row>
    <row r="796" spans="1:27" x14ac:dyDescent="0.2">
      <c r="A796" s="73">
        <v>165</v>
      </c>
      <c r="B796" s="86">
        <f t="shared" si="257"/>
        <v>0</v>
      </c>
      <c r="C796" s="50">
        <f t="shared" si="239"/>
        <v>0</v>
      </c>
      <c r="D796" s="86">
        <f t="shared" si="240"/>
        <v>0</v>
      </c>
      <c r="E796" s="86">
        <f t="shared" si="241"/>
        <v>0</v>
      </c>
      <c r="F796" s="74">
        <f t="shared" si="242"/>
        <v>0</v>
      </c>
      <c r="G796" s="112">
        <f t="shared" si="243"/>
        <v>0</v>
      </c>
      <c r="H796" s="112">
        <f t="shared" si="244"/>
        <v>0</v>
      </c>
      <c r="I796" s="75">
        <f t="shared" si="245"/>
        <v>0</v>
      </c>
      <c r="J796" s="74"/>
      <c r="K796" s="75">
        <f t="shared" si="246"/>
        <v>0</v>
      </c>
      <c r="L796" s="156">
        <f t="shared" si="247"/>
        <v>0</v>
      </c>
      <c r="M796" s="157"/>
      <c r="N796" s="73">
        <v>165</v>
      </c>
      <c r="O796" s="86">
        <f t="shared" si="258"/>
        <v>-1.0913936421275139E-11</v>
      </c>
      <c r="P796" s="50">
        <f t="shared" si="248"/>
        <v>0</v>
      </c>
      <c r="Q796" s="86">
        <f t="shared" si="249"/>
        <v>0</v>
      </c>
      <c r="R796" s="86">
        <f t="shared" si="250"/>
        <v>0</v>
      </c>
      <c r="S796" s="74">
        <f t="shared" si="251"/>
        <v>-1.0913936421275139E-11</v>
      </c>
      <c r="T796" s="112">
        <f t="shared" si="252"/>
        <v>-4.7729814063859657E-12</v>
      </c>
      <c r="U796" s="112">
        <f t="shared" si="253"/>
        <v>0</v>
      </c>
      <c r="V796" s="75">
        <f t="shared" si="254"/>
        <v>0</v>
      </c>
      <c r="W796" s="74"/>
      <c r="X796" s="75">
        <f t="shared" si="255"/>
        <v>0</v>
      </c>
      <c r="Y796" s="156">
        <f t="shared" si="256"/>
        <v>-3.6289065407398638E-14</v>
      </c>
      <c r="Z796" s="46"/>
      <c r="AA796" s="107">
        <f t="shared" si="238"/>
        <v>0</v>
      </c>
    </row>
    <row r="797" spans="1:27" x14ac:dyDescent="0.2">
      <c r="A797" s="73">
        <v>166</v>
      </c>
      <c r="B797" s="86">
        <f t="shared" si="257"/>
        <v>0</v>
      </c>
      <c r="C797" s="50">
        <f t="shared" si="239"/>
        <v>0</v>
      </c>
      <c r="D797" s="86">
        <f t="shared" si="240"/>
        <v>0</v>
      </c>
      <c r="E797" s="86">
        <f t="shared" si="241"/>
        <v>0</v>
      </c>
      <c r="F797" s="74">
        <f t="shared" si="242"/>
        <v>0</v>
      </c>
      <c r="G797" s="112">
        <f t="shared" si="243"/>
        <v>0</v>
      </c>
      <c r="H797" s="112">
        <f t="shared" si="244"/>
        <v>0</v>
      </c>
      <c r="I797" s="75">
        <f t="shared" si="245"/>
        <v>0</v>
      </c>
      <c r="J797" s="74"/>
      <c r="K797" s="75">
        <f t="shared" si="246"/>
        <v>0</v>
      </c>
      <c r="L797" s="156">
        <f t="shared" si="247"/>
        <v>0</v>
      </c>
      <c r="M797" s="157"/>
      <c r="N797" s="73">
        <v>166</v>
      </c>
      <c r="O797" s="86">
        <f t="shared" si="258"/>
        <v>-1.0913936421275139E-11</v>
      </c>
      <c r="P797" s="50">
        <f t="shared" si="248"/>
        <v>0</v>
      </c>
      <c r="Q797" s="86">
        <f t="shared" si="249"/>
        <v>0</v>
      </c>
      <c r="R797" s="86">
        <f t="shared" si="250"/>
        <v>0</v>
      </c>
      <c r="S797" s="74">
        <f t="shared" si="251"/>
        <v>-1.0913936421275139E-11</v>
      </c>
      <c r="T797" s="112">
        <f t="shared" si="252"/>
        <v>-4.7491164993540352E-12</v>
      </c>
      <c r="U797" s="112">
        <f t="shared" si="253"/>
        <v>0</v>
      </c>
      <c r="V797" s="75">
        <f t="shared" si="254"/>
        <v>0</v>
      </c>
      <c r="W797" s="74"/>
      <c r="X797" s="75">
        <f t="shared" si="255"/>
        <v>0</v>
      </c>
      <c r="Y797" s="156">
        <f t="shared" si="256"/>
        <v>-3.6289065407398638E-14</v>
      </c>
      <c r="Z797" s="46"/>
      <c r="AA797" s="107">
        <f t="shared" si="238"/>
        <v>0</v>
      </c>
    </row>
    <row r="798" spans="1:27" x14ac:dyDescent="0.2">
      <c r="A798" s="73">
        <v>167</v>
      </c>
      <c r="B798" s="86">
        <f t="shared" si="257"/>
        <v>0</v>
      </c>
      <c r="C798" s="50">
        <f t="shared" si="239"/>
        <v>0</v>
      </c>
      <c r="D798" s="86">
        <f t="shared" si="240"/>
        <v>0</v>
      </c>
      <c r="E798" s="86">
        <f t="shared" si="241"/>
        <v>0</v>
      </c>
      <c r="F798" s="74">
        <f t="shared" si="242"/>
        <v>0</v>
      </c>
      <c r="G798" s="112">
        <f t="shared" si="243"/>
        <v>0</v>
      </c>
      <c r="H798" s="112">
        <f t="shared" si="244"/>
        <v>0</v>
      </c>
      <c r="I798" s="75">
        <f t="shared" si="245"/>
        <v>0</v>
      </c>
      <c r="J798" s="74"/>
      <c r="K798" s="75">
        <f t="shared" si="246"/>
        <v>0</v>
      </c>
      <c r="L798" s="156">
        <f t="shared" si="247"/>
        <v>0</v>
      </c>
      <c r="M798" s="157"/>
      <c r="N798" s="73">
        <v>167</v>
      </c>
      <c r="O798" s="86">
        <f t="shared" si="258"/>
        <v>-1.0913936421275139E-11</v>
      </c>
      <c r="P798" s="50">
        <f t="shared" si="248"/>
        <v>0</v>
      </c>
      <c r="Q798" s="86">
        <f t="shared" si="249"/>
        <v>0</v>
      </c>
      <c r="R798" s="86">
        <f t="shared" si="250"/>
        <v>0</v>
      </c>
      <c r="S798" s="74">
        <f t="shared" si="251"/>
        <v>-1.0913936421275139E-11</v>
      </c>
      <c r="T798" s="112">
        <f t="shared" si="252"/>
        <v>-4.725370916857265E-12</v>
      </c>
      <c r="U798" s="112">
        <f t="shared" si="253"/>
        <v>0</v>
      </c>
      <c r="V798" s="75">
        <f t="shared" si="254"/>
        <v>0</v>
      </c>
      <c r="W798" s="74"/>
      <c r="X798" s="75">
        <f t="shared" si="255"/>
        <v>0</v>
      </c>
      <c r="Y798" s="156">
        <f t="shared" si="256"/>
        <v>-3.6289065407398638E-14</v>
      </c>
      <c r="Z798" s="46"/>
      <c r="AA798" s="107">
        <f t="shared" si="238"/>
        <v>0</v>
      </c>
    </row>
    <row r="799" spans="1:27" x14ac:dyDescent="0.2">
      <c r="A799" s="73">
        <v>168</v>
      </c>
      <c r="B799" s="86">
        <f t="shared" si="257"/>
        <v>0</v>
      </c>
      <c r="C799" s="50">
        <f t="shared" si="239"/>
        <v>0</v>
      </c>
      <c r="D799" s="86">
        <f t="shared" si="240"/>
        <v>0</v>
      </c>
      <c r="E799" s="86">
        <f t="shared" si="241"/>
        <v>0</v>
      </c>
      <c r="F799" s="74">
        <f t="shared" si="242"/>
        <v>0</v>
      </c>
      <c r="G799" s="112">
        <f t="shared" si="243"/>
        <v>0</v>
      </c>
      <c r="H799" s="112">
        <f t="shared" si="244"/>
        <v>0</v>
      </c>
      <c r="I799" s="75">
        <f t="shared" si="245"/>
        <v>0</v>
      </c>
      <c r="J799" s="74"/>
      <c r="K799" s="75">
        <f t="shared" si="246"/>
        <v>0</v>
      </c>
      <c r="L799" s="156">
        <f t="shared" si="247"/>
        <v>0</v>
      </c>
      <c r="M799" s="157"/>
      <c r="N799" s="73">
        <v>168</v>
      </c>
      <c r="O799" s="86">
        <f t="shared" si="258"/>
        <v>-1.0913936421275139E-11</v>
      </c>
      <c r="P799" s="50">
        <f t="shared" si="248"/>
        <v>0</v>
      </c>
      <c r="Q799" s="86">
        <f t="shared" si="249"/>
        <v>0</v>
      </c>
      <c r="R799" s="86">
        <f t="shared" si="250"/>
        <v>0</v>
      </c>
      <c r="S799" s="74">
        <f t="shared" si="251"/>
        <v>-1.0913936421275139E-11</v>
      </c>
      <c r="T799" s="112">
        <f t="shared" si="252"/>
        <v>-4.7017440622729781E-12</v>
      </c>
      <c r="U799" s="112">
        <f t="shared" si="253"/>
        <v>0</v>
      </c>
      <c r="V799" s="75">
        <f t="shared" si="254"/>
        <v>0</v>
      </c>
      <c r="W799" s="74"/>
      <c r="X799" s="75">
        <f t="shared" si="255"/>
        <v>0</v>
      </c>
      <c r="Y799" s="156">
        <f t="shared" si="256"/>
        <v>-3.6289065407398638E-14</v>
      </c>
      <c r="Z799" s="46"/>
      <c r="AA799" s="107">
        <f t="shared" si="238"/>
        <v>0</v>
      </c>
    </row>
    <row r="800" spans="1:27" x14ac:dyDescent="0.2">
      <c r="A800" s="73">
        <v>169</v>
      </c>
      <c r="B800" s="86">
        <f t="shared" si="257"/>
        <v>0</v>
      </c>
      <c r="C800" s="50">
        <f t="shared" si="239"/>
        <v>0</v>
      </c>
      <c r="D800" s="86">
        <f t="shared" si="240"/>
        <v>0</v>
      </c>
      <c r="E800" s="86">
        <f t="shared" si="241"/>
        <v>0</v>
      </c>
      <c r="F800" s="74">
        <f t="shared" si="242"/>
        <v>0</v>
      </c>
      <c r="G800" s="112">
        <f t="shared" si="243"/>
        <v>0</v>
      </c>
      <c r="H800" s="112">
        <f t="shared" si="244"/>
        <v>0</v>
      </c>
      <c r="I800" s="75">
        <f t="shared" si="245"/>
        <v>0</v>
      </c>
      <c r="J800" s="74"/>
      <c r="K800" s="75">
        <f t="shared" si="246"/>
        <v>0</v>
      </c>
      <c r="L800" s="156">
        <f t="shared" si="247"/>
        <v>0</v>
      </c>
      <c r="M800" s="157"/>
      <c r="N800" s="73">
        <v>169</v>
      </c>
      <c r="O800" s="86">
        <f t="shared" si="258"/>
        <v>-1.0913936421275139E-11</v>
      </c>
      <c r="P800" s="50">
        <f t="shared" si="248"/>
        <v>0</v>
      </c>
      <c r="Q800" s="86">
        <f t="shared" si="249"/>
        <v>0</v>
      </c>
      <c r="R800" s="86">
        <f t="shared" si="250"/>
        <v>0</v>
      </c>
      <c r="S800" s="74">
        <f t="shared" si="251"/>
        <v>-1.0913936421275139E-11</v>
      </c>
      <c r="T800" s="112">
        <f t="shared" si="252"/>
        <v>-4.6782353419616133E-12</v>
      </c>
      <c r="U800" s="112">
        <f t="shared" si="253"/>
        <v>0</v>
      </c>
      <c r="V800" s="75">
        <f t="shared" si="254"/>
        <v>0</v>
      </c>
      <c r="W800" s="74"/>
      <c r="X800" s="75">
        <f t="shared" si="255"/>
        <v>0</v>
      </c>
      <c r="Y800" s="156">
        <f t="shared" si="256"/>
        <v>-3.6289065407398638E-14</v>
      </c>
      <c r="Z800" s="46"/>
      <c r="AA800" s="107">
        <f t="shared" si="238"/>
        <v>0</v>
      </c>
    </row>
    <row r="801" spans="1:27" x14ac:dyDescent="0.2">
      <c r="A801" s="73">
        <v>170</v>
      </c>
      <c r="B801" s="86">
        <f t="shared" si="257"/>
        <v>0</v>
      </c>
      <c r="C801" s="50">
        <f t="shared" si="239"/>
        <v>0</v>
      </c>
      <c r="D801" s="86">
        <f t="shared" si="240"/>
        <v>0</v>
      </c>
      <c r="E801" s="86">
        <f t="shared" si="241"/>
        <v>0</v>
      </c>
      <c r="F801" s="74">
        <f t="shared" si="242"/>
        <v>0</v>
      </c>
      <c r="G801" s="112">
        <f t="shared" si="243"/>
        <v>0</v>
      </c>
      <c r="H801" s="112">
        <f t="shared" si="244"/>
        <v>0</v>
      </c>
      <c r="I801" s="75">
        <f t="shared" si="245"/>
        <v>0</v>
      </c>
      <c r="J801" s="74"/>
      <c r="K801" s="75">
        <f t="shared" si="246"/>
        <v>0</v>
      </c>
      <c r="L801" s="156">
        <f t="shared" si="247"/>
        <v>0</v>
      </c>
      <c r="M801" s="157"/>
      <c r="N801" s="73">
        <v>170</v>
      </c>
      <c r="O801" s="86">
        <f t="shared" si="258"/>
        <v>-1.0913936421275139E-11</v>
      </c>
      <c r="P801" s="50">
        <f t="shared" si="248"/>
        <v>0</v>
      </c>
      <c r="Q801" s="86">
        <f t="shared" si="249"/>
        <v>0</v>
      </c>
      <c r="R801" s="86">
        <f t="shared" si="250"/>
        <v>0</v>
      </c>
      <c r="S801" s="74">
        <f t="shared" si="251"/>
        <v>-1.0913936421275139E-11</v>
      </c>
      <c r="T801" s="112">
        <f t="shared" si="252"/>
        <v>-4.6548441652518061E-12</v>
      </c>
      <c r="U801" s="112">
        <f t="shared" si="253"/>
        <v>0</v>
      </c>
      <c r="V801" s="75">
        <f t="shared" si="254"/>
        <v>0</v>
      </c>
      <c r="W801" s="74"/>
      <c r="X801" s="75">
        <f t="shared" si="255"/>
        <v>0</v>
      </c>
      <c r="Y801" s="156">
        <f t="shared" si="256"/>
        <v>-3.6289065407398638E-14</v>
      </c>
      <c r="Z801" s="46"/>
      <c r="AA801" s="107">
        <f t="shared" si="238"/>
        <v>0</v>
      </c>
    </row>
    <row r="802" spans="1:27" x14ac:dyDescent="0.2">
      <c r="A802" s="73">
        <v>171</v>
      </c>
      <c r="B802" s="86">
        <f t="shared" si="257"/>
        <v>0</v>
      </c>
      <c r="C802" s="50">
        <f t="shared" si="239"/>
        <v>0</v>
      </c>
      <c r="D802" s="86">
        <f t="shared" si="240"/>
        <v>0</v>
      </c>
      <c r="E802" s="86">
        <f t="shared" si="241"/>
        <v>0</v>
      </c>
      <c r="F802" s="74">
        <f t="shared" si="242"/>
        <v>0</v>
      </c>
      <c r="G802" s="112">
        <f t="shared" si="243"/>
        <v>0</v>
      </c>
      <c r="H802" s="112">
        <f t="shared" si="244"/>
        <v>0</v>
      </c>
      <c r="I802" s="75">
        <f t="shared" si="245"/>
        <v>0</v>
      </c>
      <c r="J802" s="74"/>
      <c r="K802" s="75">
        <f t="shared" si="246"/>
        <v>0</v>
      </c>
      <c r="L802" s="156">
        <f t="shared" si="247"/>
        <v>0</v>
      </c>
      <c r="M802" s="157"/>
      <c r="N802" s="73">
        <v>171</v>
      </c>
      <c r="O802" s="86">
        <f t="shared" si="258"/>
        <v>-1.0913936421275139E-11</v>
      </c>
      <c r="P802" s="50">
        <f t="shared" si="248"/>
        <v>0</v>
      </c>
      <c r="Q802" s="86">
        <f t="shared" si="249"/>
        <v>0</v>
      </c>
      <c r="R802" s="86">
        <f t="shared" si="250"/>
        <v>0</v>
      </c>
      <c r="S802" s="74">
        <f t="shared" si="251"/>
        <v>-1.0913936421275139E-11</v>
      </c>
      <c r="T802" s="112">
        <f t="shared" si="252"/>
        <v>-4.631569944425546E-12</v>
      </c>
      <c r="U802" s="112">
        <f t="shared" si="253"/>
        <v>0</v>
      </c>
      <c r="V802" s="75">
        <f t="shared" si="254"/>
        <v>0</v>
      </c>
      <c r="W802" s="74"/>
      <c r="X802" s="75">
        <f t="shared" si="255"/>
        <v>0</v>
      </c>
      <c r="Y802" s="156">
        <f t="shared" si="256"/>
        <v>-3.6289065407398638E-14</v>
      </c>
      <c r="Z802" s="46"/>
      <c r="AA802" s="107">
        <f t="shared" si="238"/>
        <v>0</v>
      </c>
    </row>
    <row r="803" spans="1:27" x14ac:dyDescent="0.2">
      <c r="A803" s="73">
        <v>172</v>
      </c>
      <c r="B803" s="86">
        <f t="shared" si="257"/>
        <v>0</v>
      </c>
      <c r="C803" s="50">
        <f t="shared" si="239"/>
        <v>0</v>
      </c>
      <c r="D803" s="86">
        <f t="shared" si="240"/>
        <v>0</v>
      </c>
      <c r="E803" s="86">
        <f t="shared" si="241"/>
        <v>0</v>
      </c>
      <c r="F803" s="74">
        <f t="shared" si="242"/>
        <v>0</v>
      </c>
      <c r="G803" s="112">
        <f t="shared" si="243"/>
        <v>0</v>
      </c>
      <c r="H803" s="112">
        <f t="shared" si="244"/>
        <v>0</v>
      </c>
      <c r="I803" s="75">
        <f t="shared" si="245"/>
        <v>0</v>
      </c>
      <c r="J803" s="74"/>
      <c r="K803" s="75">
        <f t="shared" si="246"/>
        <v>0</v>
      </c>
      <c r="L803" s="156">
        <f t="shared" si="247"/>
        <v>0</v>
      </c>
      <c r="M803" s="157"/>
      <c r="N803" s="73">
        <v>172</v>
      </c>
      <c r="O803" s="86">
        <f t="shared" si="258"/>
        <v>-1.0913936421275139E-11</v>
      </c>
      <c r="P803" s="50">
        <f t="shared" si="248"/>
        <v>0</v>
      </c>
      <c r="Q803" s="86">
        <f t="shared" si="249"/>
        <v>0</v>
      </c>
      <c r="R803" s="86">
        <f t="shared" si="250"/>
        <v>0</v>
      </c>
      <c r="S803" s="74">
        <f t="shared" si="251"/>
        <v>-1.0913936421275139E-11</v>
      </c>
      <c r="T803" s="112">
        <f t="shared" si="252"/>
        <v>-4.6084120947034189E-12</v>
      </c>
      <c r="U803" s="112">
        <f t="shared" si="253"/>
        <v>0</v>
      </c>
      <c r="V803" s="75">
        <f t="shared" si="254"/>
        <v>0</v>
      </c>
      <c r="W803" s="74"/>
      <c r="X803" s="75">
        <f t="shared" si="255"/>
        <v>0</v>
      </c>
      <c r="Y803" s="156">
        <f t="shared" si="256"/>
        <v>-3.6289065407398638E-14</v>
      </c>
      <c r="Z803" s="46"/>
      <c r="AA803" s="107">
        <f t="shared" si="238"/>
        <v>0</v>
      </c>
    </row>
    <row r="804" spans="1:27" x14ac:dyDescent="0.2">
      <c r="A804" s="73">
        <v>173</v>
      </c>
      <c r="B804" s="86">
        <f t="shared" si="257"/>
        <v>0</v>
      </c>
      <c r="C804" s="50">
        <f t="shared" si="239"/>
        <v>0</v>
      </c>
      <c r="D804" s="86">
        <f t="shared" si="240"/>
        <v>0</v>
      </c>
      <c r="E804" s="86">
        <f t="shared" si="241"/>
        <v>0</v>
      </c>
      <c r="F804" s="74">
        <f t="shared" si="242"/>
        <v>0</v>
      </c>
      <c r="G804" s="112">
        <f t="shared" si="243"/>
        <v>0</v>
      </c>
      <c r="H804" s="112">
        <f t="shared" si="244"/>
        <v>0</v>
      </c>
      <c r="I804" s="75">
        <f t="shared" si="245"/>
        <v>0</v>
      </c>
      <c r="J804" s="74"/>
      <c r="K804" s="75">
        <f t="shared" si="246"/>
        <v>0</v>
      </c>
      <c r="L804" s="156">
        <f t="shared" si="247"/>
        <v>0</v>
      </c>
      <c r="M804" s="157"/>
      <c r="N804" s="73">
        <v>173</v>
      </c>
      <c r="O804" s="86">
        <f t="shared" si="258"/>
        <v>-1.0913936421275139E-11</v>
      </c>
      <c r="P804" s="50">
        <f t="shared" si="248"/>
        <v>0</v>
      </c>
      <c r="Q804" s="86">
        <f t="shared" si="249"/>
        <v>0</v>
      </c>
      <c r="R804" s="86">
        <f t="shared" si="250"/>
        <v>0</v>
      </c>
      <c r="S804" s="74">
        <f t="shared" si="251"/>
        <v>-1.0913936421275139E-11</v>
      </c>
      <c r="T804" s="112">
        <f t="shared" si="252"/>
        <v>-4.5853700342299025E-12</v>
      </c>
      <c r="U804" s="112">
        <f t="shared" si="253"/>
        <v>0</v>
      </c>
      <c r="V804" s="75">
        <f t="shared" si="254"/>
        <v>0</v>
      </c>
      <c r="W804" s="74"/>
      <c r="X804" s="75">
        <f t="shared" si="255"/>
        <v>0</v>
      </c>
      <c r="Y804" s="156">
        <f t="shared" si="256"/>
        <v>-3.6289065407398638E-14</v>
      </c>
      <c r="Z804" s="46"/>
      <c r="AA804" s="107">
        <f t="shared" si="238"/>
        <v>0</v>
      </c>
    </row>
    <row r="805" spans="1:27" x14ac:dyDescent="0.2">
      <c r="A805" s="73">
        <v>174</v>
      </c>
      <c r="B805" s="86">
        <f t="shared" si="257"/>
        <v>0</v>
      </c>
      <c r="C805" s="50">
        <f t="shared" si="239"/>
        <v>0</v>
      </c>
      <c r="D805" s="86">
        <f t="shared" si="240"/>
        <v>0</v>
      </c>
      <c r="E805" s="86">
        <f t="shared" si="241"/>
        <v>0</v>
      </c>
      <c r="F805" s="74">
        <f t="shared" si="242"/>
        <v>0</v>
      </c>
      <c r="G805" s="112">
        <f t="shared" si="243"/>
        <v>0</v>
      </c>
      <c r="H805" s="112">
        <f t="shared" si="244"/>
        <v>0</v>
      </c>
      <c r="I805" s="75">
        <f t="shared" si="245"/>
        <v>0</v>
      </c>
      <c r="J805" s="74"/>
      <c r="K805" s="75">
        <f t="shared" si="246"/>
        <v>0</v>
      </c>
      <c r="L805" s="156">
        <f t="shared" si="247"/>
        <v>0</v>
      </c>
      <c r="M805" s="157"/>
      <c r="N805" s="73">
        <v>174</v>
      </c>
      <c r="O805" s="86">
        <f t="shared" si="258"/>
        <v>-1.0913936421275139E-11</v>
      </c>
      <c r="P805" s="50">
        <f t="shared" si="248"/>
        <v>0</v>
      </c>
      <c r="Q805" s="86">
        <f t="shared" si="249"/>
        <v>0</v>
      </c>
      <c r="R805" s="86">
        <f t="shared" si="250"/>
        <v>0</v>
      </c>
      <c r="S805" s="74">
        <f t="shared" si="251"/>
        <v>-1.0913936421275139E-11</v>
      </c>
      <c r="T805" s="112">
        <f t="shared" si="252"/>
        <v>-4.5624431840587529E-12</v>
      </c>
      <c r="U805" s="112">
        <f t="shared" si="253"/>
        <v>0</v>
      </c>
      <c r="V805" s="75">
        <f t="shared" si="254"/>
        <v>0</v>
      </c>
      <c r="W805" s="74"/>
      <c r="X805" s="75">
        <f t="shared" si="255"/>
        <v>0</v>
      </c>
      <c r="Y805" s="156">
        <f t="shared" si="256"/>
        <v>-3.6289065407398638E-14</v>
      </c>
      <c r="Z805" s="46"/>
      <c r="AA805" s="107">
        <f t="shared" si="238"/>
        <v>0</v>
      </c>
    </row>
    <row r="806" spans="1:27" x14ac:dyDescent="0.2">
      <c r="A806" s="73">
        <v>175</v>
      </c>
      <c r="B806" s="86">
        <f t="shared" si="257"/>
        <v>0</v>
      </c>
      <c r="C806" s="50">
        <f t="shared" si="239"/>
        <v>0</v>
      </c>
      <c r="D806" s="86">
        <f t="shared" si="240"/>
        <v>0</v>
      </c>
      <c r="E806" s="86">
        <f t="shared" si="241"/>
        <v>0</v>
      </c>
      <c r="F806" s="74">
        <f t="shared" si="242"/>
        <v>0</v>
      </c>
      <c r="G806" s="112">
        <f t="shared" si="243"/>
        <v>0</v>
      </c>
      <c r="H806" s="112">
        <f t="shared" si="244"/>
        <v>0</v>
      </c>
      <c r="I806" s="75">
        <f t="shared" si="245"/>
        <v>0</v>
      </c>
      <c r="J806" s="74"/>
      <c r="K806" s="75">
        <f t="shared" si="246"/>
        <v>0</v>
      </c>
      <c r="L806" s="156">
        <f t="shared" si="247"/>
        <v>0</v>
      </c>
      <c r="M806" s="157"/>
      <c r="N806" s="73">
        <v>175</v>
      </c>
      <c r="O806" s="86">
        <f t="shared" si="258"/>
        <v>-1.0913936421275139E-11</v>
      </c>
      <c r="P806" s="50">
        <f t="shared" si="248"/>
        <v>0</v>
      </c>
      <c r="Q806" s="86">
        <f t="shared" si="249"/>
        <v>0</v>
      </c>
      <c r="R806" s="86">
        <f t="shared" si="250"/>
        <v>0</v>
      </c>
      <c r="S806" s="74">
        <f t="shared" si="251"/>
        <v>-1.0913936421275139E-11</v>
      </c>
      <c r="T806" s="112">
        <f t="shared" si="252"/>
        <v>-4.5396309681384591E-12</v>
      </c>
      <c r="U806" s="112">
        <f t="shared" si="253"/>
        <v>0</v>
      </c>
      <c r="V806" s="75">
        <f t="shared" si="254"/>
        <v>0</v>
      </c>
      <c r="W806" s="74"/>
      <c r="X806" s="75">
        <f t="shared" si="255"/>
        <v>0</v>
      </c>
      <c r="Y806" s="156">
        <f t="shared" si="256"/>
        <v>-3.6289065407398638E-14</v>
      </c>
      <c r="Z806" s="46"/>
      <c r="AA806" s="107">
        <f t="shared" si="238"/>
        <v>0</v>
      </c>
    </row>
    <row r="807" spans="1:27" x14ac:dyDescent="0.2">
      <c r="A807" s="73">
        <v>176</v>
      </c>
      <c r="B807" s="86">
        <f t="shared" si="257"/>
        <v>0</v>
      </c>
      <c r="C807" s="50">
        <f t="shared" si="239"/>
        <v>0</v>
      </c>
      <c r="D807" s="86">
        <f t="shared" si="240"/>
        <v>0</v>
      </c>
      <c r="E807" s="86">
        <f t="shared" si="241"/>
        <v>0</v>
      </c>
      <c r="F807" s="74">
        <f t="shared" si="242"/>
        <v>0</v>
      </c>
      <c r="G807" s="112">
        <f t="shared" si="243"/>
        <v>0</v>
      </c>
      <c r="H807" s="112">
        <f t="shared" si="244"/>
        <v>0</v>
      </c>
      <c r="I807" s="75">
        <f t="shared" si="245"/>
        <v>0</v>
      </c>
      <c r="J807" s="74"/>
      <c r="K807" s="75">
        <f t="shared" si="246"/>
        <v>0</v>
      </c>
      <c r="L807" s="156">
        <f t="shared" si="247"/>
        <v>0</v>
      </c>
      <c r="M807" s="157"/>
      <c r="N807" s="73">
        <v>176</v>
      </c>
      <c r="O807" s="86">
        <f t="shared" si="258"/>
        <v>-1.0913936421275139E-11</v>
      </c>
      <c r="P807" s="50">
        <f t="shared" si="248"/>
        <v>0</v>
      </c>
      <c r="Q807" s="86">
        <f t="shared" si="249"/>
        <v>0</v>
      </c>
      <c r="R807" s="86">
        <f t="shared" si="250"/>
        <v>0</v>
      </c>
      <c r="S807" s="74">
        <f t="shared" si="251"/>
        <v>-1.0913936421275139E-11</v>
      </c>
      <c r="T807" s="112">
        <f t="shared" si="252"/>
        <v>-4.5169328132977671E-12</v>
      </c>
      <c r="U807" s="112">
        <f t="shared" si="253"/>
        <v>0</v>
      </c>
      <c r="V807" s="75">
        <f t="shared" si="254"/>
        <v>0</v>
      </c>
      <c r="W807" s="74"/>
      <c r="X807" s="75">
        <f t="shared" si="255"/>
        <v>0</v>
      </c>
      <c r="Y807" s="156">
        <f t="shared" si="256"/>
        <v>-3.6289065407398638E-14</v>
      </c>
      <c r="Z807" s="46"/>
      <c r="AA807" s="107">
        <f t="shared" si="238"/>
        <v>0</v>
      </c>
    </row>
    <row r="808" spans="1:27" x14ac:dyDescent="0.2">
      <c r="A808" s="73">
        <v>177</v>
      </c>
      <c r="B808" s="86">
        <f t="shared" si="257"/>
        <v>0</v>
      </c>
      <c r="C808" s="50">
        <f t="shared" si="239"/>
        <v>0</v>
      </c>
      <c r="D808" s="86">
        <f t="shared" si="240"/>
        <v>0</v>
      </c>
      <c r="E808" s="86">
        <f t="shared" si="241"/>
        <v>0</v>
      </c>
      <c r="F808" s="74">
        <f t="shared" si="242"/>
        <v>0</v>
      </c>
      <c r="G808" s="112">
        <f t="shared" si="243"/>
        <v>0</v>
      </c>
      <c r="H808" s="112">
        <f t="shared" si="244"/>
        <v>0</v>
      </c>
      <c r="I808" s="75">
        <f t="shared" si="245"/>
        <v>0</v>
      </c>
      <c r="J808" s="74"/>
      <c r="K808" s="75">
        <f t="shared" si="246"/>
        <v>0</v>
      </c>
      <c r="L808" s="156">
        <f t="shared" si="247"/>
        <v>0</v>
      </c>
      <c r="M808" s="157"/>
      <c r="N808" s="73">
        <v>177</v>
      </c>
      <c r="O808" s="86">
        <f t="shared" si="258"/>
        <v>-1.0913936421275139E-11</v>
      </c>
      <c r="P808" s="50">
        <f t="shared" si="248"/>
        <v>0</v>
      </c>
      <c r="Q808" s="86">
        <f t="shared" si="249"/>
        <v>0</v>
      </c>
      <c r="R808" s="86">
        <f t="shared" si="250"/>
        <v>0</v>
      </c>
      <c r="S808" s="74">
        <f t="shared" si="251"/>
        <v>-1.0913936421275139E-11</v>
      </c>
      <c r="T808" s="112">
        <f t="shared" si="252"/>
        <v>-4.4943481492312777E-12</v>
      </c>
      <c r="U808" s="112">
        <f t="shared" si="253"/>
        <v>0</v>
      </c>
      <c r="V808" s="75">
        <f t="shared" si="254"/>
        <v>0</v>
      </c>
      <c r="W808" s="74"/>
      <c r="X808" s="75">
        <f t="shared" si="255"/>
        <v>0</v>
      </c>
      <c r="Y808" s="156">
        <f t="shared" si="256"/>
        <v>-3.6289065407398638E-14</v>
      </c>
      <c r="Z808" s="46"/>
      <c r="AA808" s="107">
        <f t="shared" si="238"/>
        <v>0</v>
      </c>
    </row>
    <row r="809" spans="1:27" x14ac:dyDescent="0.2">
      <c r="A809" s="73">
        <v>178</v>
      </c>
      <c r="B809" s="86">
        <f t="shared" si="257"/>
        <v>0</v>
      </c>
      <c r="C809" s="50">
        <f t="shared" si="239"/>
        <v>0</v>
      </c>
      <c r="D809" s="86">
        <f t="shared" si="240"/>
        <v>0</v>
      </c>
      <c r="E809" s="86">
        <f t="shared" si="241"/>
        <v>0</v>
      </c>
      <c r="F809" s="74">
        <f t="shared" si="242"/>
        <v>0</v>
      </c>
      <c r="G809" s="112">
        <f t="shared" si="243"/>
        <v>0</v>
      </c>
      <c r="H809" s="112">
        <f t="shared" si="244"/>
        <v>0</v>
      </c>
      <c r="I809" s="75">
        <f t="shared" si="245"/>
        <v>0</v>
      </c>
      <c r="J809" s="74"/>
      <c r="K809" s="75">
        <f t="shared" si="246"/>
        <v>0</v>
      </c>
      <c r="L809" s="156">
        <f t="shared" si="247"/>
        <v>0</v>
      </c>
      <c r="M809" s="157"/>
      <c r="N809" s="73">
        <v>178</v>
      </c>
      <c r="O809" s="86">
        <f t="shared" si="258"/>
        <v>-1.0913936421275139E-11</v>
      </c>
      <c r="P809" s="50">
        <f t="shared" si="248"/>
        <v>0</v>
      </c>
      <c r="Q809" s="86">
        <f t="shared" si="249"/>
        <v>0</v>
      </c>
      <c r="R809" s="86">
        <f t="shared" si="250"/>
        <v>0</v>
      </c>
      <c r="S809" s="74">
        <f t="shared" si="251"/>
        <v>-1.0913936421275139E-11</v>
      </c>
      <c r="T809" s="112">
        <f t="shared" si="252"/>
        <v>-4.471876408485121E-12</v>
      </c>
      <c r="U809" s="112">
        <f t="shared" si="253"/>
        <v>0</v>
      </c>
      <c r="V809" s="75">
        <f t="shared" si="254"/>
        <v>0</v>
      </c>
      <c r="W809" s="74"/>
      <c r="X809" s="75">
        <f t="shared" si="255"/>
        <v>0</v>
      </c>
      <c r="Y809" s="156">
        <f t="shared" si="256"/>
        <v>-3.6289065407398638E-14</v>
      </c>
      <c r="Z809" s="46"/>
      <c r="AA809" s="107">
        <f t="shared" si="238"/>
        <v>0</v>
      </c>
    </row>
    <row r="810" spans="1:27" x14ac:dyDescent="0.2">
      <c r="A810" s="73">
        <v>179</v>
      </c>
      <c r="B810" s="86">
        <f t="shared" si="257"/>
        <v>0</v>
      </c>
      <c r="C810" s="50">
        <f t="shared" si="239"/>
        <v>0</v>
      </c>
      <c r="D810" s="86">
        <f t="shared" si="240"/>
        <v>0</v>
      </c>
      <c r="E810" s="86">
        <f t="shared" si="241"/>
        <v>0</v>
      </c>
      <c r="F810" s="74">
        <f t="shared" si="242"/>
        <v>0</v>
      </c>
      <c r="G810" s="112">
        <f t="shared" si="243"/>
        <v>0</v>
      </c>
      <c r="H810" s="112">
        <f t="shared" si="244"/>
        <v>0</v>
      </c>
      <c r="I810" s="75">
        <f t="shared" si="245"/>
        <v>0</v>
      </c>
      <c r="J810" s="74"/>
      <c r="K810" s="75">
        <f t="shared" si="246"/>
        <v>0</v>
      </c>
      <c r="L810" s="156">
        <f t="shared" si="247"/>
        <v>0</v>
      </c>
      <c r="M810" s="157"/>
      <c r="N810" s="73">
        <v>179</v>
      </c>
      <c r="O810" s="86">
        <f t="shared" si="258"/>
        <v>-1.0913936421275139E-11</v>
      </c>
      <c r="P810" s="50">
        <f t="shared" si="248"/>
        <v>0</v>
      </c>
      <c r="Q810" s="86">
        <f t="shared" si="249"/>
        <v>0</v>
      </c>
      <c r="R810" s="86">
        <f t="shared" si="250"/>
        <v>0</v>
      </c>
      <c r="S810" s="74">
        <f t="shared" si="251"/>
        <v>-1.0913936421275139E-11</v>
      </c>
      <c r="T810" s="112">
        <f t="shared" si="252"/>
        <v>-4.4495170264426956E-12</v>
      </c>
      <c r="U810" s="112">
        <f t="shared" si="253"/>
        <v>0</v>
      </c>
      <c r="V810" s="75">
        <f t="shared" si="254"/>
        <v>0</v>
      </c>
      <c r="W810" s="74"/>
      <c r="X810" s="75">
        <f t="shared" si="255"/>
        <v>0</v>
      </c>
      <c r="Y810" s="156">
        <f t="shared" si="256"/>
        <v>-3.6289065407398638E-14</v>
      </c>
      <c r="Z810" s="46"/>
      <c r="AA810" s="107">
        <f t="shared" si="238"/>
        <v>0</v>
      </c>
    </row>
    <row r="811" spans="1:27" x14ac:dyDescent="0.2">
      <c r="A811" s="73">
        <v>180</v>
      </c>
      <c r="B811" s="86">
        <f t="shared" si="257"/>
        <v>0</v>
      </c>
      <c r="C811" s="50">
        <f t="shared" si="239"/>
        <v>0</v>
      </c>
      <c r="D811" s="86">
        <f t="shared" si="240"/>
        <v>0</v>
      </c>
      <c r="E811" s="86">
        <f t="shared" si="241"/>
        <v>0</v>
      </c>
      <c r="F811" s="74">
        <f t="shared" si="242"/>
        <v>0</v>
      </c>
      <c r="G811" s="112">
        <f t="shared" si="243"/>
        <v>0</v>
      </c>
      <c r="H811" s="112">
        <f t="shared" si="244"/>
        <v>0</v>
      </c>
      <c r="I811" s="75">
        <f t="shared" si="245"/>
        <v>0</v>
      </c>
      <c r="J811" s="74"/>
      <c r="K811" s="75">
        <f t="shared" si="246"/>
        <v>0</v>
      </c>
      <c r="L811" s="156">
        <f t="shared" si="247"/>
        <v>0</v>
      </c>
      <c r="M811" s="157"/>
      <c r="N811" s="73">
        <v>180</v>
      </c>
      <c r="O811" s="86">
        <f t="shared" si="258"/>
        <v>-1.0913936421275139E-11</v>
      </c>
      <c r="P811" s="50">
        <f t="shared" si="248"/>
        <v>0</v>
      </c>
      <c r="Q811" s="86">
        <f t="shared" si="249"/>
        <v>0</v>
      </c>
      <c r="R811" s="86">
        <f t="shared" si="250"/>
        <v>0</v>
      </c>
      <c r="S811" s="74">
        <f t="shared" si="251"/>
        <v>-1.0913936421275139E-11</v>
      </c>
      <c r="T811" s="112">
        <f t="shared" si="252"/>
        <v>-4.4272694413104823E-12</v>
      </c>
      <c r="U811" s="112">
        <f t="shared" si="253"/>
        <v>0</v>
      </c>
      <c r="V811" s="75">
        <f t="shared" si="254"/>
        <v>0</v>
      </c>
      <c r="W811" s="74"/>
      <c r="X811" s="75">
        <f t="shared" si="255"/>
        <v>0</v>
      </c>
      <c r="Y811" s="156">
        <f t="shared" si="256"/>
        <v>-3.6289065407398638E-14</v>
      </c>
      <c r="Z811" s="46"/>
      <c r="AA811" s="107">
        <f t="shared" si="238"/>
        <v>0</v>
      </c>
    </row>
    <row r="812" spans="1:27" x14ac:dyDescent="0.2">
      <c r="A812" s="73">
        <v>181</v>
      </c>
      <c r="B812" s="86">
        <f t="shared" si="257"/>
        <v>0</v>
      </c>
      <c r="C812" s="50">
        <f t="shared" si="239"/>
        <v>0</v>
      </c>
      <c r="D812" s="86">
        <f t="shared" si="240"/>
        <v>0</v>
      </c>
      <c r="E812" s="86">
        <f t="shared" si="241"/>
        <v>0</v>
      </c>
      <c r="F812" s="74">
        <f t="shared" si="242"/>
        <v>0</v>
      </c>
      <c r="G812" s="112">
        <f t="shared" si="243"/>
        <v>0</v>
      </c>
      <c r="H812" s="112">
        <f t="shared" si="244"/>
        <v>0</v>
      </c>
      <c r="I812" s="75">
        <f t="shared" si="245"/>
        <v>0</v>
      </c>
      <c r="J812" s="74"/>
      <c r="K812" s="75">
        <f t="shared" si="246"/>
        <v>0</v>
      </c>
      <c r="L812" s="156">
        <f t="shared" si="247"/>
        <v>0</v>
      </c>
      <c r="M812" s="157"/>
      <c r="N812" s="73">
        <v>181</v>
      </c>
      <c r="O812" s="86">
        <f t="shared" si="258"/>
        <v>-1.0913936421275139E-11</v>
      </c>
      <c r="P812" s="50">
        <f t="shared" si="248"/>
        <v>0</v>
      </c>
      <c r="Q812" s="86">
        <f t="shared" si="249"/>
        <v>0</v>
      </c>
      <c r="R812" s="86">
        <f t="shared" si="250"/>
        <v>0</v>
      </c>
      <c r="S812" s="74">
        <f t="shared" si="251"/>
        <v>-1.0913936421275139E-11</v>
      </c>
      <c r="T812" s="112">
        <f t="shared" si="252"/>
        <v>-4.4051330941039301E-12</v>
      </c>
      <c r="U812" s="112">
        <f t="shared" si="253"/>
        <v>0</v>
      </c>
      <c r="V812" s="75">
        <f t="shared" si="254"/>
        <v>0</v>
      </c>
      <c r="W812" s="74"/>
      <c r="X812" s="75">
        <f t="shared" si="255"/>
        <v>0</v>
      </c>
      <c r="Y812" s="156">
        <f t="shared" si="256"/>
        <v>-3.6289065407398638E-14</v>
      </c>
      <c r="Z812" s="46"/>
      <c r="AA812" s="107">
        <f t="shared" si="238"/>
        <v>0</v>
      </c>
    </row>
  </sheetData>
  <mergeCells count="6">
    <mergeCell ref="N627:Y627"/>
    <mergeCell ref="D613:E613"/>
    <mergeCell ref="B3:M3"/>
    <mergeCell ref="D617:E617"/>
    <mergeCell ref="B6:B10"/>
    <mergeCell ref="A627:L627"/>
  </mergeCells>
  <conditionalFormatting sqref="E34:M34">
    <cfRule type="cellIs" dxfId="2" priority="1" operator="greaterThan">
      <formula>$D$33</formula>
    </cfRule>
  </conditionalFormatting>
  <printOptions horizontalCentered="1"/>
  <pageMargins left="0" right="0" top="0.78740157480314965" bottom="0.78740157480314965" header="0" footer="0"/>
  <pageSetup scale="95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Tarification LOA BALLON</vt:lpstr>
      <vt:lpstr>compensation</vt:lpstr>
      <vt:lpstr>CALCULETTE</vt:lpstr>
      <vt:lpstr>CALCULETTE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s.vanvyve</dc:creator>
  <cp:lastModifiedBy>Quentin Ott</cp:lastModifiedBy>
  <dcterms:created xsi:type="dcterms:W3CDTF">2016-01-06T13:33:05Z</dcterms:created>
  <dcterms:modified xsi:type="dcterms:W3CDTF">2026-03-16T20:39:33Z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0x010100B3EB7CCFA52A4D42B4A780DAE113ADF6</vt:lpwstr>
  </property>
  <property fmtid="{D5CDD505-2E9C-101B-9397-08002B2CF9AE}" pid="5" name="MediaServiceImageTags">
    <vt:lpwstr/>
  </property>
  <property fmtid="{D5CDD505-2E9C-101B-9397-08002B2CF9AE}" pid="6" name="MSIP_Label_48ed5431-0ab7-4c1b-98f4-d4e50f674d02_Enabled">
    <vt:lpwstr>true</vt:lpwstr>
  </property>
  <property fmtid="{D5CDD505-2E9C-101B-9397-08002B2CF9AE}" pid="7" name="MSIP_Label_48ed5431-0ab7-4c1b-98f4-d4e50f674d02_SetDate">
    <vt:lpwstr>2025-10-14T16:41:41Z</vt:lpwstr>
  </property>
  <property fmtid="{D5CDD505-2E9C-101B-9397-08002B2CF9AE}" pid="8" name="MSIP_Label_48ed5431-0ab7-4c1b-98f4-d4e50f674d02_Method">
    <vt:lpwstr>Privileged</vt:lpwstr>
  </property>
  <property fmtid="{D5CDD505-2E9C-101B-9397-08002B2CF9AE}" pid="9" name="MSIP_Label_48ed5431-0ab7-4c1b-98f4-d4e50f674d02_Name">
    <vt:lpwstr>48ed5431-0ab7-4c1b-98f4-d4e50f674d02</vt:lpwstr>
  </property>
  <property fmtid="{D5CDD505-2E9C-101B-9397-08002B2CF9AE}" pid="10" name="MSIP_Label_48ed5431-0ab7-4c1b-98f4-d4e50f674d02_SiteId">
    <vt:lpwstr>614f9c25-bffa-42c7-86d8-964101f55fa2</vt:lpwstr>
  </property>
  <property fmtid="{D5CDD505-2E9C-101B-9397-08002B2CF9AE}" pid="11" name="MSIP_Label_48ed5431-0ab7-4c1b-98f4-d4e50f674d02_ActionId">
    <vt:lpwstr>20cc8503-e4a1-4095-95a1-2e19c1f2da3f</vt:lpwstr>
  </property>
  <property fmtid="{D5CDD505-2E9C-101B-9397-08002B2CF9AE}" pid="12" name="MSIP_Label_48ed5431-0ab7-4c1b-98f4-d4e50f674d02_ContentBits">
    <vt:lpwstr>0</vt:lpwstr>
  </property>
  <property fmtid="{D5CDD505-2E9C-101B-9397-08002B2CF9AE}" pid="13" name="MSIP_Label_48ed5431-0ab7-4c1b-98f4-d4e50f674d02_Tag">
    <vt:lpwstr>10, 0, 1, 1</vt:lpwstr>
  </property>
  <property fmtid="{D5CDD505-2E9C-101B-9397-08002B2CF9AE}" pid="14" name="Order">
    <vt:r8>33600</vt:r8>
  </property>
  <property fmtid="{D5CDD505-2E9C-101B-9397-08002B2CF9AE}" pid="15" name="xd_Signature">
    <vt:bool>false</vt:bool>
  </property>
  <property fmtid="{D5CDD505-2E9C-101B-9397-08002B2CF9AE}" pid="16" name="xd_ProgID">
    <vt:lpwstr/>
  </property>
  <property fmtid="{D5CDD505-2E9C-101B-9397-08002B2CF9AE}" pid="17" name="ComplianceAssetId">
    <vt:lpwstr/>
  </property>
  <property fmtid="{D5CDD505-2E9C-101B-9397-08002B2CF9AE}" pid="18" name="TemplateUrl">
    <vt:lpwstr/>
  </property>
  <property fmtid="{D5CDD505-2E9C-101B-9397-08002B2CF9AE}" pid="19" name="_ExtendedDescription">
    <vt:lpwstr/>
  </property>
  <property fmtid="{D5CDD505-2E9C-101B-9397-08002B2CF9AE}" pid="20" name="TriggerFlowInfo">
    <vt:lpwstr/>
  </property>
</Properties>
</file>